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_Tables" sheetId="1" r:id="rId4"/>
    <sheet state="visible" name="Customer_Data" sheetId="2" r:id="rId5"/>
    <sheet state="visible" name="Branches_Data" sheetId="3" r:id="rId6"/>
    <sheet state="visible" name="KYC_Data" sheetId="4" r:id="rId7"/>
    <sheet state="visible" name="Loan_Data" sheetId="5" r:id="rId8"/>
    <sheet state="visible" name="Creditcard_Data" sheetId="6" r:id="rId9"/>
    <sheet state="visible" name="Data_Quality_Log" sheetId="7" r:id="rId10"/>
  </sheets>
  <definedNames/>
  <calcPr/>
  <extLst>
    <ext uri="GoogleSheetsCustomDataVersion2">
      <go:sheetsCustomData xmlns:go="http://customooxmlschemas.google.com/" r:id="rId11" roundtripDataChecksum="ApocAJ7nYsxSF2vjcCWHqyNqlv/ZZeGY7Hn8itT0qoU="/>
    </ext>
  </extLst>
</workbook>
</file>

<file path=xl/sharedStrings.xml><?xml version="1.0" encoding="utf-8"?>
<sst xmlns="http://schemas.openxmlformats.org/spreadsheetml/2006/main" count="31662" uniqueCount="8952">
  <si>
    <t>Loans by Status (Count &amp; Total Loan Amount)</t>
  </si>
  <si>
    <t>LoanStatus</t>
  </si>
  <si>
    <t>Count</t>
  </si>
  <si>
    <t>Total Loan Amount</t>
  </si>
  <si>
    <t>Active</t>
  </si>
  <si>
    <t>Closed</t>
  </si>
  <si>
    <t>Default</t>
  </si>
  <si>
    <t>NPA</t>
  </si>
  <si>
    <t>Loans by Type (Total Amount)</t>
  </si>
  <si>
    <t>LoanType</t>
  </si>
  <si>
    <t>Auto Loan</t>
  </si>
  <si>
    <t>Business Loan</t>
  </si>
  <si>
    <t>Education Loan</t>
  </si>
  <si>
    <t>Gold Loan</t>
  </si>
  <si>
    <t>CustomerID</t>
  </si>
  <si>
    <t>Home Loan</t>
  </si>
  <si>
    <t>CustomerName</t>
  </si>
  <si>
    <t>DOB</t>
  </si>
  <si>
    <t>BranchID</t>
  </si>
  <si>
    <t>DOB_Valid</t>
  </si>
  <si>
    <t>Age</t>
  </si>
  <si>
    <t>BranchName</t>
  </si>
  <si>
    <t>Personal Loan</t>
  </si>
  <si>
    <t>Gender</t>
  </si>
  <si>
    <t>City</t>
  </si>
  <si>
    <t>Phone</t>
  </si>
  <si>
    <t>Email</t>
  </si>
  <si>
    <t>State</t>
  </si>
  <si>
    <t>Address</t>
  </si>
  <si>
    <t>Region</t>
  </si>
  <si>
    <t>KYC Status Breakdown</t>
  </si>
  <si>
    <t>Manager</t>
  </si>
  <si>
    <t>KYCID</t>
  </si>
  <si>
    <t>KYCStatus</t>
  </si>
  <si>
    <t>OpeningDate</t>
  </si>
  <si>
    <t>PAN</t>
  </si>
  <si>
    <t>BR001</t>
  </si>
  <si>
    <t>PAN_Valid</t>
  </si>
  <si>
    <t>Pending</t>
  </si>
  <si>
    <t>Aadhaar</t>
  </si>
  <si>
    <t>Aadhaar_Valid</t>
  </si>
  <si>
    <t>Indore City Center Branch</t>
  </si>
  <si>
    <t>Occupation</t>
  </si>
  <si>
    <t>Indore</t>
  </si>
  <si>
    <t>AnnualIncome</t>
  </si>
  <si>
    <t>Madhya Pradesh</t>
  </si>
  <si>
    <t>AnnualIncome_Status</t>
  </si>
  <si>
    <t>Rejected</t>
  </si>
  <si>
    <t>AccountOpenDate</t>
  </si>
  <si>
    <t>AccountOpenDate_Valid</t>
  </si>
  <si>
    <t>Central</t>
  </si>
  <si>
    <t>KYCDate</t>
  </si>
  <si>
    <t>Ritu Kapoor</t>
  </si>
  <si>
    <t>CustomerStatus</t>
  </si>
  <si>
    <t>Verified</t>
  </si>
  <si>
    <t>DocumentType</t>
  </si>
  <si>
    <t>DuplicateFlag</t>
  </si>
  <si>
    <t>CUST00964</t>
  </si>
  <si>
    <t>KYC00001</t>
  </si>
  <si>
    <t>Sunil Kumar</t>
  </si>
  <si>
    <t>BR002</t>
  </si>
  <si>
    <t>CUST00491</t>
  </si>
  <si>
    <t>Nashik City Center Branch</t>
  </si>
  <si>
    <t>Yes</t>
  </si>
  <si>
    <t>IYRGS8977D</t>
  </si>
  <si>
    <t>Nashik</t>
  </si>
  <si>
    <t>Credit Cards by Type (Count &amp; Total Limit)</t>
  </si>
  <si>
    <t>Maharashtra</t>
  </si>
  <si>
    <t>CardType</t>
  </si>
  <si>
    <t>573918697126</t>
  </si>
  <si>
    <t>Male</t>
  </si>
  <si>
    <t>West</t>
  </si>
  <si>
    <t>9217640914</t>
  </si>
  <si>
    <t>Mahesh Kapoor</t>
  </si>
  <si>
    <t>Total Limit</t>
  </si>
  <si>
    <t>sunil.kumar964@gmail.com</t>
  </si>
  <si>
    <t>178, Ring Road</t>
  </si>
  <si>
    <t>Business</t>
  </si>
  <si>
    <t>Voter Id</t>
  </si>
  <si>
    <t>Gurugram</t>
  </si>
  <si>
    <t>BR003</t>
  </si>
  <si>
    <t>Haryana</t>
  </si>
  <si>
    <t>Pune Main Branch</t>
  </si>
  <si>
    <t>KYC00002</t>
  </si>
  <si>
    <t>VFXOR1378H</t>
  </si>
  <si>
    <t>Pune</t>
  </si>
  <si>
    <t>CUST00983</t>
  </si>
  <si>
    <t>EYIBM4748X</t>
  </si>
  <si>
    <t>Missing</t>
  </si>
  <si>
    <t>682553426009</t>
  </si>
  <si>
    <t>Retired</t>
  </si>
  <si>
    <t>Swati Reddy</t>
  </si>
  <si>
    <t>BR004</t>
  </si>
  <si>
    <t>Disclosed</t>
  </si>
  <si>
    <t>Aadhaar Card</t>
  </si>
  <si>
    <t>Kochi Camp Branch</t>
  </si>
  <si>
    <t>KYC00003</t>
  </si>
  <si>
    <t>BR023</t>
  </si>
  <si>
    <t>Kochi</t>
  </si>
  <si>
    <t>Classic</t>
  </si>
  <si>
    <t>CUST00329</t>
  </si>
  <si>
    <t>Kerala</t>
  </si>
  <si>
    <t>Unique</t>
  </si>
  <si>
    <t>CZGUR9795I</t>
  </si>
  <si>
    <t>South</t>
  </si>
  <si>
    <t>CUST00065</t>
  </si>
  <si>
    <t>615580795606</t>
  </si>
  <si>
    <t>Nidhi Agarwal</t>
  </si>
  <si>
    <t>Vivek Chowdhury</t>
  </si>
  <si>
    <t>BR005</t>
  </si>
  <si>
    <t>Passport</t>
  </si>
  <si>
    <t>Hyderabad Mg Road Branch</t>
  </si>
  <si>
    <t>9461450066</t>
  </si>
  <si>
    <t>KYC00004</t>
  </si>
  <si>
    <t>Hyderabad</t>
  </si>
  <si>
    <t>vivek.chowdhury65@gmail.com</t>
  </si>
  <si>
    <t>CUST00878</t>
  </si>
  <si>
    <t>974, FC Road</t>
  </si>
  <si>
    <t>Telangana</t>
  </si>
  <si>
    <t>Ludhiana</t>
  </si>
  <si>
    <t>LPCDW5581T</t>
  </si>
  <si>
    <t>Punjab</t>
  </si>
  <si>
    <t>926103583850</t>
  </si>
  <si>
    <t>VOZBQ1888B</t>
  </si>
  <si>
    <t>Gold</t>
  </si>
  <si>
    <t>Seema Iyer</t>
  </si>
  <si>
    <t>429026424848</t>
  </si>
  <si>
    <t>Student</t>
  </si>
  <si>
    <t>Pan Card</t>
  </si>
  <si>
    <t>BR006</t>
  </si>
  <si>
    <t>KYC00005</t>
  </si>
  <si>
    <t>Coimbatore Main Branch</t>
  </si>
  <si>
    <t>CUST00749</t>
  </si>
  <si>
    <t>JOJSZ9543Q</t>
  </si>
  <si>
    <t>Coimbatore</t>
  </si>
  <si>
    <t>595707681757</t>
  </si>
  <si>
    <t>BR025</t>
  </si>
  <si>
    <t>Tamil Nadu</t>
  </si>
  <si>
    <t>Namrata Pillai</t>
  </si>
  <si>
    <t>CUST00851</t>
  </si>
  <si>
    <t>KYC00006</t>
  </si>
  <si>
    <t>Platinum</t>
  </si>
  <si>
    <t>Sunil Desai</t>
  </si>
  <si>
    <t>CUST00723</t>
  </si>
  <si>
    <t>NLEKH8512L</t>
  </si>
  <si>
    <t>340104309161</t>
  </si>
  <si>
    <t>BR007</t>
  </si>
  <si>
    <t>9704316147</t>
  </si>
  <si>
    <t>Chandigarh Station Road Branch</t>
  </si>
  <si>
    <t>sunil.desai851@gmail.com</t>
  </si>
  <si>
    <t>150, Park Street</t>
  </si>
  <si>
    <t>Chandigarh</t>
  </si>
  <si>
    <t>Driving Licence</t>
  </si>
  <si>
    <t>Mumbai</t>
  </si>
  <si>
    <t>KYC00007</t>
  </si>
  <si>
    <t>VEYVZ2679V</t>
  </si>
  <si>
    <t>North</t>
  </si>
  <si>
    <t>CUST00393</t>
  </si>
  <si>
    <t>058305047711</t>
  </si>
  <si>
    <t>Sandeep Kumar</t>
  </si>
  <si>
    <t>Business Owner</t>
  </si>
  <si>
    <t>555890111956</t>
  </si>
  <si>
    <t>Signature</t>
  </si>
  <si>
    <t>BR008</t>
  </si>
  <si>
    <t>KYC00008</t>
  </si>
  <si>
    <t>Bengaluru City Center Branch</t>
  </si>
  <si>
    <t>CUST00942</t>
  </si>
  <si>
    <t>Bengaluru</t>
  </si>
  <si>
    <t>LSUVY1419G</t>
  </si>
  <si>
    <t>Karnataka</t>
  </si>
  <si>
    <t>552323582789</t>
  </si>
  <si>
    <t>BR015</t>
  </si>
  <si>
    <t>Anand Singh</t>
  </si>
  <si>
    <t>Credit Card Status Breakdown</t>
  </si>
  <si>
    <t>CUST00642</t>
  </si>
  <si>
    <t>CardStatus</t>
  </si>
  <si>
    <t>KYC00009</t>
  </si>
  <si>
    <t>Nidhi Mehta</t>
  </si>
  <si>
    <t>CUST00348</t>
  </si>
  <si>
    <t>BR009</t>
  </si>
  <si>
    <t>AQIEG5279O</t>
  </si>
  <si>
    <t>Guwahati Main Branch</t>
  </si>
  <si>
    <t>148177045487</t>
  </si>
  <si>
    <t>Female</t>
  </si>
  <si>
    <t>Guwahati</t>
  </si>
  <si>
    <t>9273612074</t>
  </si>
  <si>
    <t>nidhi.mehta642@gmail.com</t>
  </si>
  <si>
    <t>Assam</t>
  </si>
  <si>
    <t>888, Park Street</t>
  </si>
  <si>
    <t>East</t>
  </si>
  <si>
    <t>Surat</t>
  </si>
  <si>
    <t>Swati Bhatt</t>
  </si>
  <si>
    <t>KYC00010</t>
  </si>
  <si>
    <t>Gujarat</t>
  </si>
  <si>
    <t>Blocked</t>
  </si>
  <si>
    <t>EPYFS7861X</t>
  </si>
  <si>
    <t>CUST00031</t>
  </si>
  <si>
    <t>BR010</t>
  </si>
  <si>
    <t>Kolkata Camp Branch</t>
  </si>
  <si>
    <t>234005323458</t>
  </si>
  <si>
    <t>082561657221</t>
  </si>
  <si>
    <t>Kolkata</t>
  </si>
  <si>
    <t>Government Employee</t>
  </si>
  <si>
    <t>West Bengal</t>
  </si>
  <si>
    <t>Arun Yadav</t>
  </si>
  <si>
    <t>KYC00011</t>
  </si>
  <si>
    <t>CUST00014</t>
  </si>
  <si>
    <t>BNQML021</t>
  </si>
  <si>
    <t>BR011</t>
  </si>
  <si>
    <t>Customers by Region</t>
  </si>
  <si>
    <t>196215509941</t>
  </si>
  <si>
    <t>Nagpur City Center Branch</t>
  </si>
  <si>
    <t>CUST00827</t>
  </si>
  <si>
    <t>Nagpur</t>
  </si>
  <si>
    <t>Ritu Chopra</t>
  </si>
  <si>
    <t>Customer Count</t>
  </si>
  <si>
    <t>Rakesh Kumar</t>
  </si>
  <si>
    <t>KYC00012</t>
  </si>
  <si>
    <t>1847894038</t>
  </si>
  <si>
    <t>CUST00722</t>
  </si>
  <si>
    <t>ritu.chopra827@gmail.com</t>
  </si>
  <si>
    <t>BR012</t>
  </si>
  <si>
    <t>LHEZG9699X</t>
  </si>
  <si>
    <t>723, FC Road</t>
  </si>
  <si>
    <t>Kanpur Station Road Branch</t>
  </si>
  <si>
    <t>Thiruvananthapuram</t>
  </si>
  <si>
    <t>964725113437</t>
  </si>
  <si>
    <t>Kanpur</t>
  </si>
  <si>
    <t>IIUMH3252G</t>
  </si>
  <si>
    <t>Uttar Pradesh</t>
  </si>
  <si>
    <t>502565712390</t>
  </si>
  <si>
    <t>Siddharth Joshi</t>
  </si>
  <si>
    <t>KYC00013</t>
  </si>
  <si>
    <t>CUST01044</t>
  </si>
  <si>
    <t>BR013</t>
  </si>
  <si>
    <t>NSNLZ2093V</t>
  </si>
  <si>
    <t>Thiruvananthapuram Mg Road Branch</t>
  </si>
  <si>
    <t>Inactive</t>
  </si>
  <si>
    <t>CUST00586</t>
  </si>
  <si>
    <t>Siddharth Patel</t>
  </si>
  <si>
    <t>Rakesh Goel</t>
  </si>
  <si>
    <t>KYC00014</t>
  </si>
  <si>
    <t>9024334316</t>
  </si>
  <si>
    <t>CUST00530</t>
  </si>
  <si>
    <t>siddharth.patel586@gmail.com</t>
  </si>
  <si>
    <t>BR014</t>
  </si>
  <si>
    <t>OGRCQ4778I</t>
  </si>
  <si>
    <t>909, MG Road</t>
  </si>
  <si>
    <t>Jaipur Camp Branch</t>
  </si>
  <si>
    <t>449119666324</t>
  </si>
  <si>
    <t>Jaipur</t>
  </si>
  <si>
    <t>Delhi</t>
  </si>
  <si>
    <t>Rajasthan</t>
  </si>
  <si>
    <t>VYUYL5923Z</t>
  </si>
  <si>
    <t>Vikram Chopra</t>
  </si>
  <si>
    <t>668455730970</t>
  </si>
  <si>
    <t>KYC00015</t>
  </si>
  <si>
    <t>CUST00627</t>
  </si>
  <si>
    <t>Not Disclosed</t>
  </si>
  <si>
    <t>Mumbai Camp Branch</t>
  </si>
  <si>
    <t>PGUCG1515X</t>
  </si>
  <si>
    <t>200985642534</t>
  </si>
  <si>
    <t>BR029</t>
  </si>
  <si>
    <t>Shreya Bhatt</t>
  </si>
  <si>
    <t>CUST00151</t>
  </si>
  <si>
    <t>Seema Rane</t>
  </si>
  <si>
    <t>BR016</t>
  </si>
  <si>
    <t>KYC00016</t>
  </si>
  <si>
    <t>Patna City Center Branch</t>
  </si>
  <si>
    <t>CUST00002</t>
  </si>
  <si>
    <t>9592476363</t>
  </si>
  <si>
    <t>Patna</t>
  </si>
  <si>
    <t>RJKWB6607U</t>
  </si>
  <si>
    <t>Bihar</t>
  </si>
  <si>
    <t>Suman Shah</t>
  </si>
  <si>
    <t>seema.rane151@gmail.com</t>
  </si>
  <si>
    <t>59, FC Road</t>
  </si>
  <si>
    <t>BR017</t>
  </si>
  <si>
    <t>KYC00017</t>
  </si>
  <si>
    <t>GMTAG9670F</t>
  </si>
  <si>
    <t>Noida Mg Road Branch</t>
  </si>
  <si>
    <t>CUST00625</t>
  </si>
  <si>
    <t>Noida</t>
  </si>
  <si>
    <t>CTNMK7616D</t>
  </si>
  <si>
    <t>BR024</t>
  </si>
  <si>
    <t>Anita Chatterjee</t>
  </si>
  <si>
    <t>CUST00517</t>
  </si>
  <si>
    <t>Rekha Desai</t>
  </si>
  <si>
    <t>BR018</t>
  </si>
  <si>
    <t>KYC00018</t>
  </si>
  <si>
    <t>Ludhiana Camp Branch</t>
  </si>
  <si>
    <t>CUST00897</t>
  </si>
  <si>
    <t>9733385187</t>
  </si>
  <si>
    <t>rekha.desai517@gmail.com</t>
  </si>
  <si>
    <t>NWZFD7024S</t>
  </si>
  <si>
    <t>611, Ring Road</t>
  </si>
  <si>
    <t>358944626321</t>
  </si>
  <si>
    <t>DMVOR2092O</t>
  </si>
  <si>
    <t>Ashok Malhotra</t>
  </si>
  <si>
    <t>784640036423</t>
  </si>
  <si>
    <t>Salaried</t>
  </si>
  <si>
    <t>BR019</t>
  </si>
  <si>
    <t>KYC00019</t>
  </si>
  <si>
    <t>Ahmedabad Station Road Branch</t>
  </si>
  <si>
    <t>CUST00248</t>
  </si>
  <si>
    <t>Ahmedabad</t>
  </si>
  <si>
    <t>IZPEM5298G</t>
  </si>
  <si>
    <t>688689933510</t>
  </si>
  <si>
    <t>CUST00941</t>
  </si>
  <si>
    <t>Shalini Menon</t>
  </si>
  <si>
    <t>Ritu Khanna</t>
  </si>
  <si>
    <t>BR020</t>
  </si>
  <si>
    <t>9756949781</t>
  </si>
  <si>
    <t>KYC00020</t>
  </si>
  <si>
    <t>shalini.menon941@gmail.com</t>
  </si>
  <si>
    <t>Gurugram Camp Branch</t>
  </si>
  <si>
    <t>449, FC Road</t>
  </si>
  <si>
    <t>CUST00832</t>
  </si>
  <si>
    <t>UBPZG8734N</t>
  </si>
  <si>
    <t>786960748891</t>
  </si>
  <si>
    <t>YOCQC1314V</t>
  </si>
  <si>
    <t>Ramesh Nair</t>
  </si>
  <si>
    <t>005933312807</t>
  </si>
  <si>
    <t>BR021</t>
  </si>
  <si>
    <t>Self-Employed</t>
  </si>
  <si>
    <t>Mysuru Mg Road Branch</t>
  </si>
  <si>
    <t>KYC00021</t>
  </si>
  <si>
    <t>Mysuru</t>
  </si>
  <si>
    <t>CUST00120</t>
  </si>
  <si>
    <t>KWBNS1542H</t>
  </si>
  <si>
    <t>714336907709</t>
  </si>
  <si>
    <t>Deepak Patel</t>
  </si>
  <si>
    <t>CUST00018</t>
  </si>
  <si>
    <t>BR022</t>
  </si>
  <si>
    <t>Vijay Gupta</t>
  </si>
  <si>
    <t>Chennai City Center Branch</t>
  </si>
  <si>
    <t>KYC00022</t>
  </si>
  <si>
    <t>Chennai</t>
  </si>
  <si>
    <t>CUST00217</t>
  </si>
  <si>
    <t>9665072150</t>
  </si>
  <si>
    <t>QCTEA8541T</t>
  </si>
  <si>
    <t>vijay.gupta18@yahoo.com</t>
  </si>
  <si>
    <t>337, Park Street</t>
  </si>
  <si>
    <t>608368112337</t>
  </si>
  <si>
    <t>Arun Saxena</t>
  </si>
  <si>
    <t>YKTEK0449A</t>
  </si>
  <si>
    <t>349806593311</t>
  </si>
  <si>
    <t>Bhopal Mg Road Branch</t>
  </si>
  <si>
    <t>KYC00023</t>
  </si>
  <si>
    <t>Bhopal</t>
  </si>
  <si>
    <t>CUST00498</t>
  </si>
  <si>
    <t>JDPER0599H</t>
  </si>
  <si>
    <t>BR026</t>
  </si>
  <si>
    <t>119272522047</t>
  </si>
  <si>
    <t>Swati Trivedi</t>
  </si>
  <si>
    <t>CUST00161</t>
  </si>
  <si>
    <t>Rajesh Patel</t>
  </si>
  <si>
    <t>Ranchi Station Road Branch</t>
  </si>
  <si>
    <t>Ranchi</t>
  </si>
  <si>
    <t>KYC00024</t>
  </si>
  <si>
    <t>Jharkhand</t>
  </si>
  <si>
    <t>CUST00918</t>
  </si>
  <si>
    <t>9004362345</t>
  </si>
  <si>
    <t>rajesh.patel161@gmail.com</t>
  </si>
  <si>
    <t>MVGZV4172L</t>
  </si>
  <si>
    <t>Varun Goel</t>
  </si>
  <si>
    <t>360, Nehru Nagar</t>
  </si>
  <si>
    <t>808168304331</t>
  </si>
  <si>
    <t>DNGTW9281S</t>
  </si>
  <si>
    <t>Delhi Main Branch</t>
  </si>
  <si>
    <t>875195621099</t>
  </si>
  <si>
    <t>KYC00025</t>
  </si>
  <si>
    <t>Homemaker</t>
  </si>
  <si>
    <t>CUST00143</t>
  </si>
  <si>
    <t>Seema Bhatt</t>
  </si>
  <si>
    <t>KLWAD8374R</t>
  </si>
  <si>
    <t>324776255019</t>
  </si>
  <si>
    <t>Lucknow Main Branch</t>
  </si>
  <si>
    <t>Possible Duplicate</t>
  </si>
  <si>
    <t>Lucknow</t>
  </si>
  <si>
    <t>CUST00076</t>
  </si>
  <si>
    <t>Nikhil Bose</t>
  </si>
  <si>
    <t>KYC00026</t>
  </si>
  <si>
    <t>Anand Saxena</t>
  </si>
  <si>
    <t>CUST00575</t>
  </si>
  <si>
    <t>BR027</t>
  </si>
  <si>
    <t>OJOBV3490I</t>
  </si>
  <si>
    <t>Surat Mg Road Branch</t>
  </si>
  <si>
    <t>9205521020</t>
  </si>
  <si>
    <t>790552441266</t>
  </si>
  <si>
    <t>nikhil.bose76@gmail.com</t>
  </si>
  <si>
    <t>601, Park Street</t>
  </si>
  <si>
    <t>EZACD9402C</t>
  </si>
  <si>
    <t>Amit Agarwal</t>
  </si>
  <si>
    <t>039657598642</t>
  </si>
  <si>
    <t>KYC00027</t>
  </si>
  <si>
    <t>Unemployed</t>
  </si>
  <si>
    <t>BR028</t>
  </si>
  <si>
    <t>CUST00671</t>
  </si>
  <si>
    <t>Guwahati City Center Branch</t>
  </si>
  <si>
    <t>ETTTA2042C</t>
  </si>
  <si>
    <t>BR030</t>
  </si>
  <si>
    <t>568503097268</t>
  </si>
  <si>
    <t>CUST00901</t>
  </si>
  <si>
    <t>Usha Reddy</t>
  </si>
  <si>
    <t>Radha Bose</t>
  </si>
  <si>
    <t>KYC00028</t>
  </si>
  <si>
    <t>CUST00711</t>
  </si>
  <si>
    <t>Pune Station Road Branch</t>
  </si>
  <si>
    <t>JCIDS8668S</t>
  </si>
  <si>
    <t>633159578581</t>
  </si>
  <si>
    <t>9750078294</t>
  </si>
  <si>
    <t>Nidhi Desai</t>
  </si>
  <si>
    <t>radha.bose901@yahoo.com</t>
  </si>
  <si>
    <t>741, Park Street</t>
  </si>
  <si>
    <t>FHITZ7917Y</t>
  </si>
  <si>
    <t>Thiruvananthapuram Camp Branch</t>
  </si>
  <si>
    <t>KYC00029</t>
  </si>
  <si>
    <t>966386873908</t>
  </si>
  <si>
    <t>CUST00609</t>
  </si>
  <si>
    <t>RZHQR2731B</t>
  </si>
  <si>
    <t>388230611337</t>
  </si>
  <si>
    <t>Arun Bansal</t>
  </si>
  <si>
    <t>CUST01010</t>
  </si>
  <si>
    <t>Neha Bhatt</t>
  </si>
  <si>
    <t>KYC00030</t>
  </si>
  <si>
    <t>CUST00993</t>
  </si>
  <si>
    <t>LGZDC8690L</t>
  </si>
  <si>
    <t>9338146455</t>
  </si>
  <si>
    <t>633422184326</t>
  </si>
  <si>
    <t>neha.bhatt121@gmail.com</t>
  </si>
  <si>
    <t>898, Ring Road</t>
  </si>
  <si>
    <t>VVSNJ6874A</t>
  </si>
  <si>
    <t>066714630159</t>
  </si>
  <si>
    <t>KYC00031</t>
  </si>
  <si>
    <t>CUST00566</t>
  </si>
  <si>
    <t>XBUFU8346N</t>
  </si>
  <si>
    <t>681053178020</t>
  </si>
  <si>
    <t>Vandana Patel</t>
  </si>
  <si>
    <t>KYC00032</t>
  </si>
  <si>
    <t>CUST00620</t>
  </si>
  <si>
    <t>PTHEP6340G</t>
  </si>
  <si>
    <t>9083970669</t>
  </si>
  <si>
    <t>036767913701</t>
  </si>
  <si>
    <t>vandana.patel749@gmail.com</t>
  </si>
  <si>
    <t>794, FC Road</t>
  </si>
  <si>
    <t>Customer Status Breakdown</t>
  </si>
  <si>
    <t>KYC00033</t>
  </si>
  <si>
    <t>CUST00401</t>
  </si>
  <si>
    <t>285507407649</t>
  </si>
  <si>
    <t>CUST00158</t>
  </si>
  <si>
    <t>Lata Bhatt</t>
  </si>
  <si>
    <t>KYC00034</t>
  </si>
  <si>
    <t>CUST00406</t>
  </si>
  <si>
    <t>OKYJM7996W</t>
  </si>
  <si>
    <t>802881103428</t>
  </si>
  <si>
    <t>9926037860</t>
  </si>
  <si>
    <t>lata.bhatt158@gmail.com</t>
  </si>
  <si>
    <t>293, Church Street</t>
  </si>
  <si>
    <t>WKPGR7615G</t>
  </si>
  <si>
    <t>Gender Split</t>
  </si>
  <si>
    <t>KYC00035</t>
  </si>
  <si>
    <t>963764443429</t>
  </si>
  <si>
    <t>CUST00619</t>
  </si>
  <si>
    <t>Freelancer</t>
  </si>
  <si>
    <t>NYOUZ9380X</t>
  </si>
  <si>
    <t>410155040890</t>
  </si>
  <si>
    <t>CUST00001</t>
  </si>
  <si>
    <t>KYC00036</t>
  </si>
  <si>
    <t>Aarti Verma</t>
  </si>
  <si>
    <t>CUST00112</t>
  </si>
  <si>
    <t>TMZPJ4426Z</t>
  </si>
  <si>
    <t>9767363842</t>
  </si>
  <si>
    <t>aarti.verma1@gmail.com</t>
  </si>
  <si>
    <t>Top 10 Branches by Total Loan Amount</t>
  </si>
  <si>
    <t>8, MG Road</t>
  </si>
  <si>
    <t>KYC00037</t>
  </si>
  <si>
    <t>TVZND6915P</t>
  </si>
  <si>
    <t>CUST00290</t>
  </si>
  <si>
    <t>JRCKW3754C</t>
  </si>
  <si>
    <t>257571915979</t>
  </si>
  <si>
    <t>KYC00038</t>
  </si>
  <si>
    <t>CUST00110</t>
  </si>
  <si>
    <t>CUST00617</t>
  </si>
  <si>
    <t>ZNDAY7991Z</t>
  </si>
  <si>
    <t>Pooja Kulkarni</t>
  </si>
  <si>
    <t>556289796779</t>
  </si>
  <si>
    <t>9411727617</t>
  </si>
  <si>
    <t>pooja.kulkarni617@gmail.com</t>
  </si>
  <si>
    <t>25, Park Street</t>
  </si>
  <si>
    <t>KYC00039</t>
  </si>
  <si>
    <t>CUST00466</t>
  </si>
  <si>
    <t>PYGGE5362C</t>
  </si>
  <si>
    <t>HVSEO8689V</t>
  </si>
  <si>
    <t>852429368734</t>
  </si>
  <si>
    <t>888917118152</t>
  </si>
  <si>
    <t>KYC00040</t>
  </si>
  <si>
    <t>CUST00753</t>
  </si>
  <si>
    <t>ZYJIF9065U</t>
  </si>
  <si>
    <t>CUST00526</t>
  </si>
  <si>
    <t>Naveen Kapoor</t>
  </si>
  <si>
    <t>066833087836</t>
  </si>
  <si>
    <t>9590786917</t>
  </si>
  <si>
    <t>naveen.kapoor526@gmail.com</t>
  </si>
  <si>
    <t>KYC00041</t>
  </si>
  <si>
    <t>938, Church Street</t>
  </si>
  <si>
    <t>CUST00877</t>
  </si>
  <si>
    <t>DQKER5693V</t>
  </si>
  <si>
    <t>LLPZC6797F</t>
  </si>
  <si>
    <t>126774628862</t>
  </si>
  <si>
    <t>774942760359</t>
  </si>
  <si>
    <t>KYC00042</t>
  </si>
  <si>
    <t>CUST00053</t>
  </si>
  <si>
    <t>AVZDV3665G</t>
  </si>
  <si>
    <t>800941983041</t>
  </si>
  <si>
    <t>CUST00661</t>
  </si>
  <si>
    <t>Suresh Khanna</t>
  </si>
  <si>
    <t>KYC00043</t>
  </si>
  <si>
    <t>9161950768</t>
  </si>
  <si>
    <t>CUST00275</t>
  </si>
  <si>
    <t>suresh.khanna661@gmail.com</t>
  </si>
  <si>
    <t>IGDUU5670R</t>
  </si>
  <si>
    <t>846, Park Street</t>
  </si>
  <si>
    <t>566088243059</t>
  </si>
  <si>
    <t>QSHVT2595H</t>
  </si>
  <si>
    <t>253545120295</t>
  </si>
  <si>
    <t>KYC00044</t>
  </si>
  <si>
    <t>CUST00631</t>
  </si>
  <si>
    <t>LESVB1882X</t>
  </si>
  <si>
    <t>619326349980</t>
  </si>
  <si>
    <t>CUST00788</t>
  </si>
  <si>
    <t>KYC00045</t>
  </si>
  <si>
    <t>Rekha Verma</t>
  </si>
  <si>
    <t>CUST00409</t>
  </si>
  <si>
    <t>OHZUG9507X</t>
  </si>
  <si>
    <t>LoanID</t>
  </si>
  <si>
    <t>802761482179</t>
  </si>
  <si>
    <t>9716075746</t>
  </si>
  <si>
    <t>rekha.verma788@gmail.com</t>
  </si>
  <si>
    <t>842, Church Street</t>
  </si>
  <si>
    <t>LoanAmount</t>
  </si>
  <si>
    <t>KYC00046</t>
  </si>
  <si>
    <t>InterestRate</t>
  </si>
  <si>
    <t>CUST00499</t>
  </si>
  <si>
    <t>YWVXU0402N</t>
  </si>
  <si>
    <t>ZQTNA1331U</t>
  </si>
  <si>
    <t>TenureMonths</t>
  </si>
  <si>
    <t>394993848956</t>
  </si>
  <si>
    <t>SanctionDate</t>
  </si>
  <si>
    <t>068421482647</t>
  </si>
  <si>
    <t>OutstandingAmount</t>
  </si>
  <si>
    <t>KYC00047</t>
  </si>
  <si>
    <t>OutstandingAmount_Status</t>
  </si>
  <si>
    <t>CUST00184</t>
  </si>
  <si>
    <t>ECHZF5024J</t>
  </si>
  <si>
    <t>LN00001</t>
  </si>
  <si>
    <t>864902335635</t>
  </si>
  <si>
    <t>CUST00206</t>
  </si>
  <si>
    <t>CUST00598</t>
  </si>
  <si>
    <t>Girish Desai</t>
  </si>
  <si>
    <t>KYC00048</t>
  </si>
  <si>
    <t>CUST00775</t>
  </si>
  <si>
    <t>9544111561</t>
  </si>
  <si>
    <t>BIRSU7111Z</t>
  </si>
  <si>
    <t>girish.desai598@yahoo.com</t>
  </si>
  <si>
    <t>820, Park Street</t>
  </si>
  <si>
    <t>491425877329</t>
  </si>
  <si>
    <t>OZOFG0625O</t>
  </si>
  <si>
    <t>OK</t>
  </si>
  <si>
    <t>065577328160</t>
  </si>
  <si>
    <t>LN00002</t>
  </si>
  <si>
    <t>KYC00049</t>
  </si>
  <si>
    <t>CUST01016</t>
  </si>
  <si>
    <t>CUST00307</t>
  </si>
  <si>
    <t>NKZKB9731M</t>
  </si>
  <si>
    <t>738893848378</t>
  </si>
  <si>
    <t>KYC00050</t>
  </si>
  <si>
    <t>CUST00075</t>
  </si>
  <si>
    <t>Manoj Bansal</t>
  </si>
  <si>
    <t>CUST00676</t>
  </si>
  <si>
    <t>FGZSO7181W</t>
  </si>
  <si>
    <t>941468949588</t>
  </si>
  <si>
    <t>9145255693</t>
  </si>
  <si>
    <t>manoj.bansal75@gmail.com</t>
  </si>
  <si>
    <t>569, Ring Road</t>
  </si>
  <si>
    <t>LN00003</t>
  </si>
  <si>
    <t>CUST00233</t>
  </si>
  <si>
    <t>UUJPT7601M</t>
  </si>
  <si>
    <t>KYC00051</t>
  </si>
  <si>
    <t>905520705532</t>
  </si>
  <si>
    <t>CUST00588</t>
  </si>
  <si>
    <t>WGQFR1484L</t>
  </si>
  <si>
    <t>730648361340</t>
  </si>
  <si>
    <t>CUST00462</t>
  </si>
  <si>
    <t>Asha Agarwal</t>
  </si>
  <si>
    <t>KYC00052</t>
  </si>
  <si>
    <t>LN00004</t>
  </si>
  <si>
    <t>CUST00474</t>
  </si>
  <si>
    <t>9578072679</t>
  </si>
  <si>
    <t>CUST00402</t>
  </si>
  <si>
    <t>DYMMC5320T</t>
  </si>
  <si>
    <t>asha.agarwal462@gmail.com</t>
  </si>
  <si>
    <t>391, Park Street</t>
  </si>
  <si>
    <t>762600752043</t>
  </si>
  <si>
    <t>LCLTV6657W</t>
  </si>
  <si>
    <t>231773759344</t>
  </si>
  <si>
    <t>KYC00053</t>
  </si>
  <si>
    <t>CUST00434</t>
  </si>
  <si>
    <t>AVOYX7537O</t>
  </si>
  <si>
    <t>CUST00540</t>
  </si>
  <si>
    <t>Swati Nair</t>
  </si>
  <si>
    <t>257864663165</t>
  </si>
  <si>
    <t>LN00005</t>
  </si>
  <si>
    <t>9810505195</t>
  </si>
  <si>
    <t>CUST00747</t>
  </si>
  <si>
    <t>swati.nair540@gmail.com</t>
  </si>
  <si>
    <t>306, FC Road</t>
  </si>
  <si>
    <t>KYC00054</t>
  </si>
  <si>
    <t>NWZCA749</t>
  </si>
  <si>
    <t>CUST00536</t>
  </si>
  <si>
    <t>No</t>
  </si>
  <si>
    <t>UFHYU8081L</t>
  </si>
  <si>
    <t>918674561283</t>
  </si>
  <si>
    <t>762447776457</t>
  </si>
  <si>
    <t>KYC00055</t>
  </si>
  <si>
    <t>LN00006</t>
  </si>
  <si>
    <t>CUST00380</t>
  </si>
  <si>
    <t>CUST00395</t>
  </si>
  <si>
    <t>CUST00419</t>
  </si>
  <si>
    <t>Gaurav Bhatt</t>
  </si>
  <si>
    <t>396988285137</t>
  </si>
  <si>
    <t>9947869211</t>
  </si>
  <si>
    <t>gaurav.bhatt380@gmail.com</t>
  </si>
  <si>
    <t>230, MG Road</t>
  </si>
  <si>
    <t>KYC00056</t>
  </si>
  <si>
    <t>FWEAE4955C</t>
  </si>
  <si>
    <t>CUST00881</t>
  </si>
  <si>
    <t>926280584879</t>
  </si>
  <si>
    <t>MYBLD3385J</t>
  </si>
  <si>
    <t>907762103628</t>
  </si>
  <si>
    <t>LN00007</t>
  </si>
  <si>
    <t>KYC00057</t>
  </si>
  <si>
    <t>CUST00261</t>
  </si>
  <si>
    <t>CUST00796</t>
  </si>
  <si>
    <t>CUST00984</t>
  </si>
  <si>
    <t>Lata Sharma</t>
  </si>
  <si>
    <t>EDQGU974</t>
  </si>
  <si>
    <t>321897975383</t>
  </si>
  <si>
    <t>lata.sharma796@yahoo.com</t>
  </si>
  <si>
    <t>998, Park Street</t>
  </si>
  <si>
    <t>KYC00058</t>
  </si>
  <si>
    <t>038096791047</t>
  </si>
  <si>
    <t>LN00008</t>
  </si>
  <si>
    <t>CUST00029</t>
  </si>
  <si>
    <t>BMNDV5571N</t>
  </si>
  <si>
    <t>CUST00201</t>
  </si>
  <si>
    <t>885319295201</t>
  </si>
  <si>
    <t>CUST00913</t>
  </si>
  <si>
    <t>Rajesh Sharma</t>
  </si>
  <si>
    <t>KYC00059</t>
  </si>
  <si>
    <t>CUST00438</t>
  </si>
  <si>
    <t>BAOOV6406U</t>
  </si>
  <si>
    <t>9214389826</t>
  </si>
  <si>
    <t>612636643862</t>
  </si>
  <si>
    <t>rajesh.sharma913@gmail.com</t>
  </si>
  <si>
    <t>LN00009</t>
  </si>
  <si>
    <t>51, Ring Road</t>
  </si>
  <si>
    <t>CUST00828</t>
  </si>
  <si>
    <t>FKUTE4684K</t>
  </si>
  <si>
    <t>854579900356</t>
  </si>
  <si>
    <t>KYC00060</t>
  </si>
  <si>
    <t>CUST00382</t>
  </si>
  <si>
    <t>YWGAG5028J</t>
  </si>
  <si>
    <t>120130898391</t>
  </si>
  <si>
    <t>LN00010</t>
  </si>
  <si>
    <t>KYC00061</t>
  </si>
  <si>
    <t>CUST00211</t>
  </si>
  <si>
    <t>Aditya Khanna</t>
  </si>
  <si>
    <t>CUST00559</t>
  </si>
  <si>
    <t>FUAPP6965F</t>
  </si>
  <si>
    <t>260153569776</t>
  </si>
  <si>
    <t>9795339034</t>
  </si>
  <si>
    <t>aditya.khanna143@gmail.com</t>
  </si>
  <si>
    <t>567, Park Street</t>
  </si>
  <si>
    <t>KYC00062</t>
  </si>
  <si>
    <t>CUST00222</t>
  </si>
  <si>
    <t>VLWHZ0634Y</t>
  </si>
  <si>
    <t>LN00011</t>
  </si>
  <si>
    <t>263125116708</t>
  </si>
  <si>
    <t>CUST00252</t>
  </si>
  <si>
    <t>KYC00063</t>
  </si>
  <si>
    <t>CUST00611</t>
  </si>
  <si>
    <t>IKLDB4671O</t>
  </si>
  <si>
    <t>208367762984</t>
  </si>
  <si>
    <t>Sneha Mehta</t>
  </si>
  <si>
    <t>KYC00064</t>
  </si>
  <si>
    <t>QHOAZ9724S</t>
  </si>
  <si>
    <t>9284348137</t>
  </si>
  <si>
    <t>sneha.mehta402@gmail.com</t>
  </si>
  <si>
    <t>204931956008</t>
  </si>
  <si>
    <t>LN00012</t>
  </si>
  <si>
    <t>768, Ring Road</t>
  </si>
  <si>
    <t>CUST00060</t>
  </si>
  <si>
    <t>AFXRM9324S</t>
  </si>
  <si>
    <t>786616140306</t>
  </si>
  <si>
    <t>KYC00065</t>
  </si>
  <si>
    <t>CUST00344</t>
  </si>
  <si>
    <t>PJPQG3578C</t>
  </si>
  <si>
    <t>119972510811</t>
  </si>
  <si>
    <t>KYC00066</t>
  </si>
  <si>
    <t>CUST00713</t>
  </si>
  <si>
    <t>CUST00570</t>
  </si>
  <si>
    <t>Sarita Nair</t>
  </si>
  <si>
    <t>CCABR3814Z</t>
  </si>
  <si>
    <t>568863497884</t>
  </si>
  <si>
    <t>LN00013</t>
  </si>
  <si>
    <t>9691951904</t>
  </si>
  <si>
    <t>CUST00655</t>
  </si>
  <si>
    <t>sarita.nair713@yahoo.com</t>
  </si>
  <si>
    <t>433, Church Street</t>
  </si>
  <si>
    <t>KYC00067</t>
  </si>
  <si>
    <t>CUST00299</t>
  </si>
  <si>
    <t>KHHRH6901W</t>
  </si>
  <si>
    <t>RCFHW5089O</t>
  </si>
  <si>
    <t>906461367118</t>
  </si>
  <si>
    <t>KYC00068</t>
  </si>
  <si>
    <t>CUST00630</t>
  </si>
  <si>
    <t>UCXAM6167G</t>
  </si>
  <si>
    <t>CardID</t>
  </si>
  <si>
    <t>LN00014</t>
  </si>
  <si>
    <t>974624340139</t>
  </si>
  <si>
    <t>CUST01021</t>
  </si>
  <si>
    <t>CUST00859</t>
  </si>
  <si>
    <t>Aatri Agarwal</t>
  </si>
  <si>
    <t>CardLimit</t>
  </si>
  <si>
    <t>CurrentOutstanding</t>
  </si>
  <si>
    <t>KYC00069</t>
  </si>
  <si>
    <t>IssueDate</t>
  </si>
  <si>
    <t>9605617112</t>
  </si>
  <si>
    <t>CUST00802</t>
  </si>
  <si>
    <t>aarti.agarwal859@yahoo.com</t>
  </si>
  <si>
    <t>NYGWI1495J</t>
  </si>
  <si>
    <t>LastPaymentDate</t>
  </si>
  <si>
    <t>881, FC Road</t>
  </si>
  <si>
    <t>561550603155</t>
  </si>
  <si>
    <t>LastPaymentDate_Status</t>
  </si>
  <si>
    <t>CC00001</t>
  </si>
  <si>
    <t>GVLHG8922W</t>
  </si>
  <si>
    <t>CUST01006</t>
  </si>
  <si>
    <t>133345022360</t>
  </si>
  <si>
    <t>LN00015</t>
  </si>
  <si>
    <t>KYC00070</t>
  </si>
  <si>
    <t>CUST00951</t>
  </si>
  <si>
    <t>CUST00476</t>
  </si>
  <si>
    <t>OEKHA2425E</t>
  </si>
  <si>
    <t>123203044258</t>
  </si>
  <si>
    <t>CC00002</t>
  </si>
  <si>
    <t>KYC00071</t>
  </si>
  <si>
    <t>CUST00696</t>
  </si>
  <si>
    <t>CUST00118</t>
  </si>
  <si>
    <t>CUST00095</t>
  </si>
  <si>
    <t>Meera Nair</t>
  </si>
  <si>
    <t>IUCZN9203W</t>
  </si>
  <si>
    <t>130883817707</t>
  </si>
  <si>
    <t>9184094587</t>
  </si>
  <si>
    <t>512, Nehru Nagar</t>
  </si>
  <si>
    <t>KYC00072</t>
  </si>
  <si>
    <t>CUST00706</t>
  </si>
  <si>
    <t>LN00016</t>
  </si>
  <si>
    <t>CUST00361</t>
  </si>
  <si>
    <t>624932885067</t>
  </si>
  <si>
    <t>CC00003</t>
  </si>
  <si>
    <t>CUST00980</t>
  </si>
  <si>
    <t>LN00017</t>
  </si>
  <si>
    <t>CUST00846</t>
  </si>
  <si>
    <t>CC00004</t>
  </si>
  <si>
    <t>CUST00538</t>
  </si>
  <si>
    <t>CC00005</t>
  </si>
  <si>
    <t>FSPMY8603V</t>
  </si>
  <si>
    <t>CUST00714</t>
  </si>
  <si>
    <t>571404466581</t>
  </si>
  <si>
    <t>LN00018</t>
  </si>
  <si>
    <t>CC00006</t>
  </si>
  <si>
    <t>CUST00717</t>
  </si>
  <si>
    <t>KYC00073</t>
  </si>
  <si>
    <t>CC00007</t>
  </si>
  <si>
    <t>CUST00433</t>
  </si>
  <si>
    <t>CUST00519</t>
  </si>
  <si>
    <t>CUST01048</t>
  </si>
  <si>
    <t>Rekha Joshi</t>
  </si>
  <si>
    <t>LN00019</t>
  </si>
  <si>
    <t>MHIUS9975X</t>
  </si>
  <si>
    <t>CUST00634</t>
  </si>
  <si>
    <t>768258383135</t>
  </si>
  <si>
    <t>9447651669</t>
  </si>
  <si>
    <t>CC00008</t>
  </si>
  <si>
    <t>rekha.joshi433@gmail.com</t>
  </si>
  <si>
    <t>CUST00945</t>
  </si>
  <si>
    <t>935, Church Street</t>
  </si>
  <si>
    <t>KYC00074</t>
  </si>
  <si>
    <t>YOBTN0900X</t>
  </si>
  <si>
    <t>128920377599</t>
  </si>
  <si>
    <t>CC00009</t>
  </si>
  <si>
    <t>LN00020</t>
  </si>
  <si>
    <t>CUST00410</t>
  </si>
  <si>
    <t>CUST00332</t>
  </si>
  <si>
    <t>No Payment Recorded</t>
  </si>
  <si>
    <t>KYC00075</t>
  </si>
  <si>
    <t>CC00010</t>
  </si>
  <si>
    <t>CUST00388</t>
  </si>
  <si>
    <t>CUST00105</t>
  </si>
  <si>
    <t>CUST00597</t>
  </si>
  <si>
    <t>1068487626</t>
  </si>
  <si>
    <t>Payal Yadav</t>
  </si>
  <si>
    <t>CC00011</t>
  </si>
  <si>
    <t>CUST00687</t>
  </si>
  <si>
    <t>LN00021</t>
  </si>
  <si>
    <t>KYC00076</t>
  </si>
  <si>
    <t>CUST00806</t>
  </si>
  <si>
    <t>CUST00739</t>
  </si>
  <si>
    <t>9172494639</t>
  </si>
  <si>
    <t>MDRPE4211R</t>
  </si>
  <si>
    <t>payal.yadav597@gmail.com</t>
  </si>
  <si>
    <t>382, Ring Road</t>
  </si>
  <si>
    <t>736088599349</t>
  </si>
  <si>
    <t>VZJGY8967S</t>
  </si>
  <si>
    <t>763034787443</t>
  </si>
  <si>
    <t>KYC00077</t>
  </si>
  <si>
    <t>CC00012</t>
  </si>
  <si>
    <t>CUST00189</t>
  </si>
  <si>
    <t>LN00022</t>
  </si>
  <si>
    <t>CUST00482</t>
  </si>
  <si>
    <t>OAVHV3381H</t>
  </si>
  <si>
    <t>CUST00173</t>
  </si>
  <si>
    <t>525636585996</t>
  </si>
  <si>
    <t>CUST01014</t>
  </si>
  <si>
    <t>Namrata Shah</t>
  </si>
  <si>
    <t>CC00013</t>
  </si>
  <si>
    <t>9214309733</t>
  </si>
  <si>
    <t>CUST00191</t>
  </si>
  <si>
    <t>KYC00078</t>
  </si>
  <si>
    <t>namrata.shah784@gmail.com</t>
  </si>
  <si>
    <t>81, FC Road</t>
  </si>
  <si>
    <t>CUST00999</t>
  </si>
  <si>
    <t>UCLBE9177T</t>
  </si>
  <si>
    <t>614778241585</t>
  </si>
  <si>
    <t>LN00023</t>
  </si>
  <si>
    <t>695669295354</t>
  </si>
  <si>
    <t>CUST00109</t>
  </si>
  <si>
    <t>CC00014</t>
  </si>
  <si>
    <t>KYC00079</t>
  </si>
  <si>
    <t>CUST00991</t>
  </si>
  <si>
    <t>YSSRE7333L</t>
  </si>
  <si>
    <t>100256664229</t>
  </si>
  <si>
    <t>CUST00175</t>
  </si>
  <si>
    <t>CC00015</t>
  </si>
  <si>
    <t>Varun Iyer</t>
  </si>
  <si>
    <t>CUST00595</t>
  </si>
  <si>
    <t>9716218783</t>
  </si>
  <si>
    <t>varun.iyer175@gmail.com</t>
  </si>
  <si>
    <t>KYC00080</t>
  </si>
  <si>
    <t>24, Nehru Nagar</t>
  </si>
  <si>
    <t>LN00024</t>
  </si>
  <si>
    <t>CUST00360</t>
  </si>
  <si>
    <t>AAUDQ5950T</t>
  </si>
  <si>
    <t>QHRCI3355J</t>
  </si>
  <si>
    <t>713296689410</t>
  </si>
  <si>
    <t>CC00016</t>
  </si>
  <si>
    <t>CUST00650</t>
  </si>
  <si>
    <t>KYC00081</t>
  </si>
  <si>
    <t>CUST00679</t>
  </si>
  <si>
    <t>CUST00412</t>
  </si>
  <si>
    <t>Ritu Mehta</t>
  </si>
  <si>
    <t>DWFNX9078V</t>
  </si>
  <si>
    <t>874940682954</t>
  </si>
  <si>
    <t>LN00025</t>
  </si>
  <si>
    <t>CC00017</t>
  </si>
  <si>
    <t>9541955824</t>
  </si>
  <si>
    <t>CUST00077</t>
  </si>
  <si>
    <t>CUST00134</t>
  </si>
  <si>
    <t>ritu.mehta679@gmail.com</t>
  </si>
  <si>
    <t>90, Ring Road</t>
  </si>
  <si>
    <t>IJKIA0769A</t>
  </si>
  <si>
    <t>919034721195</t>
  </si>
  <si>
    <t>KYC00082</t>
  </si>
  <si>
    <t>CUST00132</t>
  </si>
  <si>
    <t>CC00018</t>
  </si>
  <si>
    <t>CBXML3555K</t>
  </si>
  <si>
    <t>CUST00662</t>
  </si>
  <si>
    <t>244494981171</t>
  </si>
  <si>
    <t>CUST01034</t>
  </si>
  <si>
    <t>Yogesh Singh</t>
  </si>
  <si>
    <t>LN00026</t>
  </si>
  <si>
    <t>CUST00055</t>
  </si>
  <si>
    <t>KYC00083</t>
  </si>
  <si>
    <t>CC00019</t>
  </si>
  <si>
    <t>9007560427</t>
  </si>
  <si>
    <t>CUST00928</t>
  </si>
  <si>
    <t>yogesh.singh14@yahoo.com</t>
  </si>
  <si>
    <t>CUST00230</t>
  </si>
  <si>
    <t>425, FC Road</t>
  </si>
  <si>
    <t>JJIWS4044X</t>
  </si>
  <si>
    <t>109317113236</t>
  </si>
  <si>
    <t>CC00020</t>
  </si>
  <si>
    <t>KYC00084</t>
  </si>
  <si>
    <t>CUST00160</t>
  </si>
  <si>
    <t>CUST00894</t>
  </si>
  <si>
    <t>LN00027</t>
  </si>
  <si>
    <t>SBLVU5462H</t>
  </si>
  <si>
    <t>CUST00651</t>
  </si>
  <si>
    <t>Ajay Pandey</t>
  </si>
  <si>
    <t>329106787974</t>
  </si>
  <si>
    <t>CC00021</t>
  </si>
  <si>
    <t>9300063502</t>
  </si>
  <si>
    <t>CUST00522</t>
  </si>
  <si>
    <t>ajay.pandey575@gmail.com</t>
  </si>
  <si>
    <t>77, FC Road</t>
  </si>
  <si>
    <t>KYC00085</t>
  </si>
  <si>
    <t>CUST01049</t>
  </si>
  <si>
    <t>TIZED630</t>
  </si>
  <si>
    <t>585086681055</t>
  </si>
  <si>
    <t>CC00022</t>
  </si>
  <si>
    <t>CUST00691</t>
  </si>
  <si>
    <t>LN00028</t>
  </si>
  <si>
    <t>CUST00660</t>
  </si>
  <si>
    <t>CUST00932</t>
  </si>
  <si>
    <t>KYC00086</t>
  </si>
  <si>
    <t>Rekha Rao</t>
  </si>
  <si>
    <t>CUST00220</t>
  </si>
  <si>
    <t>NUWCX6977L</t>
  </si>
  <si>
    <t>CC00023</t>
  </si>
  <si>
    <t>CUST00042</t>
  </si>
  <si>
    <t>9884122532</t>
  </si>
  <si>
    <t>248760635684</t>
  </si>
  <si>
    <t>rekha.rao932@gmail.com</t>
  </si>
  <si>
    <t>67, FC Road</t>
  </si>
  <si>
    <t>BSYQZ5747O</t>
  </si>
  <si>
    <t>664934513671</t>
  </si>
  <si>
    <t>LN00029</t>
  </si>
  <si>
    <t>KYC00087</t>
  </si>
  <si>
    <t>CUST00148</t>
  </si>
  <si>
    <t>CUST00054</t>
  </si>
  <si>
    <t>CC00024</t>
  </si>
  <si>
    <t>XUBZN7991R</t>
  </si>
  <si>
    <t>CUST00934</t>
  </si>
  <si>
    <t>289092873881</t>
  </si>
  <si>
    <t>CUST00423</t>
  </si>
  <si>
    <t>Anita Reddy</t>
  </si>
  <si>
    <t>KYC00088</t>
  </si>
  <si>
    <t>CUST00366</t>
  </si>
  <si>
    <t>CC00025</t>
  </si>
  <si>
    <t>NKMLW9614Z</t>
  </si>
  <si>
    <t>CUST00389</t>
  </si>
  <si>
    <t>9636691202</t>
  </si>
  <si>
    <t>952407469910</t>
  </si>
  <si>
    <t>LN00030</t>
  </si>
  <si>
    <t>anita.reddy423@gmail.com</t>
  </si>
  <si>
    <t>78, FC Road</t>
  </si>
  <si>
    <t>CUST00346</t>
  </si>
  <si>
    <t>IHILB6608V</t>
  </si>
  <si>
    <t>KYC00089</t>
  </si>
  <si>
    <t>197327140115</t>
  </si>
  <si>
    <t>CUST00875</t>
  </si>
  <si>
    <t>CC00026</t>
  </si>
  <si>
    <t>CUST00962</t>
  </si>
  <si>
    <t>GAGJC2248M</t>
  </si>
  <si>
    <t>577118757230</t>
  </si>
  <si>
    <t>KYC00090</t>
  </si>
  <si>
    <t>CUST00372</t>
  </si>
  <si>
    <t>CUST00677</t>
  </si>
  <si>
    <t>WVHHK7311C</t>
  </si>
  <si>
    <t>Ritu Verma</t>
  </si>
  <si>
    <t>CC00027</t>
  </si>
  <si>
    <t>742733519622</t>
  </si>
  <si>
    <t>CUST00165</t>
  </si>
  <si>
    <t>LN00031</t>
  </si>
  <si>
    <t>9647418841</t>
  </si>
  <si>
    <t>CUST00593</t>
  </si>
  <si>
    <t>ritu.verma677@yahoo.com</t>
  </si>
  <si>
    <t>KYC00091</t>
  </si>
  <si>
    <t>238, Church Street</t>
  </si>
  <si>
    <t>CUST00171</t>
  </si>
  <si>
    <t>NVCEC9344B</t>
  </si>
  <si>
    <t>MJMZL9857R</t>
  </si>
  <si>
    <t>CC00028</t>
  </si>
  <si>
    <t>362714591259</t>
  </si>
  <si>
    <t>CUST00085</t>
  </si>
  <si>
    <t>147347294560</t>
  </si>
  <si>
    <t>KYC00092</t>
  </si>
  <si>
    <t>CUST00300</t>
  </si>
  <si>
    <t>LN00032</t>
  </si>
  <si>
    <t>CC00029</t>
  </si>
  <si>
    <t>UCTHC2766D</t>
  </si>
  <si>
    <t>CUST00088</t>
  </si>
  <si>
    <t>CUST00817</t>
  </si>
  <si>
    <t>306912185739</t>
  </si>
  <si>
    <t>CUST00736</t>
  </si>
  <si>
    <t>Rakesh Sahrma</t>
  </si>
  <si>
    <t>KYC00093</t>
  </si>
  <si>
    <t>9892686160</t>
  </si>
  <si>
    <t>CUST00430</t>
  </si>
  <si>
    <t>rakesh.sharma736@gmail.com</t>
  </si>
  <si>
    <t>CC00030</t>
  </si>
  <si>
    <t>LPGUC9461Z</t>
  </si>
  <si>
    <t>792, Ring Road</t>
  </si>
  <si>
    <t>LN00033</t>
  </si>
  <si>
    <t>CUST01039</t>
  </si>
  <si>
    <t>152213802920</t>
  </si>
  <si>
    <t>LMULM6618O</t>
  </si>
  <si>
    <t>251295134134</t>
  </si>
  <si>
    <t>KYC00094</t>
  </si>
  <si>
    <t>CUST01028</t>
  </si>
  <si>
    <t>CC00031</t>
  </si>
  <si>
    <t>TUQOM3637A</t>
  </si>
  <si>
    <t>CUST00795</t>
  </si>
  <si>
    <t>LN00034</t>
  </si>
  <si>
    <t>765462792413</t>
  </si>
  <si>
    <t>CUST00745</t>
  </si>
  <si>
    <t>Komal Chowdhury</t>
  </si>
  <si>
    <t>KYC00095</t>
  </si>
  <si>
    <t>CUST00368</t>
  </si>
  <si>
    <t>CC00032</t>
  </si>
  <si>
    <t>CUST00950</t>
  </si>
  <si>
    <t>APVPH2487G</t>
  </si>
  <si>
    <t>9030957487</t>
  </si>
  <si>
    <t>LN00035</t>
  </si>
  <si>
    <t>komal.chowdhury745@gmail.com</t>
  </si>
  <si>
    <t>120, Church Street</t>
  </si>
  <si>
    <t>CUST00306</t>
  </si>
  <si>
    <t>KYC00096</t>
  </si>
  <si>
    <t>QLSHE9863D</t>
  </si>
  <si>
    <t>CUST00870</t>
  </si>
  <si>
    <t>CC00033</t>
  </si>
  <si>
    <t>HPHCS1698W</t>
  </si>
  <si>
    <t>469211912838</t>
  </si>
  <si>
    <t>169358513733</t>
  </si>
  <si>
    <t>LN00036</t>
  </si>
  <si>
    <t>CUST00681</t>
  </si>
  <si>
    <t>KYC00097</t>
  </si>
  <si>
    <t>CUST00154</t>
  </si>
  <si>
    <t>CC00034</t>
  </si>
  <si>
    <t>SMVMS3938F</t>
  </si>
  <si>
    <t>CUST00464</t>
  </si>
  <si>
    <t>CUST00163</t>
  </si>
  <si>
    <t>787081439689</t>
  </si>
  <si>
    <t>Gaurav Gupta</t>
  </si>
  <si>
    <t>CC00035</t>
  </si>
  <si>
    <t>LN00037</t>
  </si>
  <si>
    <t>KYC00098</t>
  </si>
  <si>
    <t>98765</t>
  </si>
  <si>
    <t>CUST00905</t>
  </si>
  <si>
    <t>CUST00197</t>
  </si>
  <si>
    <t>gaurav.gupta163@gmail.com</t>
  </si>
  <si>
    <t>844, Park Street</t>
  </si>
  <si>
    <t>DLXSX1840D</t>
  </si>
  <si>
    <t>269872013476</t>
  </si>
  <si>
    <t>CC00036</t>
  </si>
  <si>
    <t>ETJUK2112S</t>
  </si>
  <si>
    <t>CUST00028</t>
  </si>
  <si>
    <t>874753275102</t>
  </si>
  <si>
    <t>KYC00099</t>
  </si>
  <si>
    <t>LN00038</t>
  </si>
  <si>
    <t>CC00037</t>
  </si>
  <si>
    <t>CUST00362</t>
  </si>
  <si>
    <t>CUST00615</t>
  </si>
  <si>
    <t>CUST00302</t>
  </si>
  <si>
    <t>NFMQJ5722M</t>
  </si>
  <si>
    <t>022009935640</t>
  </si>
  <si>
    <t>CC00038</t>
  </si>
  <si>
    <t>CUST00262</t>
  </si>
  <si>
    <t>CUST00115</t>
  </si>
  <si>
    <t>Pooja Verma</t>
  </si>
  <si>
    <t>LN00039</t>
  </si>
  <si>
    <t>KYC00100</t>
  </si>
  <si>
    <t>CC00039</t>
  </si>
  <si>
    <t>GSNBX7622D</t>
  </si>
  <si>
    <t>CUST01012</t>
  </si>
  <si>
    <t>9001417845</t>
  </si>
  <si>
    <t>pooja.verma262@gmail.com</t>
  </si>
  <si>
    <t>927238196641</t>
  </si>
  <si>
    <t>39, FC Road</t>
  </si>
  <si>
    <t>CC00040</t>
  </si>
  <si>
    <t>JUPWT4565T</t>
  </si>
  <si>
    <t>LN00040</t>
  </si>
  <si>
    <t>CUST00502</t>
  </si>
  <si>
    <t>591837761716</t>
  </si>
  <si>
    <t>KYC00101</t>
  </si>
  <si>
    <t>CUST00813</t>
  </si>
  <si>
    <t>LOVCW3257U</t>
  </si>
  <si>
    <t>CC00041</t>
  </si>
  <si>
    <t>0378913111</t>
  </si>
  <si>
    <t>CUST00990</t>
  </si>
  <si>
    <t>LN00041</t>
  </si>
  <si>
    <t>KYC00102</t>
  </si>
  <si>
    <t>CUST00596</t>
  </si>
  <si>
    <t>CC00042</t>
  </si>
  <si>
    <t>CUST00759</t>
  </si>
  <si>
    <t>CUST00790</t>
  </si>
  <si>
    <t>CUST00277</t>
  </si>
  <si>
    <t>Rajesh Mishra</t>
  </si>
  <si>
    <t>CC00043</t>
  </si>
  <si>
    <t>9490928468</t>
  </si>
  <si>
    <t>BWOBO0502O</t>
  </si>
  <si>
    <t>LN00042</t>
  </si>
  <si>
    <t>rajesh.mishra759@gmail.com</t>
  </si>
  <si>
    <t>804817601446</t>
  </si>
  <si>
    <t>CUST00445</t>
  </si>
  <si>
    <t>856, Church Street</t>
  </si>
  <si>
    <t>GUROI6221O</t>
  </si>
  <si>
    <t>CC00044</t>
  </si>
  <si>
    <t>CUST00694</t>
  </si>
  <si>
    <t>KYC00103</t>
  </si>
  <si>
    <t>897966485059</t>
  </si>
  <si>
    <t>CUST00872</t>
  </si>
  <si>
    <t>SGOMS4050U</t>
  </si>
  <si>
    <t>LN00043</t>
  </si>
  <si>
    <t>670724361221</t>
  </si>
  <si>
    <t>CUST00367</t>
  </si>
  <si>
    <t>CC00045</t>
  </si>
  <si>
    <t>CUST00458</t>
  </si>
  <si>
    <t>KYC00104</t>
  </si>
  <si>
    <t>CUST00768</t>
  </si>
  <si>
    <t>CC00046</t>
  </si>
  <si>
    <t>FAYSK3038H</t>
  </si>
  <si>
    <t>CUST00607</t>
  </si>
  <si>
    <t>CUST00431</t>
  </si>
  <si>
    <t>940868912154</t>
  </si>
  <si>
    <t>Jyoti Mishra</t>
  </si>
  <si>
    <t>LN00044</t>
  </si>
  <si>
    <t>CUST00543</t>
  </si>
  <si>
    <t>CC00047</t>
  </si>
  <si>
    <t>CUST00102</t>
  </si>
  <si>
    <t>0201640300</t>
  </si>
  <si>
    <t>KYC00105</t>
  </si>
  <si>
    <t>jyoti.mishra431@gmail.com</t>
  </si>
  <si>
    <t>CUST00013</t>
  </si>
  <si>
    <t>839, Ring Road</t>
  </si>
  <si>
    <t>BEHTO2166Y</t>
  </si>
  <si>
    <t>540043209859</t>
  </si>
  <si>
    <t>CC00048</t>
  </si>
  <si>
    <t>CUST00041</t>
  </si>
  <si>
    <t>734992358816</t>
  </si>
  <si>
    <t>KYC00106</t>
  </si>
  <si>
    <t>LN00045</t>
  </si>
  <si>
    <t>CUST00979</t>
  </si>
  <si>
    <t>CC00049</t>
  </si>
  <si>
    <t>MTSZB0619T</t>
  </si>
  <si>
    <t>CUST00735</t>
  </si>
  <si>
    <t>303605885430</t>
  </si>
  <si>
    <t>CUST00150</t>
  </si>
  <si>
    <t>Rekha Agarwal</t>
  </si>
  <si>
    <t>LN00046</t>
  </si>
  <si>
    <t>CC00050</t>
  </si>
  <si>
    <t>KYC00107</t>
  </si>
  <si>
    <t>CUST00238</t>
  </si>
  <si>
    <t>No - Future Date</t>
  </si>
  <si>
    <t>CUST00452</t>
  </si>
  <si>
    <t>PGPQN4846Z</t>
  </si>
  <si>
    <t>CC00051</t>
  </si>
  <si>
    <t>CUST00322</t>
  </si>
  <si>
    <t>KYC00108</t>
  </si>
  <si>
    <t>CUST00571</t>
  </si>
  <si>
    <t>JJBDO4365C</t>
  </si>
  <si>
    <t>LN00047</t>
  </si>
  <si>
    <t>9800656713</t>
  </si>
  <si>
    <t>604268733137</t>
  </si>
  <si>
    <t>rekha.agarwal150@yahoo.com</t>
  </si>
  <si>
    <t>CC00052</t>
  </si>
  <si>
    <t>462, Church Street</t>
  </si>
  <si>
    <t>XNEKV2396J</t>
  </si>
  <si>
    <t>KYC00109</t>
  </si>
  <si>
    <t>348706731793</t>
  </si>
  <si>
    <t>CUST01041</t>
  </si>
  <si>
    <t>IANKL2108R</t>
  </si>
  <si>
    <t>142327838965</t>
  </si>
  <si>
    <t>LN00048</t>
  </si>
  <si>
    <t>CC00053</t>
  </si>
  <si>
    <t>CUST00794</t>
  </si>
  <si>
    <t>No - Before DOB</t>
  </si>
  <si>
    <t>KYC00110</t>
  </si>
  <si>
    <t>CUST00819</t>
  </si>
  <si>
    <t>Suresh Gupta</t>
  </si>
  <si>
    <t>LN00049</t>
  </si>
  <si>
    <t>CUST00144</t>
  </si>
  <si>
    <t>9678910527</t>
  </si>
  <si>
    <t>suresh.gupta819@gmail.com</t>
  </si>
  <si>
    <t>CC00054</t>
  </si>
  <si>
    <t>KYC00111</t>
  </si>
  <si>
    <t>470, MG Road</t>
  </si>
  <si>
    <t>CUST00276</t>
  </si>
  <si>
    <t>CUST00320</t>
  </si>
  <si>
    <t>OFWIP2418C</t>
  </si>
  <si>
    <t>679923527703</t>
  </si>
  <si>
    <t>LN00050</t>
  </si>
  <si>
    <t>917476020097</t>
  </si>
  <si>
    <t>CUST00442</t>
  </si>
  <si>
    <t>CC00055</t>
  </si>
  <si>
    <t>CUST00912</t>
  </si>
  <si>
    <t>KYC00112</t>
  </si>
  <si>
    <t>CUST00506</t>
  </si>
  <si>
    <t>HMGQO1812J</t>
  </si>
  <si>
    <t>300210073354</t>
  </si>
  <si>
    <t>CUST00712</t>
  </si>
  <si>
    <t>Kavita Arora</t>
  </si>
  <si>
    <t>CC00056</t>
  </si>
  <si>
    <t>KYC00113</t>
  </si>
  <si>
    <t>LN00051</t>
  </si>
  <si>
    <t>CUST00782</t>
  </si>
  <si>
    <t>CUST00581</t>
  </si>
  <si>
    <t>FRWKQ4483K</t>
  </si>
  <si>
    <t>052943251665</t>
  </si>
  <si>
    <t>kavita.arora712@gmail.com</t>
  </si>
  <si>
    <t>859, Ring Road</t>
  </si>
  <si>
    <t>MVEAD9048C</t>
  </si>
  <si>
    <t>CC00057</t>
  </si>
  <si>
    <t>016011220966</t>
  </si>
  <si>
    <t>KYC00114</t>
  </si>
  <si>
    <t>CUST00610</t>
  </si>
  <si>
    <t>NNOPQ7052H</t>
  </si>
  <si>
    <t>123598074725</t>
  </si>
  <si>
    <t>LN00052</t>
  </si>
  <si>
    <t>CUST00808</t>
  </si>
  <si>
    <t>CC00058</t>
  </si>
  <si>
    <t>KYC00115</t>
  </si>
  <si>
    <t>CUST00496</t>
  </si>
  <si>
    <t>Manoj Rao</t>
  </si>
  <si>
    <t>TTBFG7774X</t>
  </si>
  <si>
    <t>CUST00494</t>
  </si>
  <si>
    <t>9726434434</t>
  </si>
  <si>
    <t>manoj.rao233@gmail.com</t>
  </si>
  <si>
    <t>541, MG Road</t>
  </si>
  <si>
    <t>KYC00116</t>
  </si>
  <si>
    <t>LN00053</t>
  </si>
  <si>
    <t>CUST00821</t>
  </si>
  <si>
    <t>GDYMU0094V</t>
  </si>
  <si>
    <t>CC00059</t>
  </si>
  <si>
    <t>CUST00087</t>
  </si>
  <si>
    <t>LUTLP3984C</t>
  </si>
  <si>
    <t>675806957576</t>
  </si>
  <si>
    <t>097620899720</t>
  </si>
  <si>
    <t>CUST00678</t>
  </si>
  <si>
    <t>KYC00117</t>
  </si>
  <si>
    <t>CUST00680</t>
  </si>
  <si>
    <t>CC00060</t>
  </si>
  <si>
    <t>CUST00200</t>
  </si>
  <si>
    <t>NABZL1127K</t>
  </si>
  <si>
    <t>CUST01018</t>
  </si>
  <si>
    <t>LN00054</t>
  </si>
  <si>
    <t>601697281628</t>
  </si>
  <si>
    <t>Siddharth Chatterjee</t>
  </si>
  <si>
    <t>CUST00032</t>
  </si>
  <si>
    <t>KYC00118</t>
  </si>
  <si>
    <t>CUST00686</t>
  </si>
  <si>
    <t>9528205632</t>
  </si>
  <si>
    <t>siddharth.chatterjee173@gmail.com</t>
  </si>
  <si>
    <t>KWSSM9496N</t>
  </si>
  <si>
    <t>804, Nehru Nagar</t>
  </si>
  <si>
    <t>CC00061</t>
  </si>
  <si>
    <t>757547702562</t>
  </si>
  <si>
    <t>CUST00343</t>
  </si>
  <si>
    <t>JOELH6667Y</t>
  </si>
  <si>
    <t>900800917656</t>
  </si>
  <si>
    <t>KYC00119</t>
  </si>
  <si>
    <t>LN00055</t>
  </si>
  <si>
    <t>CUST00250</t>
  </si>
  <si>
    <t>CUST00582</t>
  </si>
  <si>
    <t>VTMOJ4683J</t>
  </si>
  <si>
    <t>CC00062</t>
  </si>
  <si>
    <t>478105865581</t>
  </si>
  <si>
    <t>CUST00501</t>
  </si>
  <si>
    <t>KYC00120</t>
  </si>
  <si>
    <t>CUST00338</t>
  </si>
  <si>
    <t>CUST00719</t>
  </si>
  <si>
    <t>Lata Bose</t>
  </si>
  <si>
    <t>QQDSF2657E</t>
  </si>
  <si>
    <t>CC00063</t>
  </si>
  <si>
    <t>311422986965</t>
  </si>
  <si>
    <t>9074653333</t>
  </si>
  <si>
    <t>LN00056</t>
  </si>
  <si>
    <t>CUST00247</t>
  </si>
  <si>
    <t>936, Park Street</t>
  </si>
  <si>
    <t>KYC00121</t>
  </si>
  <si>
    <t>CUST00251</t>
  </si>
  <si>
    <t>CC00064</t>
  </si>
  <si>
    <t>EJBAZ5436B</t>
  </si>
  <si>
    <t>XSHTH2691A</t>
  </si>
  <si>
    <t>CUST00656</t>
  </si>
  <si>
    <t>228604196053</t>
  </si>
  <si>
    <t>452557204268</t>
  </si>
  <si>
    <t>KYC00122</t>
  </si>
  <si>
    <t>CC00065</t>
  </si>
  <si>
    <t>CUST00373</t>
  </si>
  <si>
    <t>CUST00331</t>
  </si>
  <si>
    <t>LN00057</t>
  </si>
  <si>
    <t>Archana Menon</t>
  </si>
  <si>
    <t>CUST00981</t>
  </si>
  <si>
    <t>CC00066</t>
  </si>
  <si>
    <t>CUST00552</t>
  </si>
  <si>
    <t>9370527296</t>
  </si>
  <si>
    <t>archana.menon331@gmail.com</t>
  </si>
  <si>
    <t>KYC00123</t>
  </si>
  <si>
    <t>365, Park Street</t>
  </si>
  <si>
    <t>CUST00518</t>
  </si>
  <si>
    <t>JDVQI6190R</t>
  </si>
  <si>
    <t>CC00067</t>
  </si>
  <si>
    <t>771708448457</t>
  </si>
  <si>
    <t>VEWGL9137Z</t>
  </si>
  <si>
    <t>CUST00027</t>
  </si>
  <si>
    <t>239299652898</t>
  </si>
  <si>
    <t>LN00058</t>
  </si>
  <si>
    <t>CUST00841</t>
  </si>
  <si>
    <t>KYC00124</t>
  </si>
  <si>
    <t>CUST00906</t>
  </si>
  <si>
    <t>CC00068</t>
  </si>
  <si>
    <t>GAVQV6254T</t>
  </si>
  <si>
    <t>CUST00493</t>
  </si>
  <si>
    <t>316092946991</t>
  </si>
  <si>
    <t>CUST00704</t>
  </si>
  <si>
    <t>Anil Kulkarni</t>
  </si>
  <si>
    <t>KYC00125</t>
  </si>
  <si>
    <t>CUST00587</t>
  </si>
  <si>
    <t>CC00069</t>
  </si>
  <si>
    <t>9714428147</t>
  </si>
  <si>
    <t>anil.kulkarni704@gmail.com</t>
  </si>
  <si>
    <t>112076779440</t>
  </si>
  <si>
    <t>521, MG Road</t>
  </si>
  <si>
    <t>LN00059</t>
  </si>
  <si>
    <t>WQUWI3950X</t>
  </si>
  <si>
    <t>651010320662</t>
  </si>
  <si>
    <t>KYC00126</t>
  </si>
  <si>
    <t>CC00070</t>
  </si>
  <si>
    <t>CUST00539</t>
  </si>
  <si>
    <t>XYDYZ9480I</t>
  </si>
  <si>
    <t>CC00071</t>
  </si>
  <si>
    <t>CUST00489</t>
  </si>
  <si>
    <t>CUST00618</t>
  </si>
  <si>
    <t>Meera Chatterjee</t>
  </si>
  <si>
    <t>KYC00127</t>
  </si>
  <si>
    <t>CUST00007</t>
  </si>
  <si>
    <t>LN00060</t>
  </si>
  <si>
    <t>YGIUD0967L</t>
  </si>
  <si>
    <t>CC00072</t>
  </si>
  <si>
    <t>9471632926</t>
  </si>
  <si>
    <t>meera.chatterjee618@gmail.com</t>
  </si>
  <si>
    <t>KYC00128</t>
  </si>
  <si>
    <t>222, Church Street</t>
  </si>
  <si>
    <t>CUST00521</t>
  </si>
  <si>
    <t>250636547797</t>
  </si>
  <si>
    <t>CC00073</t>
  </si>
  <si>
    <t>LN00061</t>
  </si>
  <si>
    <t>RCEJN9939S</t>
  </si>
  <si>
    <t>CUST00172</t>
  </si>
  <si>
    <t>CUST00970</t>
  </si>
  <si>
    <t>560726519571</t>
  </si>
  <si>
    <t>KYC00129</t>
  </si>
  <si>
    <t>UTKFL2944B</t>
  </si>
  <si>
    <t>CC00074</t>
  </si>
  <si>
    <t>CUST00612</t>
  </si>
  <si>
    <t>007315813005</t>
  </si>
  <si>
    <t>LN00062</t>
  </si>
  <si>
    <t>Pankaj Joshi</t>
  </si>
  <si>
    <t>KYC00130</t>
  </si>
  <si>
    <t>CUST00935</t>
  </si>
  <si>
    <t>CC00075</t>
  </si>
  <si>
    <t>CUST00657</t>
  </si>
  <si>
    <t>9952026249</t>
  </si>
  <si>
    <t>366127716934</t>
  </si>
  <si>
    <t>pankaj.joshi88@gmail.com</t>
  </si>
  <si>
    <t>889, Nehru Nagar</t>
  </si>
  <si>
    <t>CC00076</t>
  </si>
  <si>
    <t>ESCTG6182I</t>
  </si>
  <si>
    <t>CUST00141</t>
  </si>
  <si>
    <t>KYC00131</t>
  </si>
  <si>
    <t>834372575696</t>
  </si>
  <si>
    <t>CUST00621</t>
  </si>
  <si>
    <t>KHKLN9192R</t>
  </si>
  <si>
    <t>LN00063</t>
  </si>
  <si>
    <t>079626966914</t>
  </si>
  <si>
    <t>CUST00114</t>
  </si>
  <si>
    <t>CC00077</t>
  </si>
  <si>
    <t>CUST00904</t>
  </si>
  <si>
    <t>KYC00132</t>
  </si>
  <si>
    <t>CUST00074</t>
  </si>
  <si>
    <t>XDEXN4968S</t>
  </si>
  <si>
    <t>CC00078</t>
  </si>
  <si>
    <t>CUST00698</t>
  </si>
  <si>
    <t>892644241576</t>
  </si>
  <si>
    <t>CC00079</t>
  </si>
  <si>
    <t>CUST00403</t>
  </si>
  <si>
    <t>CUST00417</t>
  </si>
  <si>
    <t>KYC00133</t>
  </si>
  <si>
    <t>Priya Kulkarni</t>
  </si>
  <si>
    <t>CUST01011</t>
  </si>
  <si>
    <t>LN00064</t>
  </si>
  <si>
    <t>SCSSA8302S</t>
  </si>
  <si>
    <t>CUST00771</t>
  </si>
  <si>
    <t>8401768734</t>
  </si>
  <si>
    <t>CC00080</t>
  </si>
  <si>
    <t>CUST01023</t>
  </si>
  <si>
    <t>9118203021</t>
  </si>
  <si>
    <t>priya.kulkarni403@gmail.com</t>
  </si>
  <si>
    <t>376, Park Street</t>
  </si>
  <si>
    <t>KYC00134</t>
  </si>
  <si>
    <t>CUST01013</t>
  </si>
  <si>
    <t>CC00081</t>
  </si>
  <si>
    <t>NMFSM2893Z</t>
  </si>
  <si>
    <t>CUST00560</t>
  </si>
  <si>
    <t>283156648650</t>
  </si>
  <si>
    <t>863747564114</t>
  </si>
  <si>
    <t>LN00065</t>
  </si>
  <si>
    <t>CUST00164</t>
  </si>
  <si>
    <t>KYC00135</t>
  </si>
  <si>
    <t>CC00082</t>
  </si>
  <si>
    <t>CUST00509</t>
  </si>
  <si>
    <t>CUST00689</t>
  </si>
  <si>
    <t>LQLJH4277Y</t>
  </si>
  <si>
    <t>276955651296</t>
  </si>
  <si>
    <t>CUST00529</t>
  </si>
  <si>
    <t>Arun Verma</t>
  </si>
  <si>
    <t>CC00083</t>
  </si>
  <si>
    <t>KYC00136</t>
  </si>
  <si>
    <t>9501124273</t>
  </si>
  <si>
    <t>CUST00644</t>
  </si>
  <si>
    <t>arun.verma529@gmail.com</t>
  </si>
  <si>
    <t>XRHPW9142F</t>
  </si>
  <si>
    <t>463, MG Road</t>
  </si>
  <si>
    <t>968368380313</t>
  </si>
  <si>
    <t>IAXKP3937S</t>
  </si>
  <si>
    <t>LN00066</t>
  </si>
  <si>
    <t>279963143631</t>
  </si>
  <si>
    <t>CC00084</t>
  </si>
  <si>
    <t>CUST00311</t>
  </si>
  <si>
    <t>CUST00328</t>
  </si>
  <si>
    <t>KYC00137</t>
  </si>
  <si>
    <t>CUST00152</t>
  </si>
  <si>
    <t>EZYVA3083L</t>
  </si>
  <si>
    <t>646049998972</t>
  </si>
  <si>
    <t>CC00085</t>
  </si>
  <si>
    <t>CUST00046</t>
  </si>
  <si>
    <t>Ashok Chopra</t>
  </si>
  <si>
    <t>KYC00138</t>
  </si>
  <si>
    <t>LN00067</t>
  </si>
  <si>
    <t>CUST00004</t>
  </si>
  <si>
    <t>CC00086</t>
  </si>
  <si>
    <t>CUST00297</t>
  </si>
  <si>
    <t>SPZRA8269D</t>
  </si>
  <si>
    <t>9611220325</t>
  </si>
  <si>
    <t>ashok.chopra46@yahoo.com</t>
  </si>
  <si>
    <t>115267262498</t>
  </si>
  <si>
    <t>527, Nehru Nagar</t>
  </si>
  <si>
    <t>UVJVB7591V</t>
  </si>
  <si>
    <t>KYC00139</t>
  </si>
  <si>
    <t>729438497285</t>
  </si>
  <si>
    <t>CC00087</t>
  </si>
  <si>
    <t>CUST00592</t>
  </si>
  <si>
    <t>GMFDW8222D</t>
  </si>
  <si>
    <t>232047446866</t>
  </si>
  <si>
    <t>LN00068</t>
  </si>
  <si>
    <t>CUST00624</t>
  </si>
  <si>
    <t>CC00088</t>
  </si>
  <si>
    <t>KYC00140</t>
  </si>
  <si>
    <t>CUST00572</t>
  </si>
  <si>
    <t>CUST00616</t>
  </si>
  <si>
    <t>CUST00757</t>
  </si>
  <si>
    <t>Divya Chauhan</t>
  </si>
  <si>
    <t>LYRJJ2428Z</t>
  </si>
  <si>
    <t>362801182482</t>
  </si>
  <si>
    <t>9506457455</t>
  </si>
  <si>
    <t>CC00089</t>
  </si>
  <si>
    <t>divya.chauhan757@gmail.com</t>
  </si>
  <si>
    <t>KYC00141</t>
  </si>
  <si>
    <t>544, Nehru Nagar</t>
  </si>
  <si>
    <t>CUST00168</t>
  </si>
  <si>
    <t>LN00069</t>
  </si>
  <si>
    <t>TNAVR8589N</t>
  </si>
  <si>
    <t>LIBDL8664L</t>
  </si>
  <si>
    <t>CUST00473</t>
  </si>
  <si>
    <t>259409304688</t>
  </si>
  <si>
    <t>CC00090</t>
  </si>
  <si>
    <t>CUST00977</t>
  </si>
  <si>
    <t>Anand Pandey</t>
  </si>
  <si>
    <t>KYC00142</t>
  </si>
  <si>
    <t>LN00070</t>
  </si>
  <si>
    <t>CC00091</t>
  </si>
  <si>
    <t>CUST00246</t>
  </si>
  <si>
    <t>CUST00637</t>
  </si>
  <si>
    <t>CUST00484</t>
  </si>
  <si>
    <t>BDNYG7934T</t>
  </si>
  <si>
    <t>9926998397</t>
  </si>
  <si>
    <t>anand.pandey676@gmail.com</t>
  </si>
  <si>
    <t>508, Ring Road</t>
  </si>
  <si>
    <t>CC00092</t>
  </si>
  <si>
    <t>KYC00143</t>
  </si>
  <si>
    <t>CUST00697</t>
  </si>
  <si>
    <t>LN00071</t>
  </si>
  <si>
    <t>CC00093</t>
  </si>
  <si>
    <t>KYC00144</t>
  </si>
  <si>
    <t>CUST00669</t>
  </si>
  <si>
    <t>CUST00407</t>
  </si>
  <si>
    <t>ZBQFU5222R</t>
  </si>
  <si>
    <t>CUST00123</t>
  </si>
  <si>
    <t>658063308613</t>
  </si>
  <si>
    <t>Arun Tiwari</t>
  </si>
  <si>
    <t>CC00094</t>
  </si>
  <si>
    <t>CUST00256</t>
  </si>
  <si>
    <t>9339552598</t>
  </si>
  <si>
    <t>LN00072</t>
  </si>
  <si>
    <t>arun.tiwari123@gmail.com</t>
  </si>
  <si>
    <t>KYC00145</t>
  </si>
  <si>
    <t>321, MG Road</t>
  </si>
  <si>
    <t>CUST00140</t>
  </si>
  <si>
    <t>KVAAJ5146X</t>
  </si>
  <si>
    <t>IGXZY9570G</t>
  </si>
  <si>
    <t>391222182112</t>
  </si>
  <si>
    <t>CC00095</t>
  </si>
  <si>
    <t>CUST00137</t>
  </si>
  <si>
    <t>KYC00146</t>
  </si>
  <si>
    <t>CUST00507</t>
  </si>
  <si>
    <t>QWCRW3419L</t>
  </si>
  <si>
    <t>CC00096</t>
  </si>
  <si>
    <t>296122847186</t>
  </si>
  <si>
    <t>CUST00284</t>
  </si>
  <si>
    <t>Sanjay Pillai</t>
  </si>
  <si>
    <t>LN00073</t>
  </si>
  <si>
    <t>9879220742</t>
  </si>
  <si>
    <t>CUST00777</t>
  </si>
  <si>
    <t>sanjay.pillai171@gmail.com</t>
  </si>
  <si>
    <t>KYC00147</t>
  </si>
  <si>
    <t>895, Nehru Nagar</t>
  </si>
  <si>
    <t>CC00097</t>
  </si>
  <si>
    <t>CUST00153</t>
  </si>
  <si>
    <t>UJHBO1520T</t>
  </si>
  <si>
    <t>3455223105</t>
  </si>
  <si>
    <t>CC00098</t>
  </si>
  <si>
    <t>CUST00823</t>
  </si>
  <si>
    <t>KYC00148</t>
  </si>
  <si>
    <t>CUST00822</t>
  </si>
  <si>
    <t>Pankaj Kapoor</t>
  </si>
  <si>
    <t>2062378270</t>
  </si>
  <si>
    <t>pankaj.kapoor822@gmail.com</t>
  </si>
  <si>
    <t>255, Ring Road</t>
  </si>
  <si>
    <t>LN00074</t>
  </si>
  <si>
    <t>CUST00229</t>
  </si>
  <si>
    <t>WVXOW0075S</t>
  </si>
  <si>
    <t>648174456450</t>
  </si>
  <si>
    <t>BGKEK7613J</t>
  </si>
  <si>
    <t>855043591277</t>
  </si>
  <si>
    <t>CUST00358</t>
  </si>
  <si>
    <t>Ajay Verma</t>
  </si>
  <si>
    <t>9835774776</t>
  </si>
  <si>
    <t>KYC00149</t>
  </si>
  <si>
    <t>ajay.verma358@gmail.com</t>
  </si>
  <si>
    <t>CC00099</t>
  </si>
  <si>
    <t>590, Park Street</t>
  </si>
  <si>
    <t>CUST00554</t>
  </si>
  <si>
    <t>CUST00188</t>
  </si>
  <si>
    <t>LN00075</t>
  </si>
  <si>
    <t>MOHXO8076W</t>
  </si>
  <si>
    <t>ORBDX3694V</t>
  </si>
  <si>
    <t>CUST00355</t>
  </si>
  <si>
    <t>858845318952</t>
  </si>
  <si>
    <t>358705940872</t>
  </si>
  <si>
    <t>KYC00150</t>
  </si>
  <si>
    <t>CC00100</t>
  </si>
  <si>
    <t>CUST00887</t>
  </si>
  <si>
    <t>CUST00069</t>
  </si>
  <si>
    <t>Manish Trivedi</t>
  </si>
  <si>
    <t>9429787437</t>
  </si>
  <si>
    <t>manish.trivedi887@gmail.com</t>
  </si>
  <si>
    <t>609, FC Road</t>
  </si>
  <si>
    <t>KYC00151</t>
  </si>
  <si>
    <t>CC00101</t>
  </si>
  <si>
    <t>CUST00116</t>
  </si>
  <si>
    <t>LN00076</t>
  </si>
  <si>
    <t>KVPWZ9687X</t>
  </si>
  <si>
    <t>CUST00411</t>
  </si>
  <si>
    <t>CUST00193</t>
  </si>
  <si>
    <t>336765442455</t>
  </si>
  <si>
    <t>349286111556</t>
  </si>
  <si>
    <t>KYC00152</t>
  </si>
  <si>
    <t>CC00102</t>
  </si>
  <si>
    <t>CUST00241</t>
  </si>
  <si>
    <t>Archana Kumar</t>
  </si>
  <si>
    <t>606994846173</t>
  </si>
  <si>
    <t>LN00077</t>
  </si>
  <si>
    <t>9928511718</t>
  </si>
  <si>
    <t>CC00103</t>
  </si>
  <si>
    <t>archana.kumar241@yahoo.com</t>
  </si>
  <si>
    <t>CUST00052</t>
  </si>
  <si>
    <t>304, Church Street</t>
  </si>
  <si>
    <t>KYC00153</t>
  </si>
  <si>
    <t>CUST00764</t>
  </si>
  <si>
    <t>DXYES0462S</t>
  </si>
  <si>
    <t>DOWFH4229P</t>
  </si>
  <si>
    <t>632006907572</t>
  </si>
  <si>
    <t>361874747584</t>
  </si>
  <si>
    <t>CC00104</t>
  </si>
  <si>
    <t>CUST00508</t>
  </si>
  <si>
    <t>KYC00154</t>
  </si>
  <si>
    <t>LN00078</t>
  </si>
  <si>
    <t>CUST00751</t>
  </si>
  <si>
    <t>OJTUR0730G</t>
  </si>
  <si>
    <t>CUST00477</t>
  </si>
  <si>
    <t>066593674253</t>
  </si>
  <si>
    <t>Meera Kulkarni</t>
  </si>
  <si>
    <t>CC00105</t>
  </si>
  <si>
    <t>CUST00212</t>
  </si>
  <si>
    <t>9335883362</t>
  </si>
  <si>
    <t>meera.kulkarni477@gmail.com</t>
  </si>
  <si>
    <t>978, Church Street</t>
  </si>
  <si>
    <t>KYC00155</t>
  </si>
  <si>
    <t>CUST00500</t>
  </si>
  <si>
    <t>XZUNC2655Q</t>
  </si>
  <si>
    <t>KHLGT5540C</t>
  </si>
  <si>
    <t>053610676074</t>
  </si>
  <si>
    <t>646366857699</t>
  </si>
  <si>
    <t>LN00079</t>
  </si>
  <si>
    <t>CC00106</t>
  </si>
  <si>
    <t>KYC00156</t>
  </si>
  <si>
    <t>Vijay Mishra</t>
  </si>
  <si>
    <t>CUST00437</t>
  </si>
  <si>
    <t>TJPAL9810U</t>
  </si>
  <si>
    <t>CC00107</t>
  </si>
  <si>
    <t>9607912049</t>
  </si>
  <si>
    <t>vijay.mishra499@gmail.com</t>
  </si>
  <si>
    <t>214, Church Street</t>
  </si>
  <si>
    <t>LN00080</t>
  </si>
  <si>
    <t>CUST00982</t>
  </si>
  <si>
    <t>CC00108</t>
  </si>
  <si>
    <t>CUST00995</t>
  </si>
  <si>
    <t>KYC00157</t>
  </si>
  <si>
    <t>CUST00370</t>
  </si>
  <si>
    <t>CUST00255</t>
  </si>
  <si>
    <t>PFGKB1210C</t>
  </si>
  <si>
    <t>Prakash Kumar</t>
  </si>
  <si>
    <t>892959600099</t>
  </si>
  <si>
    <t>CC00109</t>
  </si>
  <si>
    <t>CUST00834</t>
  </si>
  <si>
    <t>LN00081</t>
  </si>
  <si>
    <t>9571369560</t>
  </si>
  <si>
    <t>prakash.kumar255@gmail.com</t>
  </si>
  <si>
    <t>CUST00513</t>
  </si>
  <si>
    <t>950, FC Road</t>
  </si>
  <si>
    <t>KYC00158</t>
  </si>
  <si>
    <t>CUST00883</t>
  </si>
  <si>
    <t>693869844785</t>
  </si>
  <si>
    <t>CC00110</t>
  </si>
  <si>
    <t>520602829647</t>
  </si>
  <si>
    <t>CUST00867</t>
  </si>
  <si>
    <t>KYC00159</t>
  </si>
  <si>
    <t>CUST00583</t>
  </si>
  <si>
    <t>BNDSO9092H</t>
  </si>
  <si>
    <t>LN00082</t>
  </si>
  <si>
    <t>CUST00383</t>
  </si>
  <si>
    <t>CC00111</t>
  </si>
  <si>
    <t>493744289183</t>
  </si>
  <si>
    <t>Rakesh Verma</t>
  </si>
  <si>
    <t>CUST00136</t>
  </si>
  <si>
    <t>CUST00428</t>
  </si>
  <si>
    <t>9390130242</t>
  </si>
  <si>
    <t>rakesh.verma383@gmail.com</t>
  </si>
  <si>
    <t>874, Church Street</t>
  </si>
  <si>
    <t>KYC00160</t>
  </si>
  <si>
    <t>CUST00674</t>
  </si>
  <si>
    <t>WBUTK9669D</t>
  </si>
  <si>
    <t>CC00112</t>
  </si>
  <si>
    <t>THCRZ3622M</t>
  </si>
  <si>
    <t>241433193586</t>
  </si>
  <si>
    <t>711665686495</t>
  </si>
  <si>
    <t>LN00083</t>
  </si>
  <si>
    <t>CUST00347</t>
  </si>
  <si>
    <t>KYC00161</t>
  </si>
  <si>
    <t>CUST00688</t>
  </si>
  <si>
    <t>CUST00830</t>
  </si>
  <si>
    <t>Komal Desai</t>
  </si>
  <si>
    <t>TBWKC6753X</t>
  </si>
  <si>
    <t>085367969641</t>
  </si>
  <si>
    <t>CC00113</t>
  </si>
  <si>
    <t>9446615949</t>
  </si>
  <si>
    <t>CUST00786</t>
  </si>
  <si>
    <t>komal.desai688@gmail.com</t>
  </si>
  <si>
    <t>404, Ring Road</t>
  </si>
  <si>
    <t>KYC00162</t>
  </si>
  <si>
    <t>CUST00424</t>
  </si>
  <si>
    <t>XFYIY4664F</t>
  </si>
  <si>
    <t>RBJRC6600T</t>
  </si>
  <si>
    <t>971775406075</t>
  </si>
  <si>
    <t>232121139717</t>
  </si>
  <si>
    <t>CC00114</t>
  </si>
  <si>
    <t>CUST01005</t>
  </si>
  <si>
    <t>KYC00163</t>
  </si>
  <si>
    <t>CUST00271</t>
  </si>
  <si>
    <t>CUST00673</t>
  </si>
  <si>
    <t>Lata Kumar</t>
  </si>
  <si>
    <t>OHXTB9462B</t>
  </si>
  <si>
    <t>095144352557</t>
  </si>
  <si>
    <t>CC00115</t>
  </si>
  <si>
    <t>CUST00765</t>
  </si>
  <si>
    <t>LN00084</t>
  </si>
  <si>
    <t>9246680790</t>
  </si>
  <si>
    <t>CUST00439</t>
  </si>
  <si>
    <t>lata.kumar673@gmail.com</t>
  </si>
  <si>
    <t>843, Ring Road</t>
  </si>
  <si>
    <t>KYC00164</t>
  </si>
  <si>
    <t>AYTJP1680Q</t>
  </si>
  <si>
    <t>CUST00752</t>
  </si>
  <si>
    <t>CC00116</t>
  </si>
  <si>
    <t>GRTZD3194N</t>
  </si>
  <si>
    <t>CUST00920</t>
  </si>
  <si>
    <t>244678265437</t>
  </si>
  <si>
    <t>916542700668</t>
  </si>
  <si>
    <t>KYC00165</t>
  </si>
  <si>
    <t>LN00085</t>
  </si>
  <si>
    <t>CUST00976</t>
  </si>
  <si>
    <t>CC00117</t>
  </si>
  <si>
    <t>CUST00994</t>
  </si>
  <si>
    <t>CUST00286</t>
  </si>
  <si>
    <t>IBXDZ0379V</t>
  </si>
  <si>
    <t>980995268690</t>
  </si>
  <si>
    <t>Rahul Bose</t>
  </si>
  <si>
    <t>CC00118</t>
  </si>
  <si>
    <t>KYC00166</t>
  </si>
  <si>
    <t>CUST00589</t>
  </si>
  <si>
    <t>9333688311</t>
  </si>
  <si>
    <t>CUST00359</t>
  </si>
  <si>
    <t>rahul.bose244@yahoo.com</t>
  </si>
  <si>
    <t>495, Church Street</t>
  </si>
  <si>
    <t>LN00086</t>
  </si>
  <si>
    <t>CUST00758</t>
  </si>
  <si>
    <t>CC00119</t>
  </si>
  <si>
    <t>KYC00167</t>
  </si>
  <si>
    <t>CUST00090</t>
  </si>
  <si>
    <t>CUST00907</t>
  </si>
  <si>
    <t>EGKBG1964K</t>
  </si>
  <si>
    <t>157154325023</t>
  </si>
  <si>
    <t>CC00120</t>
  </si>
  <si>
    <t>KYC00168</t>
  </si>
  <si>
    <t>CUST01043</t>
  </si>
  <si>
    <t>LN00087</t>
  </si>
  <si>
    <t>CUST00279</t>
  </si>
  <si>
    <t>PQWJF9752M</t>
  </si>
  <si>
    <t>CUST00647</t>
  </si>
  <si>
    <t>Prakash Trivedi</t>
  </si>
  <si>
    <t>584309891076</t>
  </si>
  <si>
    <t>CC00121</t>
  </si>
  <si>
    <t>prakash.trivedi279@gmail.com</t>
  </si>
  <si>
    <t>CUST00448</t>
  </si>
  <si>
    <t>954, Park Street</t>
  </si>
  <si>
    <t>KYC00169</t>
  </si>
  <si>
    <t>CUST00463</t>
  </si>
  <si>
    <t>TFYGA2355P</t>
  </si>
  <si>
    <t>992572054664</t>
  </si>
  <si>
    <t>991020138155</t>
  </si>
  <si>
    <t>LN00088</t>
  </si>
  <si>
    <t>CC00122</t>
  </si>
  <si>
    <t>CUST00709</t>
  </si>
  <si>
    <t>CUST00623</t>
  </si>
  <si>
    <t>KYC00170</t>
  </si>
  <si>
    <t>CUST00546</t>
  </si>
  <si>
    <t>QUAGE7893V</t>
  </si>
  <si>
    <t>143572862192</t>
  </si>
  <si>
    <t>CC00123</t>
  </si>
  <si>
    <t>Neha Chauhan</t>
  </si>
  <si>
    <t>CUST00947</t>
  </si>
  <si>
    <t>KYC00171</t>
  </si>
  <si>
    <t>LN00089</t>
  </si>
  <si>
    <t>CUST00974</t>
  </si>
  <si>
    <t>ZEINC6761T</t>
  </si>
  <si>
    <t>9527499204</t>
  </si>
  <si>
    <t>403009832477</t>
  </si>
  <si>
    <t>neha.chauhan395@gmail.com</t>
  </si>
  <si>
    <t>133, FC Road</t>
  </si>
  <si>
    <t>KYC00172</t>
  </si>
  <si>
    <t>CC00124</t>
  </si>
  <si>
    <t>CUST00455</t>
  </si>
  <si>
    <t>CUST00441</t>
  </si>
  <si>
    <t>DDNSB0261H</t>
  </si>
  <si>
    <t>589971686962</t>
  </si>
  <si>
    <t>LN00090</t>
  </si>
  <si>
    <t>Ritu Agarwal</t>
  </si>
  <si>
    <t>CUST00716</t>
  </si>
  <si>
    <t>KYC00173</t>
  </si>
  <si>
    <t>CC00125</t>
  </si>
  <si>
    <t>9167131953</t>
  </si>
  <si>
    <t>ritu.agarwal751@gmail.com</t>
  </si>
  <si>
    <t>CUST00746</t>
  </si>
  <si>
    <t>CUST00890</t>
  </si>
  <si>
    <t>476, Nehru Nagar</t>
  </si>
  <si>
    <t>BIWNW8922Z</t>
  </si>
  <si>
    <t>172503923195</t>
  </si>
  <si>
    <t>GBWRN0829G</t>
  </si>
  <si>
    <t>362957986726</t>
  </si>
  <si>
    <t>CC00126</t>
  </si>
  <si>
    <t>KYC00174</t>
  </si>
  <si>
    <t>LN00091</t>
  </si>
  <si>
    <t>CUST00658</t>
  </si>
  <si>
    <t>CUST00779</t>
  </si>
  <si>
    <t>CUST00194</t>
  </si>
  <si>
    <t>QOSMF8744S</t>
  </si>
  <si>
    <t>CUST00992</t>
  </si>
  <si>
    <t>918667455472</t>
  </si>
  <si>
    <t>Mahesh Mishra</t>
  </si>
  <si>
    <t>9979263528</t>
  </si>
  <si>
    <t>CC00127</t>
  </si>
  <si>
    <t>mahesh.mishra992@yahoo.com</t>
  </si>
  <si>
    <t>KYC00175</t>
  </si>
  <si>
    <t>CUST00399</t>
  </si>
  <si>
    <t>908, Church Street</t>
  </si>
  <si>
    <t>CUST00811</t>
  </si>
  <si>
    <t>JNBSU3336T</t>
  </si>
  <si>
    <t>TTMGG9549Z</t>
  </si>
  <si>
    <t>893611037382</t>
  </si>
  <si>
    <t>LN00092</t>
  </si>
  <si>
    <t>CC00128</t>
  </si>
  <si>
    <t>KYC00176</t>
  </si>
  <si>
    <t>CUST00561</t>
  </si>
  <si>
    <t>CUST00392</t>
  </si>
  <si>
    <t>LZTKH7755R</t>
  </si>
  <si>
    <t>Anil Malhotra</t>
  </si>
  <si>
    <t>656624408654</t>
  </si>
  <si>
    <t>9593366636</t>
  </si>
  <si>
    <t>anil.malhotra392@yahoo.com</t>
  </si>
  <si>
    <t>904, Church Street</t>
  </si>
  <si>
    <t>CC00129</t>
  </si>
  <si>
    <t>KYC00177</t>
  </si>
  <si>
    <t>ZPBIO1395Y</t>
  </si>
  <si>
    <t>LN00093</t>
  </si>
  <si>
    <t>255762018674</t>
  </si>
  <si>
    <t>XLFRK5235A</t>
  </si>
  <si>
    <t>CUST00845</t>
  </si>
  <si>
    <t>537237614520</t>
  </si>
  <si>
    <t>CC00130</t>
  </si>
  <si>
    <t>KYC00178</t>
  </si>
  <si>
    <t>CUST00738</t>
  </si>
  <si>
    <t>Suman Ghosh</t>
  </si>
  <si>
    <t>9927859720</t>
  </si>
  <si>
    <t>LN00094</t>
  </si>
  <si>
    <t>CUST00204</t>
  </si>
  <si>
    <t>547, Church Street</t>
  </si>
  <si>
    <t>KYC00179</t>
  </si>
  <si>
    <t>CC00131</t>
  </si>
  <si>
    <t>CUST00860</t>
  </si>
  <si>
    <t>CUST00919</t>
  </si>
  <si>
    <t>XKGPO9889W</t>
  </si>
  <si>
    <t>ZFSFK5041U</t>
  </si>
  <si>
    <t>408962100035</t>
  </si>
  <si>
    <t>326539698456</t>
  </si>
  <si>
    <t>KYC00180</t>
  </si>
  <si>
    <t>CC00132</t>
  </si>
  <si>
    <t>CUST00767</t>
  </si>
  <si>
    <t>LN00095</t>
  </si>
  <si>
    <t>Dinesh Bhatt</t>
  </si>
  <si>
    <t>GJDLW0815F</t>
  </si>
  <si>
    <t>CUST00266</t>
  </si>
  <si>
    <t>9080687036</t>
  </si>
  <si>
    <t>60778890</t>
  </si>
  <si>
    <t>dinesh.bhatt332@gmail.com</t>
  </si>
  <si>
    <t>47, MG Road</t>
  </si>
  <si>
    <t>KYC00181</t>
  </si>
  <si>
    <t>GRXMC1989R</t>
  </si>
  <si>
    <t>CUST00047</t>
  </si>
  <si>
    <t>CC00133</t>
  </si>
  <si>
    <t>643719414641</t>
  </si>
  <si>
    <t>QWCNH9393A</t>
  </si>
  <si>
    <t>CUST00270</t>
  </si>
  <si>
    <t>777463052422</t>
  </si>
  <si>
    <t>LN00096</t>
  </si>
  <si>
    <t>KYC00182</t>
  </si>
  <si>
    <t>CUST00145</t>
  </si>
  <si>
    <t>CUST00638</t>
  </si>
  <si>
    <t>CC00134</t>
  </si>
  <si>
    <t>MZOZB1734G</t>
  </si>
  <si>
    <t>Sunil Patel</t>
  </si>
  <si>
    <t>CUST00330</t>
  </si>
  <si>
    <t>540673783019</t>
  </si>
  <si>
    <t>9719713617</t>
  </si>
  <si>
    <t>sunil.patel638@gmail.com</t>
  </si>
  <si>
    <t>946, Ring Road</t>
  </si>
  <si>
    <t>KYC00183</t>
  </si>
  <si>
    <t>LN00097</t>
  </si>
  <si>
    <t>CUST00177</t>
  </si>
  <si>
    <t>CVEJR0882G</t>
  </si>
  <si>
    <t>XGFVS9175E</t>
  </si>
  <si>
    <t>CC00135</t>
  </si>
  <si>
    <t>026714118801</t>
  </si>
  <si>
    <t>274452313138</t>
  </si>
  <si>
    <t>CUST00232</t>
  </si>
  <si>
    <t>KYC00184</t>
  </si>
  <si>
    <t>CUST00829</t>
  </si>
  <si>
    <t>DJLXF8013R</t>
  </si>
  <si>
    <t>CUST00864</t>
  </si>
  <si>
    <t>CC00136</t>
  </si>
  <si>
    <t>684443071749</t>
  </si>
  <si>
    <t>Rakesh Patel</t>
  </si>
  <si>
    <t>CUST00176</t>
  </si>
  <si>
    <t>LN00098</t>
  </si>
  <si>
    <t>CUST00202</t>
  </si>
  <si>
    <t>9912430366</t>
  </si>
  <si>
    <t>rakesh.patel864@yahoo.com</t>
  </si>
  <si>
    <t>KYC00185</t>
  </si>
  <si>
    <t>142, Church Street</t>
  </si>
  <si>
    <t>CUST00020</t>
  </si>
  <si>
    <t>LKCLR3190V</t>
  </si>
  <si>
    <t>RURJP3742B</t>
  </si>
  <si>
    <t>CC00137</t>
  </si>
  <si>
    <t>007855531367</t>
  </si>
  <si>
    <t>CUST00997</t>
  </si>
  <si>
    <t>0612765297</t>
  </si>
  <si>
    <t>KYC00186</t>
  </si>
  <si>
    <t>LN00099</t>
  </si>
  <si>
    <t>CUST00058</t>
  </si>
  <si>
    <t>CUST00702</t>
  </si>
  <si>
    <t>VDLZL9682X</t>
  </si>
  <si>
    <t>CC00138</t>
  </si>
  <si>
    <t>903332487654</t>
  </si>
  <si>
    <t>CUST00267</t>
  </si>
  <si>
    <t>CUST00699</t>
  </si>
  <si>
    <t>Suman Desai</t>
  </si>
  <si>
    <t>9886530228</t>
  </si>
  <si>
    <t>KYC00187</t>
  </si>
  <si>
    <t>CC00139</t>
  </si>
  <si>
    <t>FUTBZ5294H</t>
  </si>
  <si>
    <t>059084485982</t>
  </si>
  <si>
    <t>LN00100</t>
  </si>
  <si>
    <t>CUST00465</t>
  </si>
  <si>
    <t>KYC00188</t>
  </si>
  <si>
    <t>CC00140</t>
  </si>
  <si>
    <t>CUST00729</t>
  </si>
  <si>
    <t>CUST00874</t>
  </si>
  <si>
    <t>Manish Patel</t>
  </si>
  <si>
    <t>KYC00189</t>
  </si>
  <si>
    <t>CUST00750</t>
  </si>
  <si>
    <t>XMUUU2717K</t>
  </si>
  <si>
    <t>LN00101</t>
  </si>
  <si>
    <t>9226569835</t>
  </si>
  <si>
    <t>678054296150</t>
  </si>
  <si>
    <t>CC00141</t>
  </si>
  <si>
    <t>CUST00652</t>
  </si>
  <si>
    <t>manish.patel874@yahoo.com</t>
  </si>
  <si>
    <t>CUST00408</t>
  </si>
  <si>
    <t>953, Church Street</t>
  </si>
  <si>
    <t>KLQKB1110V</t>
  </si>
  <si>
    <t>KYC00190</t>
  </si>
  <si>
    <t>647662151683</t>
  </si>
  <si>
    <t>CC00142</t>
  </si>
  <si>
    <t>LN00102</t>
  </si>
  <si>
    <t>KYC00191</t>
  </si>
  <si>
    <t>CUST00564</t>
  </si>
  <si>
    <t>CUST00837</t>
  </si>
  <si>
    <t>Gaurav Chauhan</t>
  </si>
  <si>
    <t>PTMTC3987B</t>
  </si>
  <si>
    <t>822449508355</t>
  </si>
  <si>
    <t>CC00143</t>
  </si>
  <si>
    <t>CUST00850</t>
  </si>
  <si>
    <t>9187798998</t>
  </si>
  <si>
    <t>gaurav.chauhan564@yahoo.com</t>
  </si>
  <si>
    <t>615, Ring Road</t>
  </si>
  <si>
    <t>KYC00192</t>
  </si>
  <si>
    <t>CUST00766</t>
  </si>
  <si>
    <t>PPUDX6703D</t>
  </si>
  <si>
    <t>CC00144</t>
  </si>
  <si>
    <t>088294457445</t>
  </si>
  <si>
    <t>937571559057</t>
  </si>
  <si>
    <t>LN00103</t>
  </si>
  <si>
    <t>CUST00061</t>
  </si>
  <si>
    <t>CUST01000</t>
  </si>
  <si>
    <t>KYC00193</t>
  </si>
  <si>
    <t>CC00145</t>
  </si>
  <si>
    <t>CUST00308</t>
  </si>
  <si>
    <t>Geeta Trivedi</t>
  </si>
  <si>
    <t>9544985891</t>
  </si>
  <si>
    <t>LN00104</t>
  </si>
  <si>
    <t>geeta.trivedi611@gmail.com</t>
  </si>
  <si>
    <t>KYC00194</t>
  </si>
  <si>
    <t>40, Ring Road</t>
  </si>
  <si>
    <t>CUST00149</t>
  </si>
  <si>
    <t>CC00146</t>
  </si>
  <si>
    <t>CUST00726</t>
  </si>
  <si>
    <t>AJQTF8569M</t>
  </si>
  <si>
    <t>687448108849</t>
  </si>
  <si>
    <t>CC00147</t>
  </si>
  <si>
    <t>KYC00195</t>
  </si>
  <si>
    <t>CUST00017</t>
  </si>
  <si>
    <t>JXKEH2873U</t>
  </si>
  <si>
    <t>LN00105</t>
  </si>
  <si>
    <t>597784845306</t>
  </si>
  <si>
    <t>CUST00490</t>
  </si>
  <si>
    <t>CUST00130</t>
  </si>
  <si>
    <t>Mahesh Ghosh</t>
  </si>
  <si>
    <t>CC00148</t>
  </si>
  <si>
    <t>CUST00446</t>
  </si>
  <si>
    <t>9934364893</t>
  </si>
  <si>
    <t>mahesh.ghosh490@yahoo.com</t>
  </si>
  <si>
    <t>KYC00196</t>
  </si>
  <si>
    <t>65, Nehru Nagar</t>
  </si>
  <si>
    <t>DNFUZ231</t>
  </si>
  <si>
    <t>CC00149</t>
  </si>
  <si>
    <t>CUST00257</t>
  </si>
  <si>
    <t>LN00106</t>
  </si>
  <si>
    <t>CUST00471</t>
  </si>
  <si>
    <t>KYC00197</t>
  </si>
  <si>
    <t>Mahesh Khanna</t>
  </si>
  <si>
    <t>CUST00427</t>
  </si>
  <si>
    <t>LEQVT9637I</t>
  </si>
  <si>
    <t>9450993967</t>
  </si>
  <si>
    <t>491119858035</t>
  </si>
  <si>
    <t>mahesh.khanna471@gmail.com</t>
  </si>
  <si>
    <t>CC00150</t>
  </si>
  <si>
    <t>139, Nehru Nagar</t>
  </si>
  <si>
    <t>CUST00879</t>
  </si>
  <si>
    <t>YYLIM3436B</t>
  </si>
  <si>
    <t>740042571229</t>
  </si>
  <si>
    <t>KYC00198</t>
  </si>
  <si>
    <t>LN00107</t>
  </si>
  <si>
    <t>CUST00900</t>
  </si>
  <si>
    <t>WORPN1013V</t>
  </si>
  <si>
    <t>020310217930</t>
  </si>
  <si>
    <t>CC00151</t>
  </si>
  <si>
    <t>CUST00103</t>
  </si>
  <si>
    <t>Girish Joshi</t>
  </si>
  <si>
    <t>KYC00199</t>
  </si>
  <si>
    <t>CUST01024</t>
  </si>
  <si>
    <t>9466291087</t>
  </si>
  <si>
    <t>CC00152</t>
  </si>
  <si>
    <t>ZPSRQ2852K</t>
  </si>
  <si>
    <t>girish.joshi407@yahoo.com</t>
  </si>
  <si>
    <t>CUST00400</t>
  </si>
  <si>
    <t>641, Nehru Nagar</t>
  </si>
  <si>
    <t>998697457077</t>
  </si>
  <si>
    <t>LN00108</t>
  </si>
  <si>
    <t>KYC00200</t>
  </si>
  <si>
    <t>CC00153</t>
  </si>
  <si>
    <t>CUST00079</t>
  </si>
  <si>
    <t>698893284689</t>
  </si>
  <si>
    <t>CUST00733</t>
  </si>
  <si>
    <t>Ajay Chowdhury</t>
  </si>
  <si>
    <t>CC00154</t>
  </si>
  <si>
    <t>KYC00201</t>
  </si>
  <si>
    <t>CUST00129</t>
  </si>
  <si>
    <t>CUST00909</t>
  </si>
  <si>
    <t>IAAPU6035Y</t>
  </si>
  <si>
    <t>925688234110</t>
  </si>
  <si>
    <t>LN00109</t>
  </si>
  <si>
    <t>9879753989</t>
  </si>
  <si>
    <t>CUST00319</t>
  </si>
  <si>
    <t>ajay.chowdhury733@gmail.com</t>
  </si>
  <si>
    <t>196, Nehru Nagar</t>
  </si>
  <si>
    <t>CC00155</t>
  </si>
  <si>
    <t>KYC00202</t>
  </si>
  <si>
    <t>CUST00959</t>
  </si>
  <si>
    <t>092502405890</t>
  </si>
  <si>
    <t>DHQSY3077X</t>
  </si>
  <si>
    <t>450967199644</t>
  </si>
  <si>
    <t>LN00110</t>
  </si>
  <si>
    <t>CUST01029</t>
  </si>
  <si>
    <t>CC00156</t>
  </si>
  <si>
    <t>CUST00334</t>
  </si>
  <si>
    <t>KYC00203</t>
  </si>
  <si>
    <t>Sneha Arora</t>
  </si>
  <si>
    <t>CUST00781</t>
  </si>
  <si>
    <t>RGQAR7519B</t>
  </si>
  <si>
    <t>933333659666</t>
  </si>
  <si>
    <t>sneha.arora439@gmail.com</t>
  </si>
  <si>
    <t>887, Park Street</t>
  </si>
  <si>
    <t>CC00157</t>
  </si>
  <si>
    <t>KYC00204</t>
  </si>
  <si>
    <t>CUST00228</t>
  </si>
  <si>
    <t>LN00111</t>
  </si>
  <si>
    <t>CUST00288</t>
  </si>
  <si>
    <t>CUST00064</t>
  </si>
  <si>
    <t>WXECP0172N</t>
  </si>
  <si>
    <t>KYC00205</t>
  </si>
  <si>
    <t>CC00158</t>
  </si>
  <si>
    <t>CUST00240</t>
  </si>
  <si>
    <t>CUST00234</t>
  </si>
  <si>
    <t>RRIAW9053F</t>
  </si>
  <si>
    <t>436233594713</t>
  </si>
  <si>
    <t>Anjali Iyer</t>
  </si>
  <si>
    <t>LN00112</t>
  </si>
  <si>
    <t>CUST00157</t>
  </si>
  <si>
    <t>9609856207</t>
  </si>
  <si>
    <t>KYC00206</t>
  </si>
  <si>
    <t>anjali.iyer845@gmail.com</t>
  </si>
  <si>
    <t>960, Park Street</t>
  </si>
  <si>
    <t>CUST00862</t>
  </si>
  <si>
    <t>CC00159</t>
  </si>
  <si>
    <t>073268157932</t>
  </si>
  <si>
    <t>CUST00868</t>
  </si>
  <si>
    <t>KYC00207</t>
  </si>
  <si>
    <t>LN00113</t>
  </si>
  <si>
    <t>CUST00447</t>
  </si>
  <si>
    <t>CUST00156</t>
  </si>
  <si>
    <t>CC00160</t>
  </si>
  <si>
    <t>CUST00614</t>
  </si>
  <si>
    <t>768958923573</t>
  </si>
  <si>
    <t>CUST00986</t>
  </si>
  <si>
    <t>Neha Menon</t>
  </si>
  <si>
    <t>KYC00208</t>
  </si>
  <si>
    <t>CC00161</t>
  </si>
  <si>
    <t>CUST00091</t>
  </si>
  <si>
    <t>RIHYQ4576C</t>
  </si>
  <si>
    <t>9937539681</t>
  </si>
  <si>
    <t>neha.menon986@yahoo.com</t>
  </si>
  <si>
    <t>326920837127</t>
  </si>
  <si>
    <t>390, Ring Road</t>
  </si>
  <si>
    <t>LN00114</t>
  </si>
  <si>
    <t>MOJUI9681C</t>
  </si>
  <si>
    <t>CUST00166</t>
  </si>
  <si>
    <t>647005206862</t>
  </si>
  <si>
    <t>CC00162</t>
  </si>
  <si>
    <t>CUST01047</t>
  </si>
  <si>
    <t>KYC00209</t>
  </si>
  <si>
    <t>VJVXH9465H</t>
  </si>
  <si>
    <t>982894016125</t>
  </si>
  <si>
    <t>CUST00963</t>
  </si>
  <si>
    <t>Pankaj Mishra</t>
  </si>
  <si>
    <t>KYC00210</t>
  </si>
  <si>
    <t>LN00115</t>
  </si>
  <si>
    <t>9042218809</t>
  </si>
  <si>
    <t>CUST00931</t>
  </si>
  <si>
    <t>pankaj.mishra963@gmail.com</t>
  </si>
  <si>
    <t>827, Ring Road</t>
  </si>
  <si>
    <t>CC00163</t>
  </si>
  <si>
    <t>HVIHC9989I</t>
  </si>
  <si>
    <t>CUST00703</t>
  </si>
  <si>
    <t>549363416324</t>
  </si>
  <si>
    <t>KYC00211</t>
  </si>
  <si>
    <t>NNDZF5543O</t>
  </si>
  <si>
    <t>CUST00294</t>
  </si>
  <si>
    <t>CC00164</t>
  </si>
  <si>
    <t>Prakash Dutta</t>
  </si>
  <si>
    <t>CUST00243</t>
  </si>
  <si>
    <t>LN00116</t>
  </si>
  <si>
    <t>9959749854</t>
  </si>
  <si>
    <t>CUST00727</t>
  </si>
  <si>
    <t>prakash.dutta294@yahoo.com</t>
  </si>
  <si>
    <t>142, Ring Road</t>
  </si>
  <si>
    <t>KYC00212</t>
  </si>
  <si>
    <t>DWUHU0713N</t>
  </si>
  <si>
    <t>CUST00902</t>
  </si>
  <si>
    <t>655687032557</t>
  </si>
  <si>
    <t>698721960844</t>
  </si>
  <si>
    <t>CC00165</t>
  </si>
  <si>
    <t>KYC00213</t>
  </si>
  <si>
    <t>LN00117</t>
  </si>
  <si>
    <t>OMXVQ7288Y</t>
  </si>
  <si>
    <t>Namrata Menon</t>
  </si>
  <si>
    <t>749918511769</t>
  </si>
  <si>
    <t>CC00166</t>
  </si>
  <si>
    <t>namrata.menon311@gmail.com</t>
  </si>
  <si>
    <t>270, Park Street</t>
  </si>
  <si>
    <t>KYC00214</t>
  </si>
  <si>
    <t>JZNYN5307Z</t>
  </si>
  <si>
    <t>QELYR9126H</t>
  </si>
  <si>
    <t>045379181594</t>
  </si>
  <si>
    <t>667565183739</t>
  </si>
  <si>
    <t>CC00167</t>
  </si>
  <si>
    <t>LN00118</t>
  </si>
  <si>
    <t>CUST00390</t>
  </si>
  <si>
    <t>KYC00215</t>
  </si>
  <si>
    <t>CUST00485</t>
  </si>
  <si>
    <t>CUST00015</t>
  </si>
  <si>
    <t>Usha Pandey</t>
  </si>
  <si>
    <t>JWKIM9397Q</t>
  </si>
  <si>
    <t>191931809018</t>
  </si>
  <si>
    <t>CC00168</t>
  </si>
  <si>
    <t>0208984740</t>
  </si>
  <si>
    <t>CUST01030</t>
  </si>
  <si>
    <t>usha.pandey485@yahoo.com</t>
  </si>
  <si>
    <t>307, Church Street</t>
  </si>
  <si>
    <t>KYC00216</t>
  </si>
  <si>
    <t>ZHUFH0832T</t>
  </si>
  <si>
    <t>CUST00326</t>
  </si>
  <si>
    <t>LN00119</t>
  </si>
  <si>
    <t>JOCPI7647C</t>
  </si>
  <si>
    <t>383949328358</t>
  </si>
  <si>
    <t>CUST00801</t>
  </si>
  <si>
    <t>500932586253</t>
  </si>
  <si>
    <t>CC00169</t>
  </si>
  <si>
    <t>KYC00217</t>
  </si>
  <si>
    <t>CUST00207</t>
  </si>
  <si>
    <t>MEAVL5438G</t>
  </si>
  <si>
    <t>Neha Iyer</t>
  </si>
  <si>
    <t>336398795479</t>
  </si>
  <si>
    <t>CC00170</t>
  </si>
  <si>
    <t>CUST00734</t>
  </si>
  <si>
    <t>9839601553</t>
  </si>
  <si>
    <t>LN00120</t>
  </si>
  <si>
    <t>neha.iyer393@gmail.com</t>
  </si>
  <si>
    <t>CUST00280</t>
  </si>
  <si>
    <t>3, Ring Road</t>
  </si>
  <si>
    <t>KYC00218</t>
  </si>
  <si>
    <t>CC00171</t>
  </si>
  <si>
    <t>CUST00949</t>
  </si>
  <si>
    <t>CC00172</t>
  </si>
  <si>
    <t>CUST00023</t>
  </si>
  <si>
    <t>LN00121</t>
  </si>
  <si>
    <t>CUST00405</t>
  </si>
  <si>
    <t>9544250530</t>
  </si>
  <si>
    <t>KYC00219</t>
  </si>
  <si>
    <t>CUST00296</t>
  </si>
  <si>
    <t>DPWQQ6078N</t>
  </si>
  <si>
    <t>CC00173</t>
  </si>
  <si>
    <t>442535747611</t>
  </si>
  <si>
    <t>LN00122</t>
  </si>
  <si>
    <t>CUST00062</t>
  </si>
  <si>
    <t>KYC00220</t>
  </si>
  <si>
    <t>CUST00457</t>
  </si>
  <si>
    <t>CC00174</t>
  </si>
  <si>
    <t>PYLGP4089P</t>
  </si>
  <si>
    <t>CUST00685</t>
  </si>
  <si>
    <t>CUST00783</t>
  </si>
  <si>
    <t>Rakesh Bose</t>
  </si>
  <si>
    <t>944037785916</t>
  </si>
  <si>
    <t>LN00123</t>
  </si>
  <si>
    <t>CUST00353</t>
  </si>
  <si>
    <t>9355374881</t>
  </si>
  <si>
    <t>KYC00221</t>
  </si>
  <si>
    <t>rakesh.bose685@gmail.com</t>
  </si>
  <si>
    <t>709, Church Street</t>
  </si>
  <si>
    <t>CUST00549</t>
  </si>
  <si>
    <t>CC00175</t>
  </si>
  <si>
    <t>FLACR5004X</t>
  </si>
  <si>
    <t>CUST00045</t>
  </si>
  <si>
    <t>IPYDG3747L</t>
  </si>
  <si>
    <t>204222073542</t>
  </si>
  <si>
    <t>243118530923</t>
  </si>
  <si>
    <t>LN00124</t>
  </si>
  <si>
    <t>KYC00222</t>
  </si>
  <si>
    <t>KRLZG4160K</t>
  </si>
  <si>
    <t>CC00176</t>
  </si>
  <si>
    <t>486101255561</t>
  </si>
  <si>
    <t>CUST00481</t>
  </si>
  <si>
    <t>CUST00888</t>
  </si>
  <si>
    <t>Rahul Rao</t>
  </si>
  <si>
    <t>LN00125</t>
  </si>
  <si>
    <t>CUST00956</t>
  </si>
  <si>
    <t>KYC00223</t>
  </si>
  <si>
    <t>rahul.rao888@gmail.com</t>
  </si>
  <si>
    <t>239, Nehru Nagar</t>
  </si>
  <si>
    <t>IBHPF6179C</t>
  </si>
  <si>
    <t>CC00177</t>
  </si>
  <si>
    <t>5436984436</t>
  </si>
  <si>
    <t>FZEZD2732J</t>
  </si>
  <si>
    <t>489759787639</t>
  </si>
  <si>
    <t>LN00126</t>
  </si>
  <si>
    <t>KYC00224</t>
  </si>
  <si>
    <t>CUST00245</t>
  </si>
  <si>
    <t>EKUFK4819I</t>
  </si>
  <si>
    <t>Lata Bansal</t>
  </si>
  <si>
    <t>CC00178</t>
  </si>
  <si>
    <t>967867008083</t>
  </si>
  <si>
    <t>CUST00453</t>
  </si>
  <si>
    <t>9129844591</t>
  </si>
  <si>
    <t>lata.bansal229@gmail.com</t>
  </si>
  <si>
    <t>924, Ring Road</t>
  </si>
  <si>
    <t>LN00127</t>
  </si>
  <si>
    <t>KYC00225</t>
  </si>
  <si>
    <t>CUST00987</t>
  </si>
  <si>
    <t>DIJDK8787P</t>
  </si>
  <si>
    <t>CC00179</t>
  </si>
  <si>
    <t>932821902628</t>
  </si>
  <si>
    <t>CUST00478</t>
  </si>
  <si>
    <t>KYC00226</t>
  </si>
  <si>
    <t>LN00128</t>
  </si>
  <si>
    <t>CUST00968</t>
  </si>
  <si>
    <t>CUST00314</t>
  </si>
  <si>
    <t>OMHGZ4398R</t>
  </si>
  <si>
    <t>CUST00487</t>
  </si>
  <si>
    <t>CC00180</t>
  </si>
  <si>
    <t>Seema Bose</t>
  </si>
  <si>
    <t>607578501768</t>
  </si>
  <si>
    <t>CUST00852</t>
  </si>
  <si>
    <t>9961964876</t>
  </si>
  <si>
    <t>seema.bose487@gmail.com</t>
  </si>
  <si>
    <t>178, FC Road</t>
  </si>
  <si>
    <t>KYC00227</t>
  </si>
  <si>
    <t>LN00129</t>
  </si>
  <si>
    <t>SQHZL4434O</t>
  </si>
  <si>
    <t>CUST00551</t>
  </si>
  <si>
    <t>CUST00578</t>
  </si>
  <si>
    <t>978268496212</t>
  </si>
  <si>
    <t>TAIIQ3327N</t>
  </si>
  <si>
    <t>CC00181</t>
  </si>
  <si>
    <t>CUST00147</t>
  </si>
  <si>
    <t>252878249818</t>
  </si>
  <si>
    <t>Mahesh Verma</t>
  </si>
  <si>
    <t>KYC00228</t>
  </si>
  <si>
    <t>LN00130</t>
  </si>
  <si>
    <t>CUST00798</t>
  </si>
  <si>
    <t>9254577083</t>
  </si>
  <si>
    <t>CC00182</t>
  </si>
  <si>
    <t>mahesh.verma508@gmail.com</t>
  </si>
  <si>
    <t>CUST00093</t>
  </si>
  <si>
    <t>677, Church Street</t>
  </si>
  <si>
    <t>787545505078</t>
  </si>
  <si>
    <t>LN00131</t>
  </si>
  <si>
    <t>KYC00229</t>
  </si>
  <si>
    <t>CC00183</t>
  </si>
  <si>
    <t>Komal Saxena</t>
  </si>
  <si>
    <t>172991328271</t>
  </si>
  <si>
    <t>9128395847</t>
  </si>
  <si>
    <t>komal.saxena238@yahoo.com</t>
  </si>
  <si>
    <t>168, Ring Road</t>
  </si>
  <si>
    <t>KYC00230</t>
  </si>
  <si>
    <t>CC00184</t>
  </si>
  <si>
    <t>LN00132</t>
  </si>
  <si>
    <t>CUST00743</t>
  </si>
  <si>
    <t>BRJNX1056U</t>
  </si>
  <si>
    <t>841496568550</t>
  </si>
  <si>
    <t>CUST00048</t>
  </si>
  <si>
    <t>Kajal Singh</t>
  </si>
  <si>
    <t>9561327964</t>
  </si>
  <si>
    <t>CC00185</t>
  </si>
  <si>
    <t>kajal.singh48@gmail.com</t>
  </si>
  <si>
    <t>CUST00454</t>
  </si>
  <si>
    <t>394, FC Road</t>
  </si>
  <si>
    <t>KYC00231</t>
  </si>
  <si>
    <t>CFCPN4031W</t>
  </si>
  <si>
    <t>LN00133</t>
  </si>
  <si>
    <t>642081323886</t>
  </si>
  <si>
    <t>MDSMH4037C</t>
  </si>
  <si>
    <t>CC00186</t>
  </si>
  <si>
    <t>CUST00784</t>
  </si>
  <si>
    <t>Neha Rao</t>
  </si>
  <si>
    <t>KYC00232</t>
  </si>
  <si>
    <t>CUST00789</t>
  </si>
  <si>
    <t>9417819900</t>
  </si>
  <si>
    <t>RKTAS5829N</t>
  </si>
  <si>
    <t>neha.rao802@gmail.com</t>
  </si>
  <si>
    <t>756, Park Street</t>
  </si>
  <si>
    <t>943072066570</t>
  </si>
  <si>
    <t>LN00134</t>
  </si>
  <si>
    <t>CUST00927</t>
  </si>
  <si>
    <t>CC00187</t>
  </si>
  <si>
    <t>CUST00480</t>
  </si>
  <si>
    <t>KYC00233</t>
  </si>
  <si>
    <t>CUST00342</t>
  </si>
  <si>
    <t>XXTOG4227Y</t>
  </si>
  <si>
    <t>CUST01015</t>
  </si>
  <si>
    <t>Siddharth Naidu</t>
  </si>
  <si>
    <t>CC00188</t>
  </si>
  <si>
    <t>CUST00011</t>
  </si>
  <si>
    <t>LN00135</t>
  </si>
  <si>
    <t>KYC00234</t>
  </si>
  <si>
    <t>93933865</t>
  </si>
  <si>
    <t>siddharth.naidu190@gmail.com</t>
  </si>
  <si>
    <t>CUST00385</t>
  </si>
  <si>
    <t>300, Park Street</t>
  </si>
  <si>
    <t>HLBNQ7351T</t>
  </si>
  <si>
    <t>UFPJR0433D</t>
  </si>
  <si>
    <t>176744172467</t>
  </si>
  <si>
    <t>751169339200</t>
  </si>
  <si>
    <t>CC00189</t>
  </si>
  <si>
    <t>CUST00533</t>
  </si>
  <si>
    <t>KYC00235</t>
  </si>
  <si>
    <t>CUST00183</t>
  </si>
  <si>
    <t>CUST00051</t>
  </si>
  <si>
    <t>TFYQZ8684Y</t>
  </si>
  <si>
    <t>Dinesh Pandey</t>
  </si>
  <si>
    <t>LN00136</t>
  </si>
  <si>
    <t>526834930536</t>
  </si>
  <si>
    <t>CUST00710</t>
  </si>
  <si>
    <t>9364547197</t>
  </si>
  <si>
    <t>555, FC Road</t>
  </si>
  <si>
    <t>CC00190</t>
  </si>
  <si>
    <t>KYC00236</t>
  </si>
  <si>
    <t>918990428350</t>
  </si>
  <si>
    <t>IRHUE8143T</t>
  </si>
  <si>
    <t>509417839206</t>
  </si>
  <si>
    <t>LN00137</t>
  </si>
  <si>
    <t>Anil Bose</t>
  </si>
  <si>
    <t>CC00191</t>
  </si>
  <si>
    <t>KYC00237</t>
  </si>
  <si>
    <t>CUST00375</t>
  </si>
  <si>
    <t>9225762119</t>
  </si>
  <si>
    <t>anil.bose95@gmail.com</t>
  </si>
  <si>
    <t>278, Park Street</t>
  </si>
  <si>
    <t>BKLYG9581G</t>
  </si>
  <si>
    <t>504806488776</t>
  </si>
  <si>
    <t>CC00192</t>
  </si>
  <si>
    <t>KYC00238</t>
  </si>
  <si>
    <t>CUST00628</t>
  </si>
  <si>
    <t>STLGM5193B</t>
  </si>
  <si>
    <t>Anand Reddy</t>
  </si>
  <si>
    <t>165187189347</t>
  </si>
  <si>
    <t>LN00138</t>
  </si>
  <si>
    <t>9749732611</t>
  </si>
  <si>
    <t>anand.reddy912@gmail.com</t>
  </si>
  <si>
    <t>781, Nehru Nagar</t>
  </si>
  <si>
    <t>EWCUU7980D</t>
  </si>
  <si>
    <t>CC00193</t>
  </si>
  <si>
    <t>KYC00239</t>
  </si>
  <si>
    <t>CUST00553</t>
  </si>
  <si>
    <t>CUST00210</t>
  </si>
  <si>
    <t>EJAIQ5307G</t>
  </si>
  <si>
    <t>007642962887</t>
  </si>
  <si>
    <t>CUST00244</t>
  </si>
  <si>
    <t>CC00194</t>
  </si>
  <si>
    <t>KYC00240</t>
  </si>
  <si>
    <t>LN00139</t>
  </si>
  <si>
    <t>9970317737</t>
  </si>
  <si>
    <t>CUST00258</t>
  </si>
  <si>
    <t>HOKVH1924C</t>
  </si>
  <si>
    <t>337586195159</t>
  </si>
  <si>
    <t>KYC00241</t>
  </si>
  <si>
    <t>CC00195</t>
  </si>
  <si>
    <t>CUST00952</t>
  </si>
  <si>
    <t>CUST00645</t>
  </si>
  <si>
    <t>KTKSJ8624I</t>
  </si>
  <si>
    <t>187754963007</t>
  </si>
  <si>
    <t>LN00140</t>
  </si>
  <si>
    <t>Kajal Bhatt</t>
  </si>
  <si>
    <t>CC00196</t>
  </si>
  <si>
    <t>KYC00242</t>
  </si>
  <si>
    <t>9399055827</t>
  </si>
  <si>
    <t>kajal.bhatt582@gmail.com</t>
  </si>
  <si>
    <t>CUST01035</t>
  </si>
  <si>
    <t>121, Park Street</t>
  </si>
  <si>
    <t>QWMRN7852O</t>
  </si>
  <si>
    <t>854639141543</t>
  </si>
  <si>
    <t>AQJAS3460T</t>
  </si>
  <si>
    <t>290196410689</t>
  </si>
  <si>
    <t>LN00141</t>
  </si>
  <si>
    <t>CC00197</t>
  </si>
  <si>
    <t>KYC00243</t>
  </si>
  <si>
    <t>CUST00096</t>
  </si>
  <si>
    <t>IDJXT8394M</t>
  </si>
  <si>
    <t>958706853063</t>
  </si>
  <si>
    <t>Sarita Mishra</t>
  </si>
  <si>
    <t>35142975</t>
  </si>
  <si>
    <t>CC00198</t>
  </si>
  <si>
    <t>sarita.mishra149@yahoo.com</t>
  </si>
  <si>
    <t>KYC00244</t>
  </si>
  <si>
    <t>754, Park Street</t>
  </si>
  <si>
    <t>CUST00350</t>
  </si>
  <si>
    <t>WSJKK3733Z</t>
  </si>
  <si>
    <t>LN00142</t>
  </si>
  <si>
    <t>STSJS8576J</t>
  </si>
  <si>
    <t>814355932246</t>
  </si>
  <si>
    <t>CC00199</t>
  </si>
  <si>
    <t>CUST00840</t>
  </si>
  <si>
    <t>CUST00003</t>
  </si>
  <si>
    <t>KYC00245</t>
  </si>
  <si>
    <t>Manish Imshra</t>
  </si>
  <si>
    <t>CUST01031</t>
  </si>
  <si>
    <t>manish.mishra3@gmail.com</t>
  </si>
  <si>
    <t>LN00143</t>
  </si>
  <si>
    <t>688, Nehru Nagar</t>
  </si>
  <si>
    <t>MEFBT0304X</t>
  </si>
  <si>
    <t>CC00200</t>
  </si>
  <si>
    <t>505800849550</t>
  </si>
  <si>
    <t>KYC00246</t>
  </si>
  <si>
    <t>CUST00531</t>
  </si>
  <si>
    <t>JRVDY8516D</t>
  </si>
  <si>
    <t>533017069079</t>
  </si>
  <si>
    <t>CUST00094</t>
  </si>
  <si>
    <t>CC00201</t>
  </si>
  <si>
    <t>Preeti Tiwari</t>
  </si>
  <si>
    <t>LN00144</t>
  </si>
  <si>
    <t>KYC00247</t>
  </si>
  <si>
    <t>VFBGZ4013O</t>
  </si>
  <si>
    <t>9516117387</t>
  </si>
  <si>
    <t>preeti.tiwari94@gmail.com</t>
  </si>
  <si>
    <t>463784369393</t>
  </si>
  <si>
    <t>850, FC Road</t>
  </si>
  <si>
    <t>ADELW8489B</t>
  </si>
  <si>
    <t>CC00202</t>
  </si>
  <si>
    <t>556505397018</t>
  </si>
  <si>
    <t>CUST01040</t>
  </si>
  <si>
    <t>KYC00248</t>
  </si>
  <si>
    <t>SNCVF3798F</t>
  </si>
  <si>
    <t>LN00145</t>
  </si>
  <si>
    <t>284450904684</t>
  </si>
  <si>
    <t>CUST00816</t>
  </si>
  <si>
    <t>CC00203</t>
  </si>
  <si>
    <t>CUST00741</t>
  </si>
  <si>
    <t>CUST00605</t>
  </si>
  <si>
    <t>KYC00249</t>
  </si>
  <si>
    <t>Vinod Rao</t>
  </si>
  <si>
    <t>CUST00731</t>
  </si>
  <si>
    <t>JWUPW9317C</t>
  </si>
  <si>
    <t>9321293603</t>
  </si>
  <si>
    <t>vinod.rao741@gmail.com</t>
  </si>
  <si>
    <t>976, Ring Road</t>
  </si>
  <si>
    <t>LN00146</t>
  </si>
  <si>
    <t>KYC00250</t>
  </si>
  <si>
    <t>CUST00510</t>
  </si>
  <si>
    <t>003814620658</t>
  </si>
  <si>
    <t>CC00204</t>
  </si>
  <si>
    <t>TFUSM2604O</t>
  </si>
  <si>
    <t>CUST00545</t>
  </si>
  <si>
    <t>178124181613</t>
  </si>
  <si>
    <t>CUST00505</t>
  </si>
  <si>
    <t>Priya Gupta</t>
  </si>
  <si>
    <t>KYC00251</t>
  </si>
  <si>
    <t>CUST00908</t>
  </si>
  <si>
    <t>LN00147</t>
  </si>
  <si>
    <t>CC00205</t>
  </si>
  <si>
    <t>9632552876</t>
  </si>
  <si>
    <t>priya.gupta505@gmail.com</t>
  </si>
  <si>
    <t>228, FC Road</t>
  </si>
  <si>
    <t>KWQHL4873R</t>
  </si>
  <si>
    <t>KYC00252</t>
  </si>
  <si>
    <t>091244170498</t>
  </si>
  <si>
    <t>CUST00289</t>
  </si>
  <si>
    <t>CC00206</t>
  </si>
  <si>
    <t>NXBVQ8858C</t>
  </si>
  <si>
    <t>CUST00316</t>
  </si>
  <si>
    <t>159157476248</t>
  </si>
  <si>
    <t>LN00148</t>
  </si>
  <si>
    <t>CUST00336</t>
  </si>
  <si>
    <t>KYC00253</t>
  </si>
  <si>
    <t>Anand Mehta</t>
  </si>
  <si>
    <t>CUST00632</t>
  </si>
  <si>
    <t>CC00207</t>
  </si>
  <si>
    <t>MBQXX9340X</t>
  </si>
  <si>
    <t>CUST00923</t>
  </si>
  <si>
    <t>172058629374</t>
  </si>
  <si>
    <t>76120784</t>
  </si>
  <si>
    <t>anand.mehta949@gmail.com</t>
  </si>
  <si>
    <t>181, Park Street</t>
  </si>
  <si>
    <t>KYC00254</t>
  </si>
  <si>
    <t>LN00149</t>
  </si>
  <si>
    <t>DETIC1632N</t>
  </si>
  <si>
    <t>CUST00825</t>
  </si>
  <si>
    <t>CC00208</t>
  </si>
  <si>
    <t>JFUYX2694F</t>
  </si>
  <si>
    <t>CUST00044</t>
  </si>
  <si>
    <t>945140804000</t>
  </si>
  <si>
    <t>KYC00255</t>
  </si>
  <si>
    <t>Geeta Rane</t>
  </si>
  <si>
    <t>CUST01033</t>
  </si>
  <si>
    <t>CC00209</t>
  </si>
  <si>
    <t>LN00150</t>
  </si>
  <si>
    <t>ACEBP4011K</t>
  </si>
  <si>
    <t>CUST00169</t>
  </si>
  <si>
    <t>578185348512</t>
  </si>
  <si>
    <t>9339033447</t>
  </si>
  <si>
    <t>geeta.rane211@gmail.com</t>
  </si>
  <si>
    <t>873, Church Street</t>
  </si>
  <si>
    <t>UHRPX6240K</t>
  </si>
  <si>
    <t>KYC00256</t>
  </si>
  <si>
    <t>125932030278</t>
  </si>
  <si>
    <t>CC00210</t>
  </si>
  <si>
    <t>CUST00192</t>
  </si>
  <si>
    <t>STBCK7689M</t>
  </si>
  <si>
    <t>555137910790</t>
  </si>
  <si>
    <t>LN00151</t>
  </si>
  <si>
    <t>CUST00891</t>
  </si>
  <si>
    <t>KYC00257</t>
  </si>
  <si>
    <t>Anita Menon</t>
  </si>
  <si>
    <t>CC00211</t>
  </si>
  <si>
    <t>FLMMM8440Y</t>
  </si>
  <si>
    <t>LN00152</t>
  </si>
  <si>
    <t>9417232980</t>
  </si>
  <si>
    <t>anita.menon891@yahoo.com</t>
  </si>
  <si>
    <t>610, FC Road</t>
  </si>
  <si>
    <t>KYC00258</t>
  </si>
  <si>
    <t>CC00212</t>
  </si>
  <si>
    <t>IHSYD0166D</t>
  </si>
  <si>
    <t>CUST00186</t>
  </si>
  <si>
    <t>784322767463</t>
  </si>
  <si>
    <t>LN00153</t>
  </si>
  <si>
    <t>CUST00754</t>
  </si>
  <si>
    <t>KYC00259</t>
  </si>
  <si>
    <t>CC00213</t>
  </si>
  <si>
    <t>CUST00724</t>
  </si>
  <si>
    <t>CUST00122</t>
  </si>
  <si>
    <t>CUST01017</t>
  </si>
  <si>
    <t>CNXHP2766T</t>
  </si>
  <si>
    <t>239518007241</t>
  </si>
  <si>
    <t>LN00154</t>
  </si>
  <si>
    <t>9909437823</t>
  </si>
  <si>
    <t>KYC00260</t>
  </si>
  <si>
    <t>CC00214</t>
  </si>
  <si>
    <t>CUST00310</t>
  </si>
  <si>
    <t>CUST00199</t>
  </si>
  <si>
    <t>LYTZE5642U</t>
  </si>
  <si>
    <t>LN00155</t>
  </si>
  <si>
    <t>CUST00292</t>
  </si>
  <si>
    <t>KYC00261</t>
  </si>
  <si>
    <t>CC00215</t>
  </si>
  <si>
    <t>CUST00317</t>
  </si>
  <si>
    <t>CUST00748</t>
  </si>
  <si>
    <t>XIVDR5586V</t>
  </si>
  <si>
    <t>071193738046</t>
  </si>
  <si>
    <t>LN00156</t>
  </si>
  <si>
    <t>Rekha Bansal</t>
  </si>
  <si>
    <t>KYC00262</t>
  </si>
  <si>
    <t>CC00216</t>
  </si>
  <si>
    <t>9451409236</t>
  </si>
  <si>
    <t>CUST00089</t>
  </si>
  <si>
    <t>rekha.bansal554@yahoo.com</t>
  </si>
  <si>
    <t>469, FC Road</t>
  </si>
  <si>
    <t>WWUVA4004Y</t>
  </si>
  <si>
    <t>022800257698</t>
  </si>
  <si>
    <t>LN00157</t>
  </si>
  <si>
    <t>KYC00263</t>
  </si>
  <si>
    <t>CC00217</t>
  </si>
  <si>
    <t>CUST01038</t>
  </si>
  <si>
    <t>CUST00701</t>
  </si>
  <si>
    <t>Amit Rane</t>
  </si>
  <si>
    <t>LN00158</t>
  </si>
  <si>
    <t>KYC00264</t>
  </si>
  <si>
    <t>CUST00264</t>
  </si>
  <si>
    <t>CC00218</t>
  </si>
  <si>
    <t>CUST00387</t>
  </si>
  <si>
    <t>9378391420</t>
  </si>
  <si>
    <t>amit.rane411@yahoo.com</t>
  </si>
  <si>
    <t>LGGUI5581C</t>
  </si>
  <si>
    <t>828, Church Street</t>
  </si>
  <si>
    <t>714897610402</t>
  </si>
  <si>
    <t>104043345936</t>
  </si>
  <si>
    <t>Needs Review</t>
  </si>
  <si>
    <t>CC00219</t>
  </si>
  <si>
    <t>KYC00265</t>
  </si>
  <si>
    <t>LN00159</t>
  </si>
  <si>
    <t>CUST00459</t>
  </si>
  <si>
    <t>CUST00707</t>
  </si>
  <si>
    <t>CUST00050</t>
  </si>
  <si>
    <t>846378056619</t>
  </si>
  <si>
    <t>Manoj Kapoor</t>
  </si>
  <si>
    <t>KYC00266</t>
  </si>
  <si>
    <t>CC00220</t>
  </si>
  <si>
    <t>CUST00792</t>
  </si>
  <si>
    <t>CUST00944</t>
  </si>
  <si>
    <t>MHPQV9291E</t>
  </si>
  <si>
    <t>9336367861</t>
  </si>
  <si>
    <t>LN00160</t>
  </si>
  <si>
    <t>manoj.kapoor192@gmail.com</t>
  </si>
  <si>
    <t>18, Ring Road</t>
  </si>
  <si>
    <t>KYC00267</t>
  </si>
  <si>
    <t>CC00221</t>
  </si>
  <si>
    <t>QOCFC6702N</t>
  </si>
  <si>
    <t>871808087326</t>
  </si>
  <si>
    <t>LN00161</t>
  </si>
  <si>
    <t>KYC00268</t>
  </si>
  <si>
    <t>CC00222</t>
  </si>
  <si>
    <t>CUST00629</t>
  </si>
  <si>
    <t>Swati Sharma</t>
  </si>
  <si>
    <t>9900438780</t>
  </si>
  <si>
    <t>swati.sharma629@gmail.com</t>
  </si>
  <si>
    <t>305, Park Street</t>
  </si>
  <si>
    <t>KYC00269</t>
  </si>
  <si>
    <t>BHJUE3926D</t>
  </si>
  <si>
    <t>CC00223</t>
  </si>
  <si>
    <t>034622601111</t>
  </si>
  <si>
    <t>LN00162</t>
  </si>
  <si>
    <t>CUST00770</t>
  </si>
  <si>
    <t>Ashok Tiwari</t>
  </si>
  <si>
    <t>KYC00270</t>
  </si>
  <si>
    <t>CC00224</t>
  </si>
  <si>
    <t>CUST00807</t>
  </si>
  <si>
    <t>7771999302</t>
  </si>
  <si>
    <t>CUST00005</t>
  </si>
  <si>
    <t>ashok.tiwari770@yahoo.com</t>
  </si>
  <si>
    <t>CBBIG6322Q</t>
  </si>
  <si>
    <t>51, Park Street</t>
  </si>
  <si>
    <t>356924216337</t>
  </si>
  <si>
    <t>PLLWW5749A</t>
  </si>
  <si>
    <t>829548836247</t>
  </si>
  <si>
    <t>LN00163</t>
  </si>
  <si>
    <t>CC00225</t>
  </si>
  <si>
    <t>KYC00271</t>
  </si>
  <si>
    <t>CUST00826</t>
  </si>
  <si>
    <t>706466035782</t>
  </si>
  <si>
    <t>CUST00866</t>
  </si>
  <si>
    <t>Deepak Sharma</t>
  </si>
  <si>
    <t>CC00226</t>
  </si>
  <si>
    <t>KYC00272</t>
  </si>
  <si>
    <t>CUST00664</t>
  </si>
  <si>
    <t>9074962771</t>
  </si>
  <si>
    <t>deepak.sharma866@gmail.com</t>
  </si>
  <si>
    <t>LN00164</t>
  </si>
  <si>
    <t>626, Park Street</t>
  </si>
  <si>
    <t>GQYUP4429U</t>
  </si>
  <si>
    <t>657417375999</t>
  </si>
  <si>
    <t>DTPEI8339E</t>
  </si>
  <si>
    <t>KYC00273</t>
  </si>
  <si>
    <t>CC00227</t>
  </si>
  <si>
    <t>CUST00225</t>
  </si>
  <si>
    <t>CUST00483</t>
  </si>
  <si>
    <t>LN00165</t>
  </si>
  <si>
    <t>Naveen Bansal</t>
  </si>
  <si>
    <t>CUST00321</t>
  </si>
  <si>
    <t>KYC00274</t>
  </si>
  <si>
    <t>0486751562</t>
  </si>
  <si>
    <t>naveen.bansal483@gmail.com</t>
  </si>
  <si>
    <t>652, FC Road</t>
  </si>
  <si>
    <t>CC00228</t>
  </si>
  <si>
    <t>CUST01022</t>
  </si>
  <si>
    <t>GFLNI5294X</t>
  </si>
  <si>
    <t>656335422353</t>
  </si>
  <si>
    <t>KYC00275</t>
  </si>
  <si>
    <t>LN00166</t>
  </si>
  <si>
    <t>CUST00113</t>
  </si>
  <si>
    <t>UKXEF5875R</t>
  </si>
  <si>
    <t>CC00229</t>
  </si>
  <si>
    <t>987784911036</t>
  </si>
  <si>
    <t>CUST01036</t>
  </si>
  <si>
    <t>Kiran Gupta</t>
  </si>
  <si>
    <t>KYC00276</t>
  </si>
  <si>
    <t>9405291881</t>
  </si>
  <si>
    <t>kiran.gupta145@gmail.com</t>
  </si>
  <si>
    <t>CC00230</t>
  </si>
  <si>
    <t>401, Park Street</t>
  </si>
  <si>
    <t>CUST00282</t>
  </si>
  <si>
    <t>LN00167</t>
  </si>
  <si>
    <t>CUST00608</t>
  </si>
  <si>
    <t>KYC00277</t>
  </si>
  <si>
    <t>CUST00778</t>
  </si>
  <si>
    <t>IVKND9701H</t>
  </si>
  <si>
    <t>506376772064</t>
  </si>
  <si>
    <t>CC00231</t>
  </si>
  <si>
    <t>CUST00876</t>
  </si>
  <si>
    <t>KYC00278</t>
  </si>
  <si>
    <t>LN00168</t>
  </si>
  <si>
    <t>CUST00070</t>
  </si>
  <si>
    <t>LVBRA7001G</t>
  </si>
  <si>
    <t>9003594398</t>
  </si>
  <si>
    <t>089444331070</t>
  </si>
  <si>
    <t>rekha.joshi876@gmail.com</t>
  </si>
  <si>
    <t>619, FC Road</t>
  </si>
  <si>
    <t>HDFWL1495I</t>
  </si>
  <si>
    <t>806822966544</t>
  </si>
  <si>
    <t>KYC00279</t>
  </si>
  <si>
    <t>CUST00185</t>
  </si>
  <si>
    <t>CC00232</t>
  </si>
  <si>
    <t>OOHTK4088L</t>
  </si>
  <si>
    <t>008630243076</t>
  </si>
  <si>
    <t>LN00169</t>
  </si>
  <si>
    <t>CUST00606</t>
  </si>
  <si>
    <t>KYC00280</t>
  </si>
  <si>
    <t>Manish Chatterjee</t>
  </si>
  <si>
    <t>CUST00800</t>
  </si>
  <si>
    <t>IQAQI6382I</t>
  </si>
  <si>
    <t>504342261405</t>
  </si>
  <si>
    <t>9572256913</t>
  </si>
  <si>
    <t>manish.chatterjee606@gmail.com</t>
  </si>
  <si>
    <t>560, MG Road</t>
  </si>
  <si>
    <t>LN00170</t>
  </si>
  <si>
    <t>CC00233</t>
  </si>
  <si>
    <t>KYC00281</t>
  </si>
  <si>
    <t>JXUGN6500L</t>
  </si>
  <si>
    <t>566334004864</t>
  </si>
  <si>
    <t>ZNJSC8911G</t>
  </si>
  <si>
    <t>907233863330</t>
  </si>
  <si>
    <t>KYC00282</t>
  </si>
  <si>
    <t>CUST01050</t>
  </si>
  <si>
    <t>CC00234</t>
  </si>
  <si>
    <t>LN00171</t>
  </si>
  <si>
    <t>CUST00187</t>
  </si>
  <si>
    <t>KYC00283</t>
  </si>
  <si>
    <t>CUST00239</t>
  </si>
  <si>
    <t>475934540463</t>
  </si>
  <si>
    <t>CC00235</t>
  </si>
  <si>
    <t>CUST00260</t>
  </si>
  <si>
    <t>KYC00284</t>
  </si>
  <si>
    <t>LN00172</t>
  </si>
  <si>
    <t>CUST00221</t>
  </si>
  <si>
    <t>621929708919</t>
  </si>
  <si>
    <t>KYC00285</t>
  </si>
  <si>
    <t>CC00236</t>
  </si>
  <si>
    <t>EMSOO3861R</t>
  </si>
  <si>
    <t>LN00173</t>
  </si>
  <si>
    <t>501244623945</t>
  </si>
  <si>
    <t>CUST00450</t>
  </si>
  <si>
    <t>KYC00286</t>
  </si>
  <si>
    <t>CUST00708</t>
  </si>
  <si>
    <t>CC00237</t>
  </si>
  <si>
    <t>YMNIQ6786B</t>
  </si>
  <si>
    <t>CUST00413</t>
  </si>
  <si>
    <t>121315815617</t>
  </si>
  <si>
    <t>LN00174</t>
  </si>
  <si>
    <t>KYC00287</t>
  </si>
  <si>
    <t>CUST00371</t>
  </si>
  <si>
    <t>CC00238</t>
  </si>
  <si>
    <t>Bhavna Chowdhury</t>
  </si>
  <si>
    <t>UZZIV2390Z</t>
  </si>
  <si>
    <t>513168614034</t>
  </si>
  <si>
    <t>bhavna.chowdhury589@gmail.com</t>
  </si>
  <si>
    <t>409, Nehru Nagar</t>
  </si>
  <si>
    <t>KYC00288</t>
  </si>
  <si>
    <t>LN00175</t>
  </si>
  <si>
    <t>QZQGO1922M</t>
  </si>
  <si>
    <t>529605438535</t>
  </si>
  <si>
    <t>CC00239</t>
  </si>
  <si>
    <t>KYC00289</t>
  </si>
  <si>
    <t>Karan Arora</t>
  </si>
  <si>
    <t>CC00240</t>
  </si>
  <si>
    <t>LN00176</t>
  </si>
  <si>
    <t>CUST00339</t>
  </si>
  <si>
    <t>9828881706</t>
  </si>
  <si>
    <t>karan.arora286@gmail.com</t>
  </si>
  <si>
    <t>57, MG Road</t>
  </si>
  <si>
    <t>KYC00290</t>
  </si>
  <si>
    <t>COOIQ9258C</t>
  </si>
  <si>
    <t>CC00241</t>
  </si>
  <si>
    <t>887833918731</t>
  </si>
  <si>
    <t>LN00177</t>
  </si>
  <si>
    <t>KYC00291</t>
  </si>
  <si>
    <t>CUST00815</t>
  </si>
  <si>
    <t>CC00242</t>
  </si>
  <si>
    <t>EZYWF7059E</t>
  </si>
  <si>
    <t>CUST00351</t>
  </si>
  <si>
    <t>CUST00203</t>
  </si>
  <si>
    <t>139340579807</t>
  </si>
  <si>
    <t>Ashok Mehta</t>
  </si>
  <si>
    <t>KYC00292</t>
  </si>
  <si>
    <t>9343558899</t>
  </si>
  <si>
    <t>ashok.mehta203@gmail.com</t>
  </si>
  <si>
    <t>CC00243</t>
  </si>
  <si>
    <t>LN00178</t>
  </si>
  <si>
    <t>808, FC Road</t>
  </si>
  <si>
    <t>LNAIC3296A</t>
  </si>
  <si>
    <t>HUWRM1790U</t>
  </si>
  <si>
    <t>118380546351</t>
  </si>
  <si>
    <t>KYC00293</t>
  </si>
  <si>
    <t>CUST01037</t>
  </si>
  <si>
    <t>CC00244</t>
  </si>
  <si>
    <t>TZOZL8805P</t>
  </si>
  <si>
    <t>410926878135</t>
  </si>
  <si>
    <t>LN00179</t>
  </si>
  <si>
    <t>CUST00721</t>
  </si>
  <si>
    <t>Kajal Nair</t>
  </si>
  <si>
    <t>KYC00294</t>
  </si>
  <si>
    <t>CC00245</t>
  </si>
  <si>
    <t>CUST00180</t>
  </si>
  <si>
    <t>CUST00814</t>
  </si>
  <si>
    <t>ZBAFV1125N</t>
  </si>
  <si>
    <t>9593942039</t>
  </si>
  <si>
    <t>kajal.nair771@gmail.com</t>
  </si>
  <si>
    <t>169, Church Street</t>
  </si>
  <si>
    <t>LN00180</t>
  </si>
  <si>
    <t>CC00246</t>
  </si>
  <si>
    <t>CUST00854</t>
  </si>
  <si>
    <t>KYC00295</t>
  </si>
  <si>
    <t>NEIQD7641F</t>
  </si>
  <si>
    <t>410413392617</t>
  </si>
  <si>
    <t>CC00247</t>
  </si>
  <si>
    <t>KYC00296</t>
  </si>
  <si>
    <t>CUST00584</t>
  </si>
  <si>
    <t>HTLCU0725P</t>
  </si>
  <si>
    <t>CUST00740</t>
  </si>
  <si>
    <t>173056270909</t>
  </si>
  <si>
    <t>CC00248</t>
  </si>
  <si>
    <t>LN00181</t>
  </si>
  <si>
    <t>KYC00297</t>
  </si>
  <si>
    <t>97335928</t>
  </si>
  <si>
    <t>deepak.sharma740@yahoo.com</t>
  </si>
  <si>
    <t>576, Church Street</t>
  </si>
  <si>
    <t>603711236071</t>
  </si>
  <si>
    <t>GCUOM7703F</t>
  </si>
  <si>
    <t>CC00249</t>
  </si>
  <si>
    <t>871525302199</t>
  </si>
  <si>
    <t>KYC00298</t>
  </si>
  <si>
    <t>LN00182</t>
  </si>
  <si>
    <t>AJADU0473Z</t>
  </si>
  <si>
    <t>CUST00804</t>
  </si>
  <si>
    <t>7284199429</t>
  </si>
  <si>
    <t>CC00250</t>
  </si>
  <si>
    <t>Ashok Menon</t>
  </si>
  <si>
    <t>KYC00299</t>
  </si>
  <si>
    <t>CUST00720</t>
  </si>
  <si>
    <t>CUST00036</t>
  </si>
  <si>
    <t>BIBZY0904T</t>
  </si>
  <si>
    <t>796493893665</t>
  </si>
  <si>
    <t>60271985</t>
  </si>
  <si>
    <t>ashok.menon271@gmail.com</t>
  </si>
  <si>
    <t>748, Park Street</t>
  </si>
  <si>
    <t>LN00183</t>
  </si>
  <si>
    <t>CC00251</t>
  </si>
  <si>
    <t>CUST00985</t>
  </si>
  <si>
    <t>KYC00300</t>
  </si>
  <si>
    <t>CC00252</t>
  </si>
  <si>
    <t>KYC00301</t>
  </si>
  <si>
    <t>LN00184</t>
  </si>
  <si>
    <t>CUST00162</t>
  </si>
  <si>
    <t>Deepa Pillai</t>
  </si>
  <si>
    <t>CC00253</t>
  </si>
  <si>
    <t>CUST00728</t>
  </si>
  <si>
    <t>KYC00302</t>
  </si>
  <si>
    <t>EAMRD7247B</t>
  </si>
  <si>
    <t>9347511478</t>
  </si>
  <si>
    <t>766355708844</t>
  </si>
  <si>
    <t>LN00185</t>
  </si>
  <si>
    <t>deepa.pillai162@gmail.com</t>
  </si>
  <si>
    <t>735, MG Road</t>
  </si>
  <si>
    <t>CC00254</t>
  </si>
  <si>
    <t>RUDJV7562H</t>
  </si>
  <si>
    <t>KYC00303</t>
  </si>
  <si>
    <t>501660988140</t>
  </si>
  <si>
    <t>737727339634</t>
  </si>
  <si>
    <t>CC00255</t>
  </si>
  <si>
    <t>LN00186</t>
  </si>
  <si>
    <t>CUST00555</t>
  </si>
  <si>
    <t>KYC00304</t>
  </si>
  <si>
    <t>CUST00467</t>
  </si>
  <si>
    <t>CUST00327</t>
  </si>
  <si>
    <t>YYKNB2949L</t>
  </si>
  <si>
    <t>Rohan Agarwal</t>
  </si>
  <si>
    <t>414220936679</t>
  </si>
  <si>
    <t>CC00256</t>
  </si>
  <si>
    <t>9875484309</t>
  </si>
  <si>
    <t>rohan.agarwal327@gmail.com</t>
  </si>
  <si>
    <t>KYC00305</t>
  </si>
  <si>
    <t>471, FC Road</t>
  </si>
  <si>
    <t>BZYPS7677D</t>
  </si>
  <si>
    <t>LN00187</t>
  </si>
  <si>
    <t>CC00257</t>
  </si>
  <si>
    <t>692718143961</t>
  </si>
  <si>
    <t>KYC00306</t>
  </si>
  <si>
    <t>CQPXY0743X</t>
  </si>
  <si>
    <t>6066667048</t>
  </si>
  <si>
    <t>CC00258</t>
  </si>
  <si>
    <t>LN00188</t>
  </si>
  <si>
    <t>KYC00307</t>
  </si>
  <si>
    <t>CUST00131</t>
  </si>
  <si>
    <t>QSXUK1303S</t>
  </si>
  <si>
    <t>Lata Rao</t>
  </si>
  <si>
    <t>719205571075</t>
  </si>
  <si>
    <t>CC00259</t>
  </si>
  <si>
    <t>CUST00106</t>
  </si>
  <si>
    <t>9865810950</t>
  </si>
  <si>
    <t>lata.rao317@yahoo.com</t>
  </si>
  <si>
    <t>803, Ring Road</t>
  </si>
  <si>
    <t>KYC00308</t>
  </si>
  <si>
    <t>ONQDN6670A</t>
  </si>
  <si>
    <t>EMLFV4545H</t>
  </si>
  <si>
    <t>LN00189</t>
  </si>
  <si>
    <t>CUST00223</t>
  </si>
  <si>
    <t>843858051918</t>
  </si>
  <si>
    <t>CC00260</t>
  </si>
  <si>
    <t>KYC00309</t>
  </si>
  <si>
    <t>CEPPP6025Z</t>
  </si>
  <si>
    <t>9065261935</t>
  </si>
  <si>
    <t>Arjun Agarwal</t>
  </si>
  <si>
    <t>CC00261</t>
  </si>
  <si>
    <t>9073982994</t>
  </si>
  <si>
    <t>KYC00310</t>
  </si>
  <si>
    <t>arjun.agarwal302@gmail.com</t>
  </si>
  <si>
    <t>18, Church Street</t>
  </si>
  <si>
    <t>LN00190</t>
  </si>
  <si>
    <t>CC00262</t>
  </si>
  <si>
    <t>CUST00038</t>
  </si>
  <si>
    <t>KYC00311</t>
  </si>
  <si>
    <t>IACKZ1913L</t>
  </si>
  <si>
    <t>244463381866</t>
  </si>
  <si>
    <t>CC00263</t>
  </si>
  <si>
    <t>CUST00537</t>
  </si>
  <si>
    <t>LN00191</t>
  </si>
  <si>
    <t>Kavita Singh</t>
  </si>
  <si>
    <t>CUST00304</t>
  </si>
  <si>
    <t>KYC00312</t>
  </si>
  <si>
    <t>CUST00797</t>
  </si>
  <si>
    <t>HHXJP3536H</t>
  </si>
  <si>
    <t>9171249703</t>
  </si>
  <si>
    <t>114958644765</t>
  </si>
  <si>
    <t>kavita.singh109@yahoo.com</t>
  </si>
  <si>
    <t>293, Park Street</t>
  </si>
  <si>
    <t>CC00264</t>
  </si>
  <si>
    <t>NQHZO1346H</t>
  </si>
  <si>
    <t>KYC00313</t>
  </si>
  <si>
    <t>082964363568</t>
  </si>
  <si>
    <t>LN00192</t>
  </si>
  <si>
    <t>MIKLP0255T</t>
  </si>
  <si>
    <t>398649703941</t>
  </si>
  <si>
    <t>CC00265</t>
  </si>
  <si>
    <t>CUST01001</t>
  </si>
  <si>
    <t>KYC00314</t>
  </si>
  <si>
    <t>CUST00416</t>
  </si>
  <si>
    <t>Aditya Arora</t>
  </si>
  <si>
    <t>REYUP6308O</t>
  </si>
  <si>
    <t>157536751864</t>
  </si>
  <si>
    <t>LN00193</t>
  </si>
  <si>
    <t>9588293005</t>
  </si>
  <si>
    <t>CC00266</t>
  </si>
  <si>
    <t>CUST00461</t>
  </si>
  <si>
    <t>182, Church Street</t>
  </si>
  <si>
    <t>CUST00404</t>
  </si>
  <si>
    <t>KYC00315</t>
  </si>
  <si>
    <t>CC00267</t>
  </si>
  <si>
    <t>CUST00812</t>
  </si>
  <si>
    <t>KYC00316</t>
  </si>
  <si>
    <t>LN00194</t>
  </si>
  <si>
    <t>CUST00472</t>
  </si>
  <si>
    <t>CUST00315</t>
  </si>
  <si>
    <t>ZLEJV5767G</t>
  </si>
  <si>
    <t>Kiran Rane</t>
  </si>
  <si>
    <t>657450333080</t>
  </si>
  <si>
    <t>9031647987</t>
  </si>
  <si>
    <t>kiran.rane32@gmail.com</t>
  </si>
  <si>
    <t>CC00268</t>
  </si>
  <si>
    <t>679, Ring Road</t>
  </si>
  <si>
    <t>KYC00317</t>
  </si>
  <si>
    <t>CUST00396</t>
  </si>
  <si>
    <t>JRZPU7604Z</t>
  </si>
  <si>
    <t>775751668160</t>
  </si>
  <si>
    <t>495183999619</t>
  </si>
  <si>
    <t>LN00195</t>
  </si>
  <si>
    <t>CUST00602</t>
  </si>
  <si>
    <t>CC00269</t>
  </si>
  <si>
    <t>CUST00066</t>
  </si>
  <si>
    <t>KYC00318</t>
  </si>
  <si>
    <t>PWXHX5010E</t>
  </si>
  <si>
    <t>292259237379</t>
  </si>
  <si>
    <t>CUST00744</t>
  </si>
  <si>
    <t>Paayl Bose</t>
  </si>
  <si>
    <t>LN00196</t>
  </si>
  <si>
    <t>CC00270</t>
  </si>
  <si>
    <t>KYC00319</t>
  </si>
  <si>
    <t>0202368462</t>
  </si>
  <si>
    <t>CUST00858</t>
  </si>
  <si>
    <t>LLAHF6466G</t>
  </si>
  <si>
    <t>720, Park Street</t>
  </si>
  <si>
    <t>417447898145</t>
  </si>
  <si>
    <t>XGXZO0898N</t>
  </si>
  <si>
    <t>293369631265</t>
  </si>
  <si>
    <t>KYC00320</t>
  </si>
  <si>
    <t>CC00271</t>
  </si>
  <si>
    <t>CUST00084</t>
  </si>
  <si>
    <t>CUST00324</t>
  </si>
  <si>
    <t>RJDXM4261E</t>
  </si>
  <si>
    <t>LN00197</t>
  </si>
  <si>
    <t>Prakash Bose</t>
  </si>
  <si>
    <t>372895012230</t>
  </si>
  <si>
    <t>9135472263</t>
  </si>
  <si>
    <t>KYC00321</t>
  </si>
  <si>
    <t>prakash.bose258@gmail.com</t>
  </si>
  <si>
    <t>162, Park Street</t>
  </si>
  <si>
    <t>CUST00384</t>
  </si>
  <si>
    <t>CC00272</t>
  </si>
  <si>
    <t>BECJF3002U</t>
  </si>
  <si>
    <t>162608456261</t>
  </si>
  <si>
    <t>LN00198</t>
  </si>
  <si>
    <t>CUST00365</t>
  </si>
  <si>
    <t>KYC00322</t>
  </si>
  <si>
    <t>CUST00921</t>
  </si>
  <si>
    <t>RHJYA7976V</t>
  </si>
  <si>
    <t>717494380090</t>
  </si>
  <si>
    <t>CC00273</t>
  </si>
  <si>
    <t>Namrata Kapoor</t>
  </si>
  <si>
    <t>KYC00323</t>
  </si>
  <si>
    <t>9460623261</t>
  </si>
  <si>
    <t>CUST00820</t>
  </si>
  <si>
    <t>LN00199</t>
  </si>
  <si>
    <t>namrata.kapoor539@gmail.com</t>
  </si>
  <si>
    <t>JDDNI045</t>
  </si>
  <si>
    <t>249, Ring Road</t>
  </si>
  <si>
    <t>460751910717</t>
  </si>
  <si>
    <t>CC00274</t>
  </si>
  <si>
    <t>KYC00324</t>
  </si>
  <si>
    <t>CUST00215</t>
  </si>
  <si>
    <t>KQEIE8338M</t>
  </si>
  <si>
    <t>151809332277</t>
  </si>
  <si>
    <t>LN00200</t>
  </si>
  <si>
    <t>CUST00086</t>
  </si>
  <si>
    <t>Suresh Rao</t>
  </si>
  <si>
    <t>CC00275</t>
  </si>
  <si>
    <t>KYC00325</t>
  </si>
  <si>
    <t>CUST00313</t>
  </si>
  <si>
    <t>9511876437</t>
  </si>
  <si>
    <t>suresh.rao280@gmail.com</t>
  </si>
  <si>
    <t>939, MG Road</t>
  </si>
  <si>
    <t>AWTDS8419G</t>
  </si>
  <si>
    <t>403961932817</t>
  </si>
  <si>
    <t>LN00201</t>
  </si>
  <si>
    <t>CC00276</t>
  </si>
  <si>
    <t>KYC00326</t>
  </si>
  <si>
    <t>CUST00898</t>
  </si>
  <si>
    <t>CUST00142</t>
  </si>
  <si>
    <t>UIJEG6308N</t>
  </si>
  <si>
    <t>679000213386</t>
  </si>
  <si>
    <t>Dinesh Verma</t>
  </si>
  <si>
    <t>9217426833</t>
  </si>
  <si>
    <t>KYC00327</t>
  </si>
  <si>
    <t>dinesh.verma185@gmail.com</t>
  </si>
  <si>
    <t>69, MG Road</t>
  </si>
  <si>
    <t>CKNPJ8391N</t>
  </si>
  <si>
    <t>353627101019</t>
  </si>
  <si>
    <t>LN00202</t>
  </si>
  <si>
    <t>CC00277</t>
  </si>
  <si>
    <t>KYC00328</t>
  </si>
  <si>
    <t>CUST00022</t>
  </si>
  <si>
    <t>IUQVX0825N</t>
  </si>
  <si>
    <t>Sandeep Chowdhury</t>
  </si>
  <si>
    <t>CC00278</t>
  </si>
  <si>
    <t>KYC00329</t>
  </si>
  <si>
    <t>LN00203</t>
  </si>
  <si>
    <t>9124793964</t>
  </si>
  <si>
    <t>157, MG Road</t>
  </si>
  <si>
    <t>KYC00330</t>
  </si>
  <si>
    <t>CC00279</t>
  </si>
  <si>
    <t>CUST00139</t>
  </si>
  <si>
    <t>YBHOP6920O</t>
  </si>
  <si>
    <t>615365282391</t>
  </si>
  <si>
    <t>LN00204</t>
  </si>
  <si>
    <t>CC00280</t>
  </si>
  <si>
    <t>KYC00331</t>
  </si>
  <si>
    <t>ARJHZ9202K</t>
  </si>
  <si>
    <t>Nisha Shah</t>
  </si>
  <si>
    <t>999923317568</t>
  </si>
  <si>
    <t>CC00281</t>
  </si>
  <si>
    <t>9004393727</t>
  </si>
  <si>
    <t>nisha.shah883@gmail.com</t>
  </si>
  <si>
    <t>KYC00332</t>
  </si>
  <si>
    <t>94, Ring Road</t>
  </si>
  <si>
    <t>CUST00791</t>
  </si>
  <si>
    <t>LN00205</t>
  </si>
  <si>
    <t>NEWYA8318N</t>
  </si>
  <si>
    <t>650855865754</t>
  </si>
  <si>
    <t>CC00282</t>
  </si>
  <si>
    <t>CUST00556</t>
  </si>
  <si>
    <t>KYC00333</t>
  </si>
  <si>
    <t>CUST00972</t>
  </si>
  <si>
    <t>XVIRP6155R</t>
  </si>
  <si>
    <t>804122590623</t>
  </si>
  <si>
    <t>CC00283</t>
  </si>
  <si>
    <t>CUST00761</t>
  </si>
  <si>
    <t>LN00206</t>
  </si>
  <si>
    <t>Pankaj Kulkarni</t>
  </si>
  <si>
    <t>KYC00334</t>
  </si>
  <si>
    <t>CUST00080</t>
  </si>
  <si>
    <t>KXCII6763X</t>
  </si>
  <si>
    <t>9564309717</t>
  </si>
  <si>
    <t>797541812277</t>
  </si>
  <si>
    <t>pankaj.kulkarni157@gmail.com</t>
  </si>
  <si>
    <t>975, MG Road</t>
  </si>
  <si>
    <t>CC00284</t>
  </si>
  <si>
    <t>KYC00335</t>
  </si>
  <si>
    <t>LLLMA5798T</t>
  </si>
  <si>
    <t>LN00207</t>
  </si>
  <si>
    <t>500728315300</t>
  </si>
  <si>
    <t>CUST00672</t>
  </si>
  <si>
    <t>KYC00336</t>
  </si>
  <si>
    <t>Yogesh Gupta</t>
  </si>
  <si>
    <t>CC00285</t>
  </si>
  <si>
    <t>CUST00287</t>
  </si>
  <si>
    <t>LN00208</t>
  </si>
  <si>
    <t>9685031260</t>
  </si>
  <si>
    <t>KYC00337</t>
  </si>
  <si>
    <t>yogesh.gupta399@gmail.com</t>
  </si>
  <si>
    <t>81, Nehru Nagar</t>
  </si>
  <si>
    <t>KZLWX8930R</t>
  </si>
  <si>
    <t>635613697813</t>
  </si>
  <si>
    <t>UMATN8730Z</t>
  </si>
  <si>
    <t>CC00286</t>
  </si>
  <si>
    <t>084070409573</t>
  </si>
  <si>
    <t>KYC00338</t>
  </si>
  <si>
    <t>CUST00125</t>
  </si>
  <si>
    <t>LN00209</t>
  </si>
  <si>
    <t>999718827756</t>
  </si>
  <si>
    <t>CC00287</t>
  </si>
  <si>
    <t>CUST00111</t>
  </si>
  <si>
    <t>CUST00097</t>
  </si>
  <si>
    <t>KYC00339</t>
  </si>
  <si>
    <t>CKKKB2499I</t>
  </si>
  <si>
    <t>9458190187</t>
  </si>
  <si>
    <t>CC00288</t>
  </si>
  <si>
    <t>divya.chauhan97@yahoo.com</t>
  </si>
  <si>
    <t>072334986487</t>
  </si>
  <si>
    <t>909, Church Street</t>
  </si>
  <si>
    <t>IQUNK4659J</t>
  </si>
  <si>
    <t>385747526095</t>
  </si>
  <si>
    <t>KYC00340</t>
  </si>
  <si>
    <t>LN00210</t>
  </si>
  <si>
    <t>CUST00649</t>
  </si>
  <si>
    <t>CC00289</t>
  </si>
  <si>
    <t>IVOBZ6647I</t>
  </si>
  <si>
    <t>CUST00885</t>
  </si>
  <si>
    <t>643770030728</t>
  </si>
  <si>
    <t>Rani Pandey</t>
  </si>
  <si>
    <t>KYC00341</t>
  </si>
  <si>
    <t>CC00290</t>
  </si>
  <si>
    <t>LFJGU3367D</t>
  </si>
  <si>
    <t>CUST00420</t>
  </si>
  <si>
    <t>9652867753</t>
  </si>
  <si>
    <t>270477140647</t>
  </si>
  <si>
    <t>rani.pandey860@yahoo.com</t>
  </si>
  <si>
    <t>788, Church Street</t>
  </si>
  <si>
    <t>LN00211</t>
  </si>
  <si>
    <t>KYC00342</t>
  </si>
  <si>
    <t>CC00291</t>
  </si>
  <si>
    <t>CUST00281</t>
  </si>
  <si>
    <t>KQGCT4352G</t>
  </si>
  <si>
    <t>492941848406</t>
  </si>
  <si>
    <t>Ajay Khanna</t>
  </si>
  <si>
    <t>CC00292</t>
  </si>
  <si>
    <t>KYC00343</t>
  </si>
  <si>
    <t>CUST00693</t>
  </si>
  <si>
    <t>UGMCF5754F</t>
  </si>
  <si>
    <t>363392847429</t>
  </si>
  <si>
    <t>9103953164</t>
  </si>
  <si>
    <t>LN00212</t>
  </si>
  <si>
    <t>ajay.khanna31@yahoo.com</t>
  </si>
  <si>
    <t>532, Ring Road</t>
  </si>
  <si>
    <t>CC00293</t>
  </si>
  <si>
    <t>KYC00344</t>
  </si>
  <si>
    <t>564751028329</t>
  </si>
  <si>
    <t>CC00294</t>
  </si>
  <si>
    <t>KYC00345</t>
  </si>
  <si>
    <t>LN00213</t>
  </si>
  <si>
    <t>Ritu Rao</t>
  </si>
  <si>
    <t>9719509629</t>
  </si>
  <si>
    <t>CC00295</t>
  </si>
  <si>
    <t>ritu.rao798@gmail.com</t>
  </si>
  <si>
    <t>CUST00692</t>
  </si>
  <si>
    <t>KYC00346</t>
  </si>
  <si>
    <t>CUST00146</t>
  </si>
  <si>
    <t>KIBAU7932C</t>
  </si>
  <si>
    <t>493162878114</t>
  </si>
  <si>
    <t>CC00296</t>
  </si>
  <si>
    <t>CUST00725</t>
  </si>
  <si>
    <t>LN00214</t>
  </si>
  <si>
    <t>CUST00301</t>
  </si>
  <si>
    <t>KYC00347</t>
  </si>
  <si>
    <t>FHUCM2377N</t>
  </si>
  <si>
    <t>CC00297</t>
  </si>
  <si>
    <t>Harish Naidu</t>
  </si>
  <si>
    <t>325918732815</t>
  </si>
  <si>
    <t>CUST00242</t>
  </si>
  <si>
    <t>9703174610</t>
  </si>
  <si>
    <t>harish.naidu906@yahoo.com</t>
  </si>
  <si>
    <t>826, Church Street</t>
  </si>
  <si>
    <t>KYC00348</t>
  </si>
  <si>
    <t>CUST00119</t>
  </si>
  <si>
    <t>LN00215</t>
  </si>
  <si>
    <t>CC00298</t>
  </si>
  <si>
    <t>494922072560</t>
  </si>
  <si>
    <t>KYC00349</t>
  </si>
  <si>
    <t>CUST00486</t>
  </si>
  <si>
    <t>CC00299</t>
  </si>
  <si>
    <t>OWRLW5011G</t>
  </si>
  <si>
    <t>CUST00550</t>
  </si>
  <si>
    <t>Usha Rane</t>
  </si>
  <si>
    <t>934523468880</t>
  </si>
  <si>
    <t>LN00216</t>
  </si>
  <si>
    <t>9269177919</t>
  </si>
  <si>
    <t>usha.rane292@gmail.com</t>
  </si>
  <si>
    <t>CC00300</t>
  </si>
  <si>
    <t>890, Nehru Nagar</t>
  </si>
  <si>
    <t>CUST00460</t>
  </si>
  <si>
    <t>WGENL3186E</t>
  </si>
  <si>
    <t>296787829595</t>
  </si>
  <si>
    <t>CC00301</t>
  </si>
  <si>
    <t>CUST00869</t>
  </si>
  <si>
    <t>LN00217</t>
  </si>
  <si>
    <t>Anil Mishra</t>
  </si>
  <si>
    <t>CC00302</t>
  </si>
  <si>
    <t>6968200384</t>
  </si>
  <si>
    <t>anil.mishra325@gmail.com</t>
  </si>
  <si>
    <t>CUST00848</t>
  </si>
  <si>
    <t>981, Park Street</t>
  </si>
  <si>
    <t>KYC00350</t>
  </si>
  <si>
    <t>JHDPC2377U</t>
  </si>
  <si>
    <t>793561769995</t>
  </si>
  <si>
    <t>LN00218</t>
  </si>
  <si>
    <t>CC00303</t>
  </si>
  <si>
    <t>KYC00351</t>
  </si>
  <si>
    <t>CUST00067</t>
  </si>
  <si>
    <t>QFQHI6969N</t>
  </si>
  <si>
    <t>631345647828</t>
  </si>
  <si>
    <t>CC00304</t>
  </si>
  <si>
    <t>CUST00356</t>
  </si>
  <si>
    <t>9752892539</t>
  </si>
  <si>
    <t>KYC00352</t>
  </si>
  <si>
    <t>LN00219</t>
  </si>
  <si>
    <t>CC00305</t>
  </si>
  <si>
    <t>KYC00353</t>
  </si>
  <si>
    <t>CUST00444</t>
  </si>
  <si>
    <t>CUST00903</t>
  </si>
  <si>
    <t>CC00306</t>
  </si>
  <si>
    <t>Ravi Joshi</t>
  </si>
  <si>
    <t>EUWLJ7469D</t>
  </si>
  <si>
    <t>LN00220</t>
  </si>
  <si>
    <t>059866037089</t>
  </si>
  <si>
    <t>CUST00684</t>
  </si>
  <si>
    <t>9456287073</t>
  </si>
  <si>
    <t>ravi.joshi444@gmail.com</t>
  </si>
  <si>
    <t>607, Church Street</t>
  </si>
  <si>
    <t>KYC00354</t>
  </si>
  <si>
    <t>JOPKL1332G</t>
  </si>
  <si>
    <t>CC00307</t>
  </si>
  <si>
    <t>675236097306</t>
  </si>
  <si>
    <t>LN00221</t>
  </si>
  <si>
    <t>KYC00355</t>
  </si>
  <si>
    <t>CC00308</t>
  </si>
  <si>
    <t>CUST00127</t>
  </si>
  <si>
    <t>Anil Trivedi</t>
  </si>
  <si>
    <t>9344011794</t>
  </si>
  <si>
    <t>anil.trivedi127@gmail.com</t>
  </si>
  <si>
    <t>854, Ring Road</t>
  </si>
  <si>
    <t>CC00309</t>
  </si>
  <si>
    <t>WZPMQ9366K</t>
  </si>
  <si>
    <t>KYC00356</t>
  </si>
  <si>
    <t>CUST00414</t>
  </si>
  <si>
    <t>310109826646</t>
  </si>
  <si>
    <t>PUNKN9142T</t>
  </si>
  <si>
    <t>180673624825</t>
  </si>
  <si>
    <t>LN00222</t>
  </si>
  <si>
    <t>KYC00357</t>
  </si>
  <si>
    <t>CC00310</t>
  </si>
  <si>
    <t>CUST00218</t>
  </si>
  <si>
    <t>YBKQD4282R</t>
  </si>
  <si>
    <t>9140477979</t>
  </si>
  <si>
    <t>arun.bansal366@yahoo.com</t>
  </si>
  <si>
    <t>CC00311</t>
  </si>
  <si>
    <t>236, FC Road</t>
  </si>
  <si>
    <t>KYC00358</t>
  </si>
  <si>
    <t>CUST00231</t>
  </si>
  <si>
    <t>LN00223</t>
  </si>
  <si>
    <t>CUST00957</t>
  </si>
  <si>
    <t>CUST00756</t>
  </si>
  <si>
    <t>YPZDQ4554R</t>
  </si>
  <si>
    <t>334232532614</t>
  </si>
  <si>
    <t>CC00312</t>
  </si>
  <si>
    <t>KYC00359</t>
  </si>
  <si>
    <t>LN00224</t>
  </si>
  <si>
    <t>CC00313</t>
  </si>
  <si>
    <t>Rohan Goel</t>
  </si>
  <si>
    <t>KYC00360</t>
  </si>
  <si>
    <t>CUST00683</t>
  </si>
  <si>
    <t>GODTR8228A</t>
  </si>
  <si>
    <t>228216535550</t>
  </si>
  <si>
    <t>0205111336</t>
  </si>
  <si>
    <t>CC00314</t>
  </si>
  <si>
    <t>105, Nehru Nagar</t>
  </si>
  <si>
    <t>KYC00361</t>
  </si>
  <si>
    <t>CUST00576</t>
  </si>
  <si>
    <t>POMGL9530E</t>
  </si>
  <si>
    <t>LN00225</t>
  </si>
  <si>
    <t>113605359896</t>
  </si>
  <si>
    <t>CUST00998</t>
  </si>
  <si>
    <t>CC00315</t>
  </si>
  <si>
    <t>KYC00362</t>
  </si>
  <si>
    <t>CUST00039</t>
  </si>
  <si>
    <t>WTAOP7212O</t>
  </si>
  <si>
    <t>259374774731</t>
  </si>
  <si>
    <t>CC00316</t>
  </si>
  <si>
    <t>KYC00363</t>
  </si>
  <si>
    <t>CUST00857</t>
  </si>
  <si>
    <t>9894467422</t>
  </si>
  <si>
    <t>YFJLC3292Q</t>
  </si>
  <si>
    <t>radha.bose96@gmail.com</t>
  </si>
  <si>
    <t>583185961355</t>
  </si>
  <si>
    <t>LN00226</t>
  </si>
  <si>
    <t>717, Nehru Nagar</t>
  </si>
  <si>
    <t>CC00317</t>
  </si>
  <si>
    <t>CUST00953</t>
  </si>
  <si>
    <t>KYC00364</t>
  </si>
  <si>
    <t>558663876597</t>
  </si>
  <si>
    <t>CUST00432</t>
  </si>
  <si>
    <t>DMENC3712O</t>
  </si>
  <si>
    <t>152548536502</t>
  </si>
  <si>
    <t>CC00318</t>
  </si>
  <si>
    <t>KYC00365</t>
  </si>
  <si>
    <t>CUST00117</t>
  </si>
  <si>
    <t>Dinesh Kapoor</t>
  </si>
  <si>
    <t>BVJTA8303J</t>
  </si>
  <si>
    <t>CC00319</t>
  </si>
  <si>
    <t>362659033034</t>
  </si>
  <si>
    <t>LN00227</t>
  </si>
  <si>
    <t>CUST00916</t>
  </si>
  <si>
    <t>9469677659</t>
  </si>
  <si>
    <t>dinesh.kapoor828@gmail.com</t>
  </si>
  <si>
    <t>KYC00366</t>
  </si>
  <si>
    <t>232, Park Street</t>
  </si>
  <si>
    <t>CC00320</t>
  </si>
  <si>
    <t>KNXTJ937</t>
  </si>
  <si>
    <t>630643267206</t>
  </si>
  <si>
    <t>KYC00367</t>
  </si>
  <si>
    <t>YDJCK1192C</t>
  </si>
  <si>
    <t>CC00321</t>
  </si>
  <si>
    <t>LN00228</t>
  </si>
  <si>
    <t>CUST00787</t>
  </si>
  <si>
    <t>996027488306</t>
  </si>
  <si>
    <t>CUST00835</t>
  </si>
  <si>
    <t>KYC00368</t>
  </si>
  <si>
    <t>CC00322</t>
  </si>
  <si>
    <t>QTWJR5874O</t>
  </si>
  <si>
    <t>9092690288</t>
  </si>
  <si>
    <t>729200751886</t>
  </si>
  <si>
    <t>rakesh.verma234@yahoo.com</t>
  </si>
  <si>
    <t>46, Park Street</t>
  </si>
  <si>
    <t>LN00229</t>
  </si>
  <si>
    <t>KYC00369</t>
  </si>
  <si>
    <t>CC00323</t>
  </si>
  <si>
    <t>751369098702</t>
  </si>
  <si>
    <t>CUST00495</t>
  </si>
  <si>
    <t>HXTDO1539P</t>
  </si>
  <si>
    <t>459376090400</t>
  </si>
  <si>
    <t>CC00324</t>
  </si>
  <si>
    <t>KYC00370</t>
  </si>
  <si>
    <t>Preeti Rane</t>
  </si>
  <si>
    <t>CUST00626</t>
  </si>
  <si>
    <t>LKXVY7334L</t>
  </si>
  <si>
    <t>LN00230</t>
  </si>
  <si>
    <t>429030698143</t>
  </si>
  <si>
    <t>CUST00946</t>
  </si>
  <si>
    <t>9321284109</t>
  </si>
  <si>
    <t>preeti.rane698@gmail.com</t>
  </si>
  <si>
    <t>CC00325</t>
  </si>
  <si>
    <t>944, Church Street</t>
  </si>
  <si>
    <t>KYC00371</t>
  </si>
  <si>
    <t>CUST00377</t>
  </si>
  <si>
    <t>CGJON3239B</t>
  </si>
  <si>
    <t>651702278327</t>
  </si>
  <si>
    <t>CC00326</t>
  </si>
  <si>
    <t>CUST00341</t>
  </si>
  <si>
    <t>LN00231</t>
  </si>
  <si>
    <t>KYC00372</t>
  </si>
  <si>
    <t>Kajalj Oshi</t>
  </si>
  <si>
    <t>EQOHV5386G</t>
  </si>
  <si>
    <t>CC00327</t>
  </si>
  <si>
    <t>283597402273</t>
  </si>
  <si>
    <t>CUST00198</t>
  </si>
  <si>
    <t>9316732166</t>
  </si>
  <si>
    <t>kajal.joshi310@gmail.com</t>
  </si>
  <si>
    <t>165, Park Street</t>
  </si>
  <si>
    <t>KYC00373</t>
  </si>
  <si>
    <t>LN00232</t>
  </si>
  <si>
    <t>CC00328</t>
  </si>
  <si>
    <t>MMHYU5609A</t>
  </si>
  <si>
    <t>CUST00541</t>
  </si>
  <si>
    <t>058991454045</t>
  </si>
  <si>
    <t>KYC00374</t>
  </si>
  <si>
    <t>CC00329</t>
  </si>
  <si>
    <t>CUST00926</t>
  </si>
  <si>
    <t>CUST00544</t>
  </si>
  <si>
    <t>Anita Pandey</t>
  </si>
  <si>
    <t>LN00233</t>
  </si>
  <si>
    <t>CUST00391</t>
  </si>
  <si>
    <t>9406417033</t>
  </si>
  <si>
    <t>KYC00375</t>
  </si>
  <si>
    <t>anita.pandey544@yahoo.com</t>
  </si>
  <si>
    <t>684, FC Road</t>
  </si>
  <si>
    <t>CC00330</t>
  </si>
  <si>
    <t>CUST00882</t>
  </si>
  <si>
    <t>RPWGF5449G</t>
  </si>
  <si>
    <t>WGNSG9483O</t>
  </si>
  <si>
    <t>246387050182</t>
  </si>
  <si>
    <t>KYC00376</t>
  </si>
  <si>
    <t>LN00234</t>
  </si>
  <si>
    <t>CC00331</t>
  </si>
  <si>
    <t>CUST00224</t>
  </si>
  <si>
    <t>OJAQP0767Z</t>
  </si>
  <si>
    <t>889245610475</t>
  </si>
  <si>
    <t>KYC00377</t>
  </si>
  <si>
    <t>Geeta Tiwari</t>
  </si>
  <si>
    <t>CC00332</t>
  </si>
  <si>
    <t>CUST00670</t>
  </si>
  <si>
    <t>9166402382</t>
  </si>
  <si>
    <t>LN00235</t>
  </si>
  <si>
    <t>geeta.tiwari786@gmail.com</t>
  </si>
  <si>
    <t>987, Park Street</t>
  </si>
  <si>
    <t>KYC00378</t>
  </si>
  <si>
    <t>CC00333</t>
  </si>
  <si>
    <t>CUST00012</t>
  </si>
  <si>
    <t>LKJOL6882K</t>
  </si>
  <si>
    <t>778442252529</t>
  </si>
  <si>
    <t>463258906803</t>
  </si>
  <si>
    <t>CC00334</t>
  </si>
  <si>
    <t>LN00236</t>
  </si>
  <si>
    <t>KYC00379</t>
  </si>
  <si>
    <t>CUST00818</t>
  </si>
  <si>
    <t>CUST00917</t>
  </si>
  <si>
    <t>CUST00613</t>
  </si>
  <si>
    <t>Girish Singh</t>
  </si>
  <si>
    <t>MHNCY1049G</t>
  </si>
  <si>
    <t>289680713080</t>
  </si>
  <si>
    <t>9083141188</t>
  </si>
  <si>
    <t>CC00335</t>
  </si>
  <si>
    <t>CUST00599</t>
  </si>
  <si>
    <t>KYC00380</t>
  </si>
  <si>
    <t>girish.singh917@yahoo.com</t>
  </si>
  <si>
    <t>395, FC Road</t>
  </si>
  <si>
    <t>XYHUC1762O</t>
  </si>
  <si>
    <t>CYXCP0563N</t>
  </si>
  <si>
    <t>226364567384</t>
  </si>
  <si>
    <t>LN00237</t>
  </si>
  <si>
    <t>142594540802</t>
  </si>
  <si>
    <t>CC00336</t>
  </si>
  <si>
    <t>CUST00108</t>
  </si>
  <si>
    <t>KYC00381</t>
  </si>
  <si>
    <t>CC00337</t>
  </si>
  <si>
    <t>CUST00357</t>
  </si>
  <si>
    <t>Divya Shah</t>
  </si>
  <si>
    <t>LN00238</t>
  </si>
  <si>
    <t>KYC00382</t>
  </si>
  <si>
    <t>9014051326</t>
  </si>
  <si>
    <t>DBWOC3554A</t>
  </si>
  <si>
    <t>divya.shah377@gmail.com</t>
  </si>
  <si>
    <t>213256318940</t>
  </si>
  <si>
    <t>101, Ring Road</t>
  </si>
  <si>
    <t>KYC00383</t>
  </si>
  <si>
    <t>CC00338</t>
  </si>
  <si>
    <t>CUST00769</t>
  </si>
  <si>
    <t>GDKAV057</t>
  </si>
  <si>
    <t>LN00239</t>
  </si>
  <si>
    <t>567282101651</t>
  </si>
  <si>
    <t>CC00339</t>
  </si>
  <si>
    <t>KYC00384</t>
  </si>
  <si>
    <t>Rekha Mishra</t>
  </si>
  <si>
    <t>0205976066</t>
  </si>
  <si>
    <t>rekha.mishra498@gmail.com</t>
  </si>
  <si>
    <t>144, Church Street</t>
  </si>
  <si>
    <t>CC00340</t>
  </si>
  <si>
    <t>LN00240</t>
  </si>
  <si>
    <t>KYC00385</t>
  </si>
  <si>
    <t>CC00341</t>
  </si>
  <si>
    <t>PNDSS2586W</t>
  </si>
  <si>
    <t>590199740187</t>
  </si>
  <si>
    <t>LN00241</t>
  </si>
  <si>
    <t>Rahul Sharma</t>
  </si>
  <si>
    <t>CC00342</t>
  </si>
  <si>
    <t>KYC00386</t>
  </si>
  <si>
    <t>9223007568</t>
  </si>
  <si>
    <t>rahul.sharma324@gmail.com</t>
  </si>
  <si>
    <t>983, Church Street</t>
  </si>
  <si>
    <t>CC00343</t>
  </si>
  <si>
    <t>LN00242</t>
  </si>
  <si>
    <t>KYC00387</t>
  </si>
  <si>
    <t>049313242566</t>
  </si>
  <si>
    <t>YTUVF0013J</t>
  </si>
  <si>
    <t>885855979476</t>
  </si>
  <si>
    <t>CC00344</t>
  </si>
  <si>
    <t>KYC00388</t>
  </si>
  <si>
    <t>LN00243</t>
  </si>
  <si>
    <t>Anil Chatterjee</t>
  </si>
  <si>
    <t>CC00345</t>
  </si>
  <si>
    <t>CUST00436</t>
  </si>
  <si>
    <t>KYC00389</t>
  </si>
  <si>
    <t>9724186926</t>
  </si>
  <si>
    <t>CUST00943</t>
  </si>
  <si>
    <t>269, Park Street</t>
  </si>
  <si>
    <t>SDBZQ0537W</t>
  </si>
  <si>
    <t>930872048760</t>
  </si>
  <si>
    <t>JYDSL9461S</t>
  </si>
  <si>
    <t>CC00346</t>
  </si>
  <si>
    <t>LN00244</t>
  </si>
  <si>
    <t>KYC00390</t>
  </si>
  <si>
    <t>HCMOW0747H</t>
  </si>
  <si>
    <t>845893629592</t>
  </si>
  <si>
    <t>CC00347</t>
  </si>
  <si>
    <t>CUST00440</t>
  </si>
  <si>
    <t>Ritu Malhotra</t>
  </si>
  <si>
    <t>KYC00391</t>
  </si>
  <si>
    <t>CUST01032</t>
  </si>
  <si>
    <t>LN00245</t>
  </si>
  <si>
    <t>9445230472</t>
  </si>
  <si>
    <t>IGMFR4215Q</t>
  </si>
  <si>
    <t>CUST00924</t>
  </si>
  <si>
    <t>CC00348</t>
  </si>
  <si>
    <t>ritu.malhotra440@gmail.com</t>
  </si>
  <si>
    <t>806817490164</t>
  </si>
  <si>
    <t>448, Nehru Nagar</t>
  </si>
  <si>
    <t>LHLEV5780K</t>
  </si>
  <si>
    <t>104153531804</t>
  </si>
  <si>
    <t>KYC00392</t>
  </si>
  <si>
    <t>CC00349</t>
  </si>
  <si>
    <t>UORDV8673D</t>
  </si>
  <si>
    <t>686781168834</t>
  </si>
  <si>
    <t>CC00350</t>
  </si>
  <si>
    <t>KYC00393</t>
  </si>
  <si>
    <t>Pallavi Malhotra</t>
  </si>
  <si>
    <t>CUST00793</t>
  </si>
  <si>
    <t>CUST00776</t>
  </si>
  <si>
    <t>RYXNQ7629U</t>
  </si>
  <si>
    <t>574423984742</t>
  </si>
  <si>
    <t>9316691991</t>
  </si>
  <si>
    <t>pallavi.malhotra239@yahoo.com</t>
  </si>
  <si>
    <t>507, MG Road</t>
  </si>
  <si>
    <t>CC00351</t>
  </si>
  <si>
    <t>KYC00394</t>
  </si>
  <si>
    <t>IATSG0784S</t>
  </si>
  <si>
    <t>176888938828</t>
  </si>
  <si>
    <t>LN00246</t>
  </si>
  <si>
    <t>CC00352</t>
  </si>
  <si>
    <t>CUST00443</t>
  </si>
  <si>
    <t>CUST00600</t>
  </si>
  <si>
    <t>KYC00395</t>
  </si>
  <si>
    <t>CUST00542</t>
  </si>
  <si>
    <t>TACJC0891U</t>
  </si>
  <si>
    <t>Rekha Chowdhury</t>
  </si>
  <si>
    <t>295707588017</t>
  </si>
  <si>
    <t>CC00353</t>
  </si>
  <si>
    <t>CUST00363</t>
  </si>
  <si>
    <t>9225740147</t>
  </si>
  <si>
    <t>rekha.chowdhury542@yahoo.com</t>
  </si>
  <si>
    <t>830, Ring Road</t>
  </si>
  <si>
    <t>KYC00396</t>
  </si>
  <si>
    <t>LN00247</t>
  </si>
  <si>
    <t>GZYAE5826V</t>
  </si>
  <si>
    <t>796328191884</t>
  </si>
  <si>
    <t>CC00354</t>
  </si>
  <si>
    <t>KYC00397</t>
  </si>
  <si>
    <t>CUST00695</t>
  </si>
  <si>
    <t>CC00355</t>
  </si>
  <si>
    <t>WQYTV4356W</t>
  </si>
  <si>
    <t>CUST00705</t>
  </si>
  <si>
    <t>CUST00914</t>
  </si>
  <si>
    <t>Harish Iyer</t>
  </si>
  <si>
    <t>LN00248</t>
  </si>
  <si>
    <t>CC00356</t>
  </si>
  <si>
    <t>KYC00398</t>
  </si>
  <si>
    <t>CUST00083</t>
  </si>
  <si>
    <t>9972814142</t>
  </si>
  <si>
    <t>harish.iyer914@gmail.com</t>
  </si>
  <si>
    <t>EBSSJ8072M</t>
  </si>
  <si>
    <t>320, Ring Road</t>
  </si>
  <si>
    <t>797622034696</t>
  </si>
  <si>
    <t>AVXKD3452U</t>
  </si>
  <si>
    <t>CC00357</t>
  </si>
  <si>
    <t>CUST00082</t>
  </si>
  <si>
    <t>628629446860</t>
  </si>
  <si>
    <t>KYC00399</t>
  </si>
  <si>
    <t>LN00249</t>
  </si>
  <si>
    <t>TBTYE7418S</t>
  </si>
  <si>
    <t>531637307832</t>
  </si>
  <si>
    <t>CC00358</t>
  </si>
  <si>
    <t>KYC00400</t>
  </si>
  <si>
    <t>Shalini Rane</t>
  </si>
  <si>
    <t>CUST00468</t>
  </si>
  <si>
    <t>LN00250</t>
  </si>
  <si>
    <t>IZAUH3366B</t>
  </si>
  <si>
    <t>9751244513</t>
  </si>
  <si>
    <t>CC00359</t>
  </si>
  <si>
    <t>shalini.rane23@gmail.com</t>
  </si>
  <si>
    <t>647, Nehru Nagar</t>
  </si>
  <si>
    <t>KYC00401</t>
  </si>
  <si>
    <t>CC00360</t>
  </si>
  <si>
    <t>CUST00394</t>
  </si>
  <si>
    <t>AATEV653</t>
  </si>
  <si>
    <t>LN00251</t>
  </si>
  <si>
    <t>518775306686</t>
  </si>
  <si>
    <t>NILBV0886N</t>
  </si>
  <si>
    <t>CC00361</t>
  </si>
  <si>
    <t>457848634101</t>
  </si>
  <si>
    <t>KYC00402</t>
  </si>
  <si>
    <t>CUST00274</t>
  </si>
  <si>
    <t>372856695336</t>
  </si>
  <si>
    <t>CC00362</t>
  </si>
  <si>
    <t>CUST00078</t>
  </si>
  <si>
    <t>LN00252</t>
  </si>
  <si>
    <t>CUST00209</t>
  </si>
  <si>
    <t>KYC00403</t>
  </si>
  <si>
    <t>Vivek Mishra</t>
  </si>
  <si>
    <t>CC00363</t>
  </si>
  <si>
    <t>CUST00155</t>
  </si>
  <si>
    <t>JZREB3491N</t>
  </si>
  <si>
    <t>341721335177</t>
  </si>
  <si>
    <t>9778911478</t>
  </si>
  <si>
    <t>vivek.mishra209@yahoo.com</t>
  </si>
  <si>
    <t>265, Park Street</t>
  </si>
  <si>
    <t>KYC00404</t>
  </si>
  <si>
    <t>CC00364</t>
  </si>
  <si>
    <t>ERVMC618</t>
  </si>
  <si>
    <t>CUST00026</t>
  </si>
  <si>
    <t>156066404718</t>
  </si>
  <si>
    <t>OSHAJ5165J</t>
  </si>
  <si>
    <t>LN00253</t>
  </si>
  <si>
    <t>957508033730</t>
  </si>
  <si>
    <t>CC00365</t>
  </si>
  <si>
    <t>KYC00405</t>
  </si>
  <si>
    <t>CUST00354</t>
  </si>
  <si>
    <t>GDECW9727D</t>
  </si>
  <si>
    <t>Sandeep Chauhan</t>
  </si>
  <si>
    <t>CC00366</t>
  </si>
  <si>
    <t>LN00254</t>
  </si>
  <si>
    <t>9690795519</t>
  </si>
  <si>
    <t>CUST00208</t>
  </si>
  <si>
    <t>sandeep.chauhan54@gmail.com</t>
  </si>
  <si>
    <t>KYC00406</t>
  </si>
  <si>
    <t>93, MG Road</t>
  </si>
  <si>
    <t>CUST00265</t>
  </si>
  <si>
    <t>WRSVJ5274U</t>
  </si>
  <si>
    <t>CC00367</t>
  </si>
  <si>
    <t>KYC00407</t>
  </si>
  <si>
    <t>YEFMB2506Q</t>
  </si>
  <si>
    <t>LN00255</t>
  </si>
  <si>
    <t>256542191173</t>
  </si>
  <si>
    <t>CC00368</t>
  </si>
  <si>
    <t>CUST00715</t>
  </si>
  <si>
    <t>Sneha Malhotra</t>
  </si>
  <si>
    <t>KYC00408</t>
  </si>
  <si>
    <t>CUST00009</t>
  </si>
  <si>
    <t>sneha.malhotra715@yahoo.com</t>
  </si>
  <si>
    <t>LWEGI4382Y</t>
  </si>
  <si>
    <t>531, FC Road</t>
  </si>
  <si>
    <t>CC00369</t>
  </si>
  <si>
    <t>CUST00961</t>
  </si>
  <si>
    <t>LUEYV0877I</t>
  </si>
  <si>
    <t>LN00256</t>
  </si>
  <si>
    <t>KYC00409</t>
  </si>
  <si>
    <t>KSXDY1148X</t>
  </si>
  <si>
    <t>CC00370</t>
  </si>
  <si>
    <t>KYC00410</t>
  </si>
  <si>
    <t>CUST00100</t>
  </si>
  <si>
    <t>CUST00573</t>
  </si>
  <si>
    <t>DHWAC1514V</t>
  </si>
  <si>
    <t>Kajal Goel</t>
  </si>
  <si>
    <t>CC00371</t>
  </si>
  <si>
    <t>274783019149</t>
  </si>
  <si>
    <t>9615985854</t>
  </si>
  <si>
    <t>kajal.goel573@yahoo.com</t>
  </si>
  <si>
    <t>221, Church Street</t>
  </si>
  <si>
    <t>KYC00411</t>
  </si>
  <si>
    <t>XFKML7400K</t>
  </si>
  <si>
    <t>CC00372</t>
  </si>
  <si>
    <t>497409371981</t>
  </si>
  <si>
    <t>QRHUD8918K</t>
  </si>
  <si>
    <t>LN00257</t>
  </si>
  <si>
    <t>096758260863</t>
  </si>
  <si>
    <t>KYC00412</t>
  </si>
  <si>
    <t>CC00373</t>
  </si>
  <si>
    <t>CUST00415</t>
  </si>
  <si>
    <t>DEMVB7793H</t>
  </si>
  <si>
    <t>Manish Sharma</t>
  </si>
  <si>
    <t>756082443264</t>
  </si>
  <si>
    <t>9823445340</t>
  </si>
  <si>
    <t>manish.sharma632@yahoo.com</t>
  </si>
  <si>
    <t>CC00374</t>
  </si>
  <si>
    <t>LN00258</t>
  </si>
  <si>
    <t>840, Ring Road</t>
  </si>
  <si>
    <t>KYC00413</t>
  </si>
  <si>
    <t>CC00375</t>
  </si>
  <si>
    <t>KYC00414</t>
  </si>
  <si>
    <t>CUST00272</t>
  </si>
  <si>
    <t>KQMZK1211Q</t>
  </si>
  <si>
    <t>LN00259</t>
  </si>
  <si>
    <t>161097761295</t>
  </si>
  <si>
    <t>CUST00527</t>
  </si>
  <si>
    <t>Amit Ghosh</t>
  </si>
  <si>
    <t>CC00376</t>
  </si>
  <si>
    <t>CUST00352</t>
  </si>
  <si>
    <t>9225327800</t>
  </si>
  <si>
    <t>KYC00415</t>
  </si>
  <si>
    <t>amit.ghosh527@yahoo.com</t>
  </si>
  <si>
    <t>871, Nehru Nagar</t>
  </si>
  <si>
    <t>CC00377</t>
  </si>
  <si>
    <t>VDCXI3078F</t>
  </si>
  <si>
    <t>CUST00254</t>
  </si>
  <si>
    <t>678681369855</t>
  </si>
  <si>
    <t>KYC00416</t>
  </si>
  <si>
    <t>HEVFH3935Q</t>
  </si>
  <si>
    <t>LN00260</t>
  </si>
  <si>
    <t>224399278737</t>
  </si>
  <si>
    <t>CC00378</t>
  </si>
  <si>
    <t>KYC00417</t>
  </si>
  <si>
    <t>Anand Menon</t>
  </si>
  <si>
    <t>CUST00312</t>
  </si>
  <si>
    <t>EZYED6623G</t>
  </si>
  <si>
    <t>792092624788</t>
  </si>
  <si>
    <t>9168082889</t>
  </si>
  <si>
    <t>anand.menon304@gmail.com</t>
  </si>
  <si>
    <t>926, Church Street</t>
  </si>
  <si>
    <t>CC00379</t>
  </si>
  <si>
    <t>LN00261</t>
  </si>
  <si>
    <t>CUST00569</t>
  </si>
  <si>
    <t>MLDKP7199D</t>
  </si>
  <si>
    <t>KYC00418</t>
  </si>
  <si>
    <t>494528742655</t>
  </si>
  <si>
    <t>FRSTK5856A</t>
  </si>
  <si>
    <t>CC00380</t>
  </si>
  <si>
    <t>KYC00419</t>
  </si>
  <si>
    <t>CUST00558</t>
  </si>
  <si>
    <t>Varun Arora</t>
  </si>
  <si>
    <t>EXFDQ8553Q</t>
  </si>
  <si>
    <t>LN00262</t>
  </si>
  <si>
    <t>916860445863</t>
  </si>
  <si>
    <t>CC00381</t>
  </si>
  <si>
    <t>9579951253</t>
  </si>
  <si>
    <t>varun.arora58@gmail.com</t>
  </si>
  <si>
    <t>177, FC Road</t>
  </si>
  <si>
    <t>KYC00420</t>
  </si>
  <si>
    <t>CUST00512</t>
  </si>
  <si>
    <t>HHQAO7434P</t>
  </si>
  <si>
    <t>888230196158</t>
  </si>
  <si>
    <t>CC00382</t>
  </si>
  <si>
    <t>LN00263</t>
  </si>
  <si>
    <t>CUST00824</t>
  </si>
  <si>
    <t>KYC00421</t>
  </si>
  <si>
    <t>CUST00269</t>
  </si>
  <si>
    <t>FZTJI3715V</t>
  </si>
  <si>
    <t>216770926947</t>
  </si>
  <si>
    <t>CC00383</t>
  </si>
  <si>
    <t>Karan Verma</t>
  </si>
  <si>
    <t>KYC00422</t>
  </si>
  <si>
    <t>35917995</t>
  </si>
  <si>
    <t>karan.verma848@gmail.com</t>
  </si>
  <si>
    <t>GXBRF4669C</t>
  </si>
  <si>
    <t>929, FC Road</t>
  </si>
  <si>
    <t>707826370027</t>
  </si>
  <si>
    <t>LN00264</t>
  </si>
  <si>
    <t>CC00384</t>
  </si>
  <si>
    <t>EBVRS5464G</t>
  </si>
  <si>
    <t>105997379113</t>
  </si>
  <si>
    <t>KYC00423</t>
  </si>
  <si>
    <t>CUST00930</t>
  </si>
  <si>
    <t>ODCLE9646K</t>
  </si>
  <si>
    <t>CC00385</t>
  </si>
  <si>
    <t>266833441402</t>
  </si>
  <si>
    <t>KYC00424</t>
  </si>
  <si>
    <t>Anita Agarwal</t>
  </si>
  <si>
    <t>LN00265</t>
  </si>
  <si>
    <t>CKCWL8191D</t>
  </si>
  <si>
    <t>971532960813</t>
  </si>
  <si>
    <t>9083209868</t>
  </si>
  <si>
    <t>anita.agarwal119@yahoo.com</t>
  </si>
  <si>
    <t>CC00386</t>
  </si>
  <si>
    <t>956, MG Road</t>
  </si>
  <si>
    <t>CUST01008</t>
  </si>
  <si>
    <t>KYC00425</t>
  </si>
  <si>
    <t>WYHBF3137R</t>
  </si>
  <si>
    <t>LN00266</t>
  </si>
  <si>
    <t>CC00387</t>
  </si>
  <si>
    <t>380465917338</t>
  </si>
  <si>
    <t>KYC00426</t>
  </si>
  <si>
    <t>Yogesh Patel</t>
  </si>
  <si>
    <t>CC00388</t>
  </si>
  <si>
    <t>CUST00730</t>
  </si>
  <si>
    <t>9229392177</t>
  </si>
  <si>
    <t>yogesh.patel38@gmail.com</t>
  </si>
  <si>
    <t>LN00267</t>
  </si>
  <si>
    <t>246, Church Street</t>
  </si>
  <si>
    <t>KYC00427</t>
  </si>
  <si>
    <t>LJNVB3600U</t>
  </si>
  <si>
    <t>YBRJI9810E</t>
  </si>
  <si>
    <t>CC00389</t>
  </si>
  <si>
    <t>CUST00774</t>
  </si>
  <si>
    <t>KYC00428</t>
  </si>
  <si>
    <t>CC00390</t>
  </si>
  <si>
    <t>TNDUG8780K</t>
  </si>
  <si>
    <t>CUST00101</t>
  </si>
  <si>
    <t>Priya Pillai</t>
  </si>
  <si>
    <t>158214535388</t>
  </si>
  <si>
    <t>LN00268</t>
  </si>
  <si>
    <t>9720605825</t>
  </si>
  <si>
    <t>KYC00429</t>
  </si>
  <si>
    <t>priya.pillai101@gmail.com</t>
  </si>
  <si>
    <t>673, Nehru Nagar</t>
  </si>
  <si>
    <t>CC00391</t>
  </si>
  <si>
    <t>BUFFG9882S</t>
  </si>
  <si>
    <t>YLXWI2063U</t>
  </si>
  <si>
    <t>940331682394</t>
  </si>
  <si>
    <t>267569300045</t>
  </si>
  <si>
    <t>KYC00430</t>
  </si>
  <si>
    <t>CUST00263</t>
  </si>
  <si>
    <t>CC00392</t>
  </si>
  <si>
    <t>LN00269</t>
  </si>
  <si>
    <t>VIRNR8568U</t>
  </si>
  <si>
    <t>284293990582</t>
  </si>
  <si>
    <t>KYC00431</t>
  </si>
  <si>
    <t>CUST00374</t>
  </si>
  <si>
    <t>MNWXQ0933E</t>
  </si>
  <si>
    <t>CC00393</t>
  </si>
  <si>
    <t>141584747502</t>
  </si>
  <si>
    <t>Pallavi Yadav</t>
  </si>
  <si>
    <t>KYC00432</t>
  </si>
  <si>
    <t>LN00270</t>
  </si>
  <si>
    <t>CUST01027</t>
  </si>
  <si>
    <t>CC00394</t>
  </si>
  <si>
    <t>9183087840</t>
  </si>
  <si>
    <t>338, Nehru Nagar</t>
  </si>
  <si>
    <t>KYC00433</t>
  </si>
  <si>
    <t>ACYPS6134E</t>
  </si>
  <si>
    <t>223303404257</t>
  </si>
  <si>
    <t>CC00395</t>
  </si>
  <si>
    <t>LN00271</t>
  </si>
  <si>
    <t>KYC00434</t>
  </si>
  <si>
    <t>CC00396</t>
  </si>
  <si>
    <t>Ramesh Bhatt</t>
  </si>
  <si>
    <t>LN00272</t>
  </si>
  <si>
    <t>9674642768</t>
  </si>
  <si>
    <t>CC00397</t>
  </si>
  <si>
    <t>ramesh.bhatt390@gmail.com</t>
  </si>
  <si>
    <t>697, Park Street</t>
  </si>
  <si>
    <t>CC00398</t>
  </si>
  <si>
    <t>LN00273</t>
  </si>
  <si>
    <t>CUST00843</t>
  </si>
  <si>
    <t>CUST00853</t>
  </si>
  <si>
    <t>KYC00435</t>
  </si>
  <si>
    <t>CUST00565</t>
  </si>
  <si>
    <t>809453145316</t>
  </si>
  <si>
    <t>CC00399</t>
  </si>
  <si>
    <t>LN00274</t>
  </si>
  <si>
    <t>Bhavna Rao</t>
  </si>
  <si>
    <t>KYC00436</t>
  </si>
  <si>
    <t>CUST00910</t>
  </si>
  <si>
    <t>9235659584</t>
  </si>
  <si>
    <t>BVZRP681</t>
  </si>
  <si>
    <t>CC00400</t>
  </si>
  <si>
    <t>885783592712</t>
  </si>
  <si>
    <t>CUST00205</t>
  </si>
  <si>
    <t>bhavna.rao473@gmail.com</t>
  </si>
  <si>
    <t>666, Park Street</t>
  </si>
  <si>
    <t>KYC00437</t>
  </si>
  <si>
    <t>LN00275</t>
  </si>
  <si>
    <t>DKSNH5244W</t>
  </si>
  <si>
    <t>UJTGC0913R</t>
  </si>
  <si>
    <t>CC00401</t>
  </si>
  <si>
    <t>077088838481</t>
  </si>
  <si>
    <t>677978513619</t>
  </si>
  <si>
    <t>KYC00438</t>
  </si>
  <si>
    <t>CC00402</t>
  </si>
  <si>
    <t>CUST00718</t>
  </si>
  <si>
    <t>YUBPC3180R</t>
  </si>
  <si>
    <t>Nikhil Rane</t>
  </si>
  <si>
    <t>003370845988</t>
  </si>
  <si>
    <t>LN00276</t>
  </si>
  <si>
    <t>CUST00196</t>
  </si>
  <si>
    <t>9787017798</t>
  </si>
  <si>
    <t>CC00403</t>
  </si>
  <si>
    <t>nikhil.rane566@yahoo.com</t>
  </si>
  <si>
    <t>860, MG Road</t>
  </si>
  <si>
    <t>KYC00439</t>
  </si>
  <si>
    <t>JEAEV4010K</t>
  </si>
  <si>
    <t>461778595953</t>
  </si>
  <si>
    <t>LN00277</t>
  </si>
  <si>
    <t>CC00404</t>
  </si>
  <si>
    <t>KYC00440</t>
  </si>
  <si>
    <t>GMBPB7948A</t>
  </si>
  <si>
    <t>212693288662</t>
  </si>
  <si>
    <t>CC00405</t>
  </si>
  <si>
    <t>Kajal Mehta</t>
  </si>
  <si>
    <t>LN00278</t>
  </si>
  <si>
    <t>KYC00441</t>
  </si>
  <si>
    <t>9306121280</t>
  </si>
  <si>
    <t>CUST00863</t>
  </si>
  <si>
    <t>kajal.mehta53@yahoo.com</t>
  </si>
  <si>
    <t>UGWGP2658H</t>
  </si>
  <si>
    <t>491, MG Road</t>
  </si>
  <si>
    <t>996761262769</t>
  </si>
  <si>
    <t>CC00406</t>
  </si>
  <si>
    <t>KYC00442</t>
  </si>
  <si>
    <t>LN00279</t>
  </si>
  <si>
    <t>CC00407</t>
  </si>
  <si>
    <t>WHFHA6437Z</t>
  </si>
  <si>
    <t>CUST00640</t>
  </si>
  <si>
    <t>431439416253</t>
  </si>
  <si>
    <t>Preeti Sharma</t>
  </si>
  <si>
    <t>CC00408</t>
  </si>
  <si>
    <t>KYC00443</t>
  </si>
  <si>
    <t>CUST00955</t>
  </si>
  <si>
    <t>9158434821</t>
  </si>
  <si>
    <t>GFYYN5219Q</t>
  </si>
  <si>
    <t>preeti.sharma599@yahoo.com</t>
  </si>
  <si>
    <t>392993356537</t>
  </si>
  <si>
    <t>5, Church Street</t>
  </si>
  <si>
    <t>LN00280</t>
  </si>
  <si>
    <t>SMMVC3013H</t>
  </si>
  <si>
    <t>CC00409</t>
  </si>
  <si>
    <t>335603381916</t>
  </si>
  <si>
    <t>KYC00444</t>
  </si>
  <si>
    <t>CUST00967</t>
  </si>
  <si>
    <t>YOMPH4643H</t>
  </si>
  <si>
    <t>035606131212</t>
  </si>
  <si>
    <t>CC00410</t>
  </si>
  <si>
    <t>LN00281</t>
  </si>
  <si>
    <t>KYC00445</t>
  </si>
  <si>
    <t>Arjun Naidu</t>
  </si>
  <si>
    <t>9066980028</t>
  </si>
  <si>
    <t>CC00411</t>
  </si>
  <si>
    <t>arjun.naidu464@gmail.com</t>
  </si>
  <si>
    <t>CUST00456</t>
  </si>
  <si>
    <t>418, Park Street</t>
  </si>
  <si>
    <t>KYC00446</t>
  </si>
  <si>
    <t>LN00282</t>
  </si>
  <si>
    <t>CC00412</t>
  </si>
  <si>
    <t>KYC00447</t>
  </si>
  <si>
    <t>ZPLMU0880E</t>
  </si>
  <si>
    <t>960841610227</t>
  </si>
  <si>
    <t>CC00413</t>
  </si>
  <si>
    <t>CUST00469</t>
  </si>
  <si>
    <t>Deepak Shah</t>
  </si>
  <si>
    <t>LN00283</t>
  </si>
  <si>
    <t>KYC00448</t>
  </si>
  <si>
    <t>9070247970</t>
  </si>
  <si>
    <t>deepak.shah90@gmail.com</t>
  </si>
  <si>
    <t>GOKSA0024P</t>
  </si>
  <si>
    <t>469, Park Street</t>
  </si>
  <si>
    <t>CC00414</t>
  </si>
  <si>
    <t>240755060375</t>
  </si>
  <si>
    <t>KYC00449</t>
  </si>
  <si>
    <t>LN00284</t>
  </si>
  <si>
    <t>CC00415</t>
  </si>
  <si>
    <t>CUST00323</t>
  </si>
  <si>
    <t>723257785364</t>
  </si>
  <si>
    <t>KYC00450</t>
  </si>
  <si>
    <t>CC00416</t>
  </si>
  <si>
    <t>Dines Hmishra</t>
  </si>
  <si>
    <t>LN00285</t>
  </si>
  <si>
    <t>CUST00285</t>
  </si>
  <si>
    <t>9894205717</t>
  </si>
  <si>
    <t>KYC00451</t>
  </si>
  <si>
    <t>CC00417</t>
  </si>
  <si>
    <t>dinesh.mishra482@yahoo.com</t>
  </si>
  <si>
    <t>CUST00636</t>
  </si>
  <si>
    <t>414, Nehru Nagar</t>
  </si>
  <si>
    <t>FHBOO6212A</t>
  </si>
  <si>
    <t>372401894492</t>
  </si>
  <si>
    <t>FAITS8577S</t>
  </si>
  <si>
    <t>595357287924</t>
  </si>
  <si>
    <t>CC00418</t>
  </si>
  <si>
    <t>KYC00452</t>
  </si>
  <si>
    <t>CUST00665</t>
  </si>
  <si>
    <t>LN00286</t>
  </si>
  <si>
    <t>WIMNY1158F</t>
  </si>
  <si>
    <t>CUST00855</t>
  </si>
  <si>
    <t>126810156776</t>
  </si>
  <si>
    <t>CC00419</t>
  </si>
  <si>
    <t>Nisha Ghosh</t>
  </si>
  <si>
    <t>KYC00453</t>
  </si>
  <si>
    <t>LULTT8681I</t>
  </si>
  <si>
    <t>667493656675</t>
  </si>
  <si>
    <t>9038176015</t>
  </si>
  <si>
    <t>nisha.ghosh764@gmail.com</t>
  </si>
  <si>
    <t>LN00287</t>
  </si>
  <si>
    <t>520, FC Road</t>
  </si>
  <si>
    <t>CC00420</t>
  </si>
  <si>
    <t>CUST00842</t>
  </si>
  <si>
    <t>KYC00454</t>
  </si>
  <si>
    <t>CUST00803</t>
  </si>
  <si>
    <t>416863815258</t>
  </si>
  <si>
    <t>CC00421</t>
  </si>
  <si>
    <t>CUST00568</t>
  </si>
  <si>
    <t>LN00288</t>
  </si>
  <si>
    <t>KYC00455</t>
  </si>
  <si>
    <t>CC00422</t>
  </si>
  <si>
    <t>Anjali Kumar</t>
  </si>
  <si>
    <t>CUST00896</t>
  </si>
  <si>
    <t>KYC00456</t>
  </si>
  <si>
    <t>9454094048</t>
  </si>
  <si>
    <t>CUST00104</t>
  </si>
  <si>
    <t>anjali.kumar336@gmail.com</t>
  </si>
  <si>
    <t>WNTGB7409Q</t>
  </si>
  <si>
    <t>692, MG Road</t>
  </si>
  <si>
    <t>260698068081</t>
  </si>
  <si>
    <t>LN00289</t>
  </si>
  <si>
    <t>CC00423</t>
  </si>
  <si>
    <t>KYC00457</t>
  </si>
  <si>
    <t>CC00424</t>
  </si>
  <si>
    <t>LN00290</t>
  </si>
  <si>
    <t>Manish Nair</t>
  </si>
  <si>
    <t>KYC00458</t>
  </si>
  <si>
    <t>9469246770</t>
  </si>
  <si>
    <t>236, Church Street</t>
  </si>
  <si>
    <t>CC00425</t>
  </si>
  <si>
    <t>WATRO2232C</t>
  </si>
  <si>
    <t>KYC00459</t>
  </si>
  <si>
    <t>220712784644</t>
  </si>
  <si>
    <t>LN00291</t>
  </si>
  <si>
    <t>466488425321</t>
  </si>
  <si>
    <t>CC00426</t>
  </si>
  <si>
    <t>KYC00460</t>
  </si>
  <si>
    <t>Bhavna Tiwari</t>
  </si>
  <si>
    <t>CC00427</t>
  </si>
  <si>
    <t>CUST00135</t>
  </si>
  <si>
    <t>LN00292</t>
  </si>
  <si>
    <t>9065641165</t>
  </si>
  <si>
    <t>bhavna.tiwari61@gmail.com</t>
  </si>
  <si>
    <t>CUST00421</t>
  </si>
  <si>
    <t>KYC00461</t>
  </si>
  <si>
    <t>584, Ring Road</t>
  </si>
  <si>
    <t>BEUHW3865X</t>
  </si>
  <si>
    <t>YJHER5247S</t>
  </si>
  <si>
    <t>433874906938</t>
  </si>
  <si>
    <t>599862284835</t>
  </si>
  <si>
    <t>CC00428</t>
  </si>
  <si>
    <t>KYC00462</t>
  </si>
  <si>
    <t>SLAHK2635I</t>
  </si>
  <si>
    <t>LN00293</t>
  </si>
  <si>
    <t>953432737961</t>
  </si>
  <si>
    <t>CC00429</t>
  </si>
  <si>
    <t>KYC00463</t>
  </si>
  <si>
    <t>9552863249</t>
  </si>
  <si>
    <t>pooja.kulkarni998@yahoo.com</t>
  </si>
  <si>
    <t>135, FC Road</t>
  </si>
  <si>
    <t>ESLSO8914B</t>
  </si>
  <si>
    <t>428834436051</t>
  </si>
  <si>
    <t>CC00430</t>
  </si>
  <si>
    <t>WQWGS7224E</t>
  </si>
  <si>
    <t>545124669034</t>
  </si>
  <si>
    <t>LN00294</t>
  </si>
  <si>
    <t>KYC00464</t>
  </si>
  <si>
    <t>CUST01046</t>
  </si>
  <si>
    <t>ZIEXP8564P</t>
  </si>
  <si>
    <t>CC00431</t>
  </si>
  <si>
    <t>235134449830</t>
  </si>
  <si>
    <t>Shreya Malhotra</t>
  </si>
  <si>
    <t>KYC00465</t>
  </si>
  <si>
    <t>9986303761</t>
  </si>
  <si>
    <t>CUST00268</t>
  </si>
  <si>
    <t>shreya.malhotra555@yahoo.com</t>
  </si>
  <si>
    <t>484, MG Road</t>
  </si>
  <si>
    <t>CC00432</t>
  </si>
  <si>
    <t>IOFRC6901T</t>
  </si>
  <si>
    <t>CUST00973</t>
  </si>
  <si>
    <t>LN00295</t>
  </si>
  <si>
    <t>266492109355</t>
  </si>
  <si>
    <t>CUST00333</t>
  </si>
  <si>
    <t>OXQIE9177O</t>
  </si>
  <si>
    <t>097455664053</t>
  </si>
  <si>
    <t>KYC00466</t>
  </si>
  <si>
    <t>CC00433</t>
  </si>
  <si>
    <t>JYAYS5126D</t>
  </si>
  <si>
    <t>CUST00138</t>
  </si>
  <si>
    <t>498118652147</t>
  </si>
  <si>
    <t>Nikhil Sharma</t>
  </si>
  <si>
    <t>CC00434</t>
  </si>
  <si>
    <t>KYC00467</t>
  </si>
  <si>
    <t>LN00296</t>
  </si>
  <si>
    <t>CUST00732</t>
  </si>
  <si>
    <t>9120702667</t>
  </si>
  <si>
    <t>HKVYC2006B</t>
  </si>
  <si>
    <t>nikhil.sharma758@gmail.com</t>
  </si>
  <si>
    <t>621944042119</t>
  </si>
  <si>
    <t>552, MG Road</t>
  </si>
  <si>
    <t>AVFTY3870V</t>
  </si>
  <si>
    <t>CC00435</t>
  </si>
  <si>
    <t>375001597496</t>
  </si>
  <si>
    <t>CUST00081</t>
  </si>
  <si>
    <t>KYC00468</t>
  </si>
  <si>
    <t>CUST00603</t>
  </si>
  <si>
    <t>LXDQN3365Y</t>
  </si>
  <si>
    <t>LN00297</t>
  </si>
  <si>
    <t>CC00436</t>
  </si>
  <si>
    <t>Rohan Pandey</t>
  </si>
  <si>
    <t>KYC00469</t>
  </si>
  <si>
    <t>9261475897</t>
  </si>
  <si>
    <t>rohan.pandey979@gmail.com</t>
  </si>
  <si>
    <t>557, Church Street</t>
  </si>
  <si>
    <t>CC00437</t>
  </si>
  <si>
    <t>CUST00547</t>
  </si>
  <si>
    <t>LN00298</t>
  </si>
  <si>
    <t>KYC00470</t>
  </si>
  <si>
    <t>CUST00838</t>
  </si>
  <si>
    <t>JEUZT9695W</t>
  </si>
  <si>
    <t>669079422833</t>
  </si>
  <si>
    <t>CC00438</t>
  </si>
  <si>
    <t>CUST01002</t>
  </si>
  <si>
    <t>KYC00471</t>
  </si>
  <si>
    <t>Rakesh Trivedi</t>
  </si>
  <si>
    <t>CUST00988</t>
  </si>
  <si>
    <t>ZTBEN7474H</t>
  </si>
  <si>
    <t>LN00299</t>
  </si>
  <si>
    <t>3432380197</t>
  </si>
  <si>
    <t>CC00439</t>
  </si>
  <si>
    <t>rakesh.trivedi221@yahoo.com</t>
  </si>
  <si>
    <t>KYC00472</t>
  </si>
  <si>
    <t>367, Nehru Nagar</t>
  </si>
  <si>
    <t>XFXGH3561G</t>
  </si>
  <si>
    <t>968800789118</t>
  </si>
  <si>
    <t>CC00440</t>
  </si>
  <si>
    <t>KYC00473</t>
  </si>
  <si>
    <t>CUST00557</t>
  </si>
  <si>
    <t>LN00300</t>
  </si>
  <si>
    <t>YWQLH4627P</t>
  </si>
  <si>
    <t>268758495409</t>
  </si>
  <si>
    <t>Deepa Nair</t>
  </si>
  <si>
    <t>CC00441</t>
  </si>
  <si>
    <t>KYC00474</t>
  </si>
  <si>
    <t>CUST00865</t>
  </si>
  <si>
    <t>BEHKN5193I</t>
  </si>
  <si>
    <t>9527037876</t>
  </si>
  <si>
    <t>310616968337</t>
  </si>
  <si>
    <t>deepa.nair838@gmail.com</t>
  </si>
  <si>
    <t>379, Park Street</t>
  </si>
  <si>
    <t>LN00301</t>
  </si>
  <si>
    <t>CC00442</t>
  </si>
  <si>
    <t>KYC00475</t>
  </si>
  <si>
    <t>CC00443</t>
  </si>
  <si>
    <t>KYC00476</t>
  </si>
  <si>
    <t>Lata Kulkarni</t>
  </si>
  <si>
    <t>KFUWJ5219Y</t>
  </si>
  <si>
    <t>928840726638</t>
  </si>
  <si>
    <t>LN00302</t>
  </si>
  <si>
    <t>9271939766</t>
  </si>
  <si>
    <t>lata.kulkarni967@gmail.com</t>
  </si>
  <si>
    <t>124, Nehru Nagar</t>
  </si>
  <si>
    <t>CC00444</t>
  </si>
  <si>
    <t>KYC00477</t>
  </si>
  <si>
    <t>KYC00478</t>
  </si>
  <si>
    <t>LN00303</t>
  </si>
  <si>
    <t>CUST00305</t>
  </si>
  <si>
    <t>SJCRO8898O</t>
  </si>
  <si>
    <t>CC00445</t>
  </si>
  <si>
    <t>258168845973</t>
  </si>
  <si>
    <t>Nisha Pillai</t>
  </si>
  <si>
    <t>CUST00195</t>
  </si>
  <si>
    <t>9276153464</t>
  </si>
  <si>
    <t>nisha.pillai857@gmail.com</t>
  </si>
  <si>
    <t>88, Ring Road</t>
  </si>
  <si>
    <t>KYC00479</t>
  </si>
  <si>
    <t>CC00446</t>
  </si>
  <si>
    <t>BPFPA7538E</t>
  </si>
  <si>
    <t>259725512633</t>
  </si>
  <si>
    <t>LN00304</t>
  </si>
  <si>
    <t>CC00447</t>
  </si>
  <si>
    <t>KYC00480</t>
  </si>
  <si>
    <t>NNYJQ7863T</t>
  </si>
  <si>
    <t>Siddharth Shah</t>
  </si>
  <si>
    <t>573450618427</t>
  </si>
  <si>
    <t>CC00448</t>
  </si>
  <si>
    <t>18658830</t>
  </si>
  <si>
    <t>siddharth.shah767@gmail.com</t>
  </si>
  <si>
    <t>LN00305</t>
  </si>
  <si>
    <t>722, Park Street</t>
  </si>
  <si>
    <t>KYC00481</t>
  </si>
  <si>
    <t>CUST00574</t>
  </si>
  <si>
    <t>CFQGZ5759C</t>
  </si>
  <si>
    <t>969731218746</t>
  </si>
  <si>
    <t>CC00449</t>
  </si>
  <si>
    <t>KYC00482</t>
  </si>
  <si>
    <t>CC00450</t>
  </si>
  <si>
    <t>LN00306</t>
  </si>
  <si>
    <t>Abhishek Sharma</t>
  </si>
  <si>
    <t>CUST00515</t>
  </si>
  <si>
    <t>9441108728</t>
  </si>
  <si>
    <t>abhishek.sharma835@gmail.com</t>
  </si>
  <si>
    <t>79, MG Road</t>
  </si>
  <si>
    <t>KYC00483</t>
  </si>
  <si>
    <t>CUST00534</t>
  </si>
  <si>
    <t>CC00451</t>
  </si>
  <si>
    <t>FHKXF3456Z</t>
  </si>
  <si>
    <t>BMNXW7916G</t>
  </si>
  <si>
    <t>360305066550</t>
  </si>
  <si>
    <t>444836785169</t>
  </si>
  <si>
    <t>LN00307</t>
  </si>
  <si>
    <t>KYC00484</t>
  </si>
  <si>
    <t>CC00452</t>
  </si>
  <si>
    <t>CUST00975</t>
  </si>
  <si>
    <t>XLNMB8160U</t>
  </si>
  <si>
    <t>992111137999</t>
  </si>
  <si>
    <t>Nisha Chowdhury</t>
  </si>
  <si>
    <t>KYC00485</t>
  </si>
  <si>
    <t>CC00453</t>
  </si>
  <si>
    <t>9801217783</t>
  </si>
  <si>
    <t>nisha.chowdhury272@gmail.com</t>
  </si>
  <si>
    <t>651, Park Street</t>
  </si>
  <si>
    <t>LN00308</t>
  </si>
  <si>
    <t>CC00454</t>
  </si>
  <si>
    <t>KYC00486</t>
  </si>
  <si>
    <t>CUST00659</t>
  </si>
  <si>
    <t>PEUYP2144C</t>
  </si>
  <si>
    <t>764740916082</t>
  </si>
  <si>
    <t>LN00309</t>
  </si>
  <si>
    <t>CC00455</t>
  </si>
  <si>
    <t>KYC00487</t>
  </si>
  <si>
    <t>Girish Rane</t>
  </si>
  <si>
    <t>9437754437</t>
  </si>
  <si>
    <t>girish.rane808@gmail.com</t>
  </si>
  <si>
    <t>634, Ring Road</t>
  </si>
  <si>
    <t>KYC00488</t>
  </si>
  <si>
    <t>LYFBG6053E</t>
  </si>
  <si>
    <t>LN00310</t>
  </si>
  <si>
    <t>CC00456</t>
  </si>
  <si>
    <t>YASIL4522Y</t>
  </si>
  <si>
    <t>026522693465</t>
  </si>
  <si>
    <t>128902541014</t>
  </si>
  <si>
    <t>KYC00489</t>
  </si>
  <si>
    <t>XIXDU6189C</t>
  </si>
  <si>
    <t>CC00457</t>
  </si>
  <si>
    <t>737547352985</t>
  </si>
  <si>
    <t>Ashok Naidu</t>
  </si>
  <si>
    <t>LN00311</t>
  </si>
  <si>
    <t>KYC00490</t>
  </si>
  <si>
    <t>9842918100</t>
  </si>
  <si>
    <t>CUST00591</t>
  </si>
  <si>
    <t>ashok.naidu260@gmail.com</t>
  </si>
  <si>
    <t>ZTMAD6539R</t>
  </si>
  <si>
    <t>385, FC Road</t>
  </si>
  <si>
    <t>CC00458</t>
  </si>
  <si>
    <t>828460847360</t>
  </si>
  <si>
    <t>PJUML7716B</t>
  </si>
  <si>
    <t>912547578465</t>
  </si>
  <si>
    <t>KYC00491</t>
  </si>
  <si>
    <t>CUST00092</t>
  </si>
  <si>
    <t>DDFQG4850W</t>
  </si>
  <si>
    <t>LN00312</t>
  </si>
  <si>
    <t>254406256580</t>
  </si>
  <si>
    <t>CC00459</t>
  </si>
  <si>
    <t>Pankaj Goel</t>
  </si>
  <si>
    <t>KYC00492</t>
  </si>
  <si>
    <t>CUST00833</t>
  </si>
  <si>
    <t>RQOSQ4839B</t>
  </si>
  <si>
    <t>CC00460</t>
  </si>
  <si>
    <t>135612499406</t>
  </si>
  <si>
    <t>9519752703</t>
  </si>
  <si>
    <t>pankaj.goel776@gmail.com</t>
  </si>
  <si>
    <t>582, MG Road</t>
  </si>
  <si>
    <t>LN00313</t>
  </si>
  <si>
    <t>KYC00493</t>
  </si>
  <si>
    <t>CUST00072</t>
  </si>
  <si>
    <t>CC00461</t>
  </si>
  <si>
    <t>KYC00494</t>
  </si>
  <si>
    <t>CC00462</t>
  </si>
  <si>
    <t>Karan Goel</t>
  </si>
  <si>
    <t>LN00314</t>
  </si>
  <si>
    <t>9461641998</t>
  </si>
  <si>
    <t>karan.goel458@yahoo.com</t>
  </si>
  <si>
    <t>CUST00922</t>
  </si>
  <si>
    <t>145, Nehru Nagar</t>
  </si>
  <si>
    <t>KYC00495</t>
  </si>
  <si>
    <t>PBSHA2285S</t>
  </si>
  <si>
    <t>CC00463</t>
  </si>
  <si>
    <t>XULDC9975Q</t>
  </si>
  <si>
    <t>628390061941</t>
  </si>
  <si>
    <t>995889983174</t>
  </si>
  <si>
    <t>KYC00496</t>
  </si>
  <si>
    <t>CUST00666</t>
  </si>
  <si>
    <t>LN00315</t>
  </si>
  <si>
    <t>CC00464</t>
  </si>
  <si>
    <t>YZKJR2793I</t>
  </si>
  <si>
    <t>CUST00675</t>
  </si>
  <si>
    <t>CUST00283</t>
  </si>
  <si>
    <t>2863889070</t>
  </si>
  <si>
    <t>Neha Yadav</t>
  </si>
  <si>
    <t>KYC00497</t>
  </si>
  <si>
    <t>9515484596</t>
  </si>
  <si>
    <t>CUST00915</t>
  </si>
  <si>
    <t>neha.yadav283@gmail.com</t>
  </si>
  <si>
    <t>LAMHE3951E</t>
  </si>
  <si>
    <t>CC00465</t>
  </si>
  <si>
    <t>248, FC Road</t>
  </si>
  <si>
    <t>CUST00033</t>
  </si>
  <si>
    <t>178743694115</t>
  </si>
  <si>
    <t>LN00316</t>
  </si>
  <si>
    <t>SDDUA0195F</t>
  </si>
  <si>
    <t>380801437012</t>
  </si>
  <si>
    <t>KYC00498</t>
  </si>
  <si>
    <t>CC00466</t>
  </si>
  <si>
    <t>WTAPY2850H</t>
  </si>
  <si>
    <t>CUST00805</t>
  </si>
  <si>
    <t>580401166538</t>
  </si>
  <si>
    <t>CUST00938</t>
  </si>
  <si>
    <t>Suresh Bose</t>
  </si>
  <si>
    <t>LN00317</t>
  </si>
  <si>
    <t>KYC00499</t>
  </si>
  <si>
    <t>CUST00219</t>
  </si>
  <si>
    <t>CUST00426</t>
  </si>
  <si>
    <t>CC00467</t>
  </si>
  <si>
    <t>YIFRK3725K</t>
  </si>
  <si>
    <t>171552685643</t>
  </si>
  <si>
    <t>9834888393</t>
  </si>
  <si>
    <t>suresh.bose938@gmail.com</t>
  </si>
  <si>
    <t>400, Ring Road</t>
  </si>
  <si>
    <t>KYC00500</t>
  </si>
  <si>
    <t>OJOFI9796U</t>
  </si>
  <si>
    <t>CC00468</t>
  </si>
  <si>
    <t>LN00318</t>
  </si>
  <si>
    <t>KYC00501</t>
  </si>
  <si>
    <t>CC00469</t>
  </si>
  <si>
    <t>PTSHV3994T</t>
  </si>
  <si>
    <t>180291898735</t>
  </si>
  <si>
    <t>LN00319</t>
  </si>
  <si>
    <t>Namrata Chatterjee</t>
  </si>
  <si>
    <t>CC00470</t>
  </si>
  <si>
    <t>KYC00502</t>
  </si>
  <si>
    <t>CUST00960</t>
  </si>
  <si>
    <t>9808172761</t>
  </si>
  <si>
    <t>namrata.chatterjee125@gmail.com</t>
  </si>
  <si>
    <t>368, Nehru Nagar</t>
  </si>
  <si>
    <t>KYC00503</t>
  </si>
  <si>
    <t>CC00471</t>
  </si>
  <si>
    <t>CUST00772</t>
  </si>
  <si>
    <t>CUST00785</t>
  </si>
  <si>
    <t>CVUYH2494G</t>
  </si>
  <si>
    <t>LN00320</t>
  </si>
  <si>
    <t>531859066992</t>
  </si>
  <si>
    <t>CUST00668</t>
  </si>
  <si>
    <t>CC00472</t>
  </si>
  <si>
    <t>KYC00504</t>
  </si>
  <si>
    <t>CUST00799</t>
  </si>
  <si>
    <t>DQDNS507</t>
  </si>
  <si>
    <t>165553511421</t>
  </si>
  <si>
    <t>Preeti Pillai</t>
  </si>
  <si>
    <t>LN00321</t>
  </si>
  <si>
    <t>CC00473</t>
  </si>
  <si>
    <t>KYC00505</t>
  </si>
  <si>
    <t>9211891535</t>
  </si>
  <si>
    <t>CUST00237</t>
  </si>
  <si>
    <t>CUST00548</t>
  </si>
  <si>
    <t>870, Ring Road</t>
  </si>
  <si>
    <t>GFETZ2754Y</t>
  </si>
  <si>
    <t>257384373842</t>
  </si>
  <si>
    <t>CC00474</t>
  </si>
  <si>
    <t>KYC00506</t>
  </si>
  <si>
    <t>CUST00514</t>
  </si>
  <si>
    <t>YIKPV1375G</t>
  </si>
  <si>
    <t>371688318911</t>
  </si>
  <si>
    <t>LN00322</t>
  </si>
  <si>
    <t>CC00475</t>
  </si>
  <si>
    <t>Nidhi Patel</t>
  </si>
  <si>
    <t>KYC00507</t>
  </si>
  <si>
    <t>9398090477</t>
  </si>
  <si>
    <t>nidhi.patel591@gmail.com</t>
  </si>
  <si>
    <t>770, Park Street</t>
  </si>
  <si>
    <t>CC00476</t>
  </si>
  <si>
    <t>KYC00508</t>
  </si>
  <si>
    <t>FBMFT9852U</t>
  </si>
  <si>
    <t>366290153366</t>
  </si>
  <si>
    <t>CC00477</t>
  </si>
  <si>
    <t>KYC00509</t>
  </si>
  <si>
    <t>LN00323</t>
  </si>
  <si>
    <t>Anita Pillai</t>
  </si>
  <si>
    <t>CC00478</t>
  </si>
  <si>
    <t>KYC00510</t>
  </si>
  <si>
    <t>9569400352</t>
  </si>
  <si>
    <t>anita.pillai357@yahoo.com</t>
  </si>
  <si>
    <t>ZVTKN7689I</t>
  </si>
  <si>
    <t>212, Ring Road</t>
  </si>
  <si>
    <t>444570017784</t>
  </si>
  <si>
    <t>PLOWV8373N</t>
  </si>
  <si>
    <t>CC00479</t>
  </si>
  <si>
    <t>978014576888</t>
  </si>
  <si>
    <t>LN00324</t>
  </si>
  <si>
    <t>KYC00511</t>
  </si>
  <si>
    <t>CUST00737</t>
  </si>
  <si>
    <t>380046773209</t>
  </si>
  <si>
    <t>CC00480</t>
  </si>
  <si>
    <t>CUST00633</t>
  </si>
  <si>
    <t>KYC00512</t>
  </si>
  <si>
    <t>Abhishek Agarwal</t>
  </si>
  <si>
    <t>9646904237</t>
  </si>
  <si>
    <t>CC00481</t>
  </si>
  <si>
    <t>LN00325</t>
  </si>
  <si>
    <t>188, Park Street</t>
  </si>
  <si>
    <t>IUWFK0187Y</t>
  </si>
  <si>
    <t>KYC00513</t>
  </si>
  <si>
    <t>CUST00528</t>
  </si>
  <si>
    <t>454639605649</t>
  </si>
  <si>
    <t>GTVZC3972P</t>
  </si>
  <si>
    <t>926367508754</t>
  </si>
  <si>
    <t>CC00482</t>
  </si>
  <si>
    <t>KYC00514</t>
  </si>
  <si>
    <t>CUST00298</t>
  </si>
  <si>
    <t>LN00326</t>
  </si>
  <si>
    <t>CUST00933</t>
  </si>
  <si>
    <t>SJZCC1805L</t>
  </si>
  <si>
    <t>Sruesh Kulkarni</t>
  </si>
  <si>
    <t>922387732027</t>
  </si>
  <si>
    <t>CC00483</t>
  </si>
  <si>
    <t>suresh.kulkarni933@gmail.com</t>
  </si>
  <si>
    <t>691, Ring Road</t>
  </si>
  <si>
    <t>KYC00515</t>
  </si>
  <si>
    <t>CUST00579</t>
  </si>
  <si>
    <t>TBYLK8030L</t>
  </si>
  <si>
    <t>FXYMQ2979W</t>
  </si>
  <si>
    <t>728991762310</t>
  </si>
  <si>
    <t>953828108156</t>
  </si>
  <si>
    <t>LN00327</t>
  </si>
  <si>
    <t>CC00484</t>
  </si>
  <si>
    <t>KYC00516</t>
  </si>
  <si>
    <t>CUST00849</t>
  </si>
  <si>
    <t>VIPMU8434G</t>
  </si>
  <si>
    <t>962814020694</t>
  </si>
  <si>
    <t>Sunita Singh</t>
  </si>
  <si>
    <t>CC00485</t>
  </si>
  <si>
    <t>9856599052</t>
  </si>
  <si>
    <t>LN00328</t>
  </si>
  <si>
    <t>sunita.singh587@yahoo.com</t>
  </si>
  <si>
    <t>KYC00517</t>
  </si>
  <si>
    <t>CC00486</t>
  </si>
  <si>
    <t>KYC00518</t>
  </si>
  <si>
    <t>CUST00937</t>
  </si>
  <si>
    <t>JDYML0258Q</t>
  </si>
  <si>
    <t>CC00487</t>
  </si>
  <si>
    <t>Ajay Gupta</t>
  </si>
  <si>
    <t>LN00329</t>
  </si>
  <si>
    <t>9512591231</t>
  </si>
  <si>
    <t>ajay.gupta146@gmail.com</t>
  </si>
  <si>
    <t>68, Nehru Nagar</t>
  </si>
  <si>
    <t>CC00488</t>
  </si>
  <si>
    <t>KYC00519</t>
  </si>
  <si>
    <t>JAUDL7524V</t>
  </si>
  <si>
    <t>394474333372</t>
  </si>
  <si>
    <t>LN00330</t>
  </si>
  <si>
    <t>CC00489</t>
  </si>
  <si>
    <t>CUST00844</t>
  </si>
  <si>
    <t>KYC00520</t>
  </si>
  <si>
    <t>Arun Rane</t>
  </si>
  <si>
    <t>CC00490</t>
  </si>
  <si>
    <t>3178518728</t>
  </si>
  <si>
    <t>arun.rane868@gmail.com</t>
  </si>
  <si>
    <t>737, MG Road</t>
  </si>
  <si>
    <t>LN00331</t>
  </si>
  <si>
    <t>KYC00521</t>
  </si>
  <si>
    <t>MJWOU2386Q</t>
  </si>
  <si>
    <t>CUST00884</t>
  </si>
  <si>
    <t>278137114076</t>
  </si>
  <si>
    <t>LRMGB7029L</t>
  </si>
  <si>
    <t>266946267396</t>
  </si>
  <si>
    <t>CC00491</t>
  </si>
  <si>
    <t>KYC00522</t>
  </si>
  <si>
    <t>STBOQ9993P</t>
  </si>
  <si>
    <t>CC00492</t>
  </si>
  <si>
    <t>LN00332</t>
  </si>
  <si>
    <t>893723513009</t>
  </si>
  <si>
    <t>CUST00178</t>
  </si>
  <si>
    <t>KYC00523</t>
  </si>
  <si>
    <t>CC00493</t>
  </si>
  <si>
    <t>CUST00182</t>
  </si>
  <si>
    <t>LN00333</t>
  </si>
  <si>
    <t>CUST00996</t>
  </si>
  <si>
    <t>CC00494</t>
  </si>
  <si>
    <t>KYC00524</t>
  </si>
  <si>
    <t>CUST00057</t>
  </si>
  <si>
    <t>Mahesh Singh</t>
  </si>
  <si>
    <t>QDEMV4402Q</t>
  </si>
  <si>
    <t>807085373310</t>
  </si>
  <si>
    <t>9220760359</t>
  </si>
  <si>
    <t>CC00495</t>
  </si>
  <si>
    <t>mahesh.singh57@yahoo.com</t>
  </si>
  <si>
    <t>CUST00098</t>
  </si>
  <si>
    <t>429, Church Street</t>
  </si>
  <si>
    <t>KYC00525</t>
  </si>
  <si>
    <t>CUST00107</t>
  </si>
  <si>
    <t>LN00334</t>
  </si>
  <si>
    <t>MALWG4299X</t>
  </si>
  <si>
    <t>083346051834</t>
  </si>
  <si>
    <t>840975438604</t>
  </si>
  <si>
    <t>CC00496</t>
  </si>
  <si>
    <t>CUST00503</t>
  </si>
  <si>
    <t>KYC00526</t>
  </si>
  <si>
    <t>Payal Kulkarni</t>
  </si>
  <si>
    <t>CC00497</t>
  </si>
  <si>
    <t>CUST00179</t>
  </si>
  <si>
    <t>9616088698</t>
  </si>
  <si>
    <t>payal.kulkarni401@gmail.com</t>
  </si>
  <si>
    <t>KYC00527</t>
  </si>
  <si>
    <t>99, FC Road</t>
  </si>
  <si>
    <t>LN00335</t>
  </si>
  <si>
    <t>CC00498</t>
  </si>
  <si>
    <t>HPWWB8473I</t>
  </si>
  <si>
    <t>CUST00700</t>
  </si>
  <si>
    <t>184941133526</t>
  </si>
  <si>
    <t>KYC00528</t>
  </si>
  <si>
    <t>CC00499</t>
  </si>
  <si>
    <t>CUST00386</t>
  </si>
  <si>
    <t>Naveen Sharma</t>
  </si>
  <si>
    <t>CC00500</t>
  </si>
  <si>
    <t>KYC00529</t>
  </si>
  <si>
    <t>9174155406</t>
  </si>
  <si>
    <t>naveen.sharma372@yahoo.com</t>
  </si>
  <si>
    <t>LN00336</t>
  </si>
  <si>
    <t>513, Church Street</t>
  </si>
  <si>
    <t>KYC00530</t>
  </si>
  <si>
    <t>UPBWS4988X</t>
  </si>
  <si>
    <t>067160602831</t>
  </si>
  <si>
    <t>Namrata Pandey</t>
  </si>
  <si>
    <t>KYC00531</t>
  </si>
  <si>
    <t>9195912621</t>
  </si>
  <si>
    <t>LN00337</t>
  </si>
  <si>
    <t>namrata.pandey168@yahoo.com</t>
  </si>
  <si>
    <t>480, Ring Road</t>
  </si>
  <si>
    <t>NRHQM4300Q</t>
  </si>
  <si>
    <t>149344850961</t>
  </si>
  <si>
    <t>KYC00532</t>
  </si>
  <si>
    <t>137175347696</t>
  </si>
  <si>
    <t>Rohan Ugpta</t>
  </si>
  <si>
    <t>LN00338</t>
  </si>
  <si>
    <t>KYC00533</t>
  </si>
  <si>
    <t>9619271107</t>
  </si>
  <si>
    <t>CUST00646</t>
  </si>
  <si>
    <t>rohan.gupta955@gmail.com</t>
  </si>
  <si>
    <t>17, MG Road</t>
  </si>
  <si>
    <t>VTLWE9622H</t>
  </si>
  <si>
    <t>204817547335</t>
  </si>
  <si>
    <t>KYC00534</t>
  </si>
  <si>
    <t>LN00339</t>
  </si>
  <si>
    <t>Asha Naidu</t>
  </si>
  <si>
    <t>CUST00340</t>
  </si>
  <si>
    <t>KYC00535</t>
  </si>
  <si>
    <t>9995808001</t>
  </si>
  <si>
    <t>518, Ring Road</t>
  </si>
  <si>
    <t>KYC00536</t>
  </si>
  <si>
    <t>LN00340</t>
  </si>
  <si>
    <t>KYC00537</t>
  </si>
  <si>
    <t>KGBPG757</t>
  </si>
  <si>
    <t>887171158009</t>
  </si>
  <si>
    <t>9058793267</t>
  </si>
  <si>
    <t>Sheet</t>
  </si>
  <si>
    <t>Column</t>
  </si>
  <si>
    <t>KYC00538</t>
  </si>
  <si>
    <t>Issue Found</t>
  </si>
  <si>
    <t>Rows Affected</t>
  </si>
  <si>
    <t>Action Taken</t>
  </si>
  <si>
    <t>LN00341</t>
  </si>
  <si>
    <t>Customer_Data</t>
  </si>
  <si>
    <t>Inconsistent casing/abbreviations (M/F/male/MALE etc.)</t>
  </si>
  <si>
    <t>Standardized to Male / Female</t>
  </si>
  <si>
    <t>KYC00539</t>
  </si>
  <si>
    <t>CUST00525</t>
  </si>
  <si>
    <t>30 missing values; some had +91/dash prefixes</t>
  </si>
  <si>
    <t>GXTYW3913W</t>
  </si>
  <si>
    <t>137097836847</t>
  </si>
  <si>
    <t>Stripped to 10-digit numeric string; missing left blank and flagged</t>
  </si>
  <si>
    <t>Pallavi Iyer</t>
  </si>
  <si>
    <t>57 missing values</t>
  </si>
  <si>
    <t>Lower-cased; missing left blank and flagged</t>
  </si>
  <si>
    <t>KYC00540</t>
  </si>
  <si>
    <t>9526367043</t>
  </si>
  <si>
    <t>LN00342</t>
  </si>
  <si>
    <t>pallavi.iyer528@yahoo.com</t>
  </si>
  <si>
    <t>216, MG Road</t>
  </si>
  <si>
    <t>98 missing, 18 not matching PAN format (stray spaces/chars)</t>
  </si>
  <si>
    <t>Removed embedded spaces, upper-cased; added PAN_Valid flag column</t>
  </si>
  <si>
    <t>100 missing, 18 not 12 digits</t>
  </si>
  <si>
    <t>KYC00541</t>
  </si>
  <si>
    <t>Removed non-digit characters; added Aadhaar_Valid flag column</t>
  </si>
  <si>
    <t>CUST00958</t>
  </si>
  <si>
    <t>511 missing (49% of records)</t>
  </si>
  <si>
    <t>Left blank (not imputed, to avoid biasing income analysis); flagged via AnnualIncome_Status</t>
  </si>
  <si>
    <t>LN00343</t>
  </si>
  <si>
    <t>LUHMV6195Y</t>
  </si>
  <si>
    <t>DOB / AccountOpenDate</t>
  </si>
  <si>
    <t>Meera Saxena</t>
  </si>
  <si>
    <t>060940021942</t>
  </si>
  <si>
    <t>Dates stored in 4+ mixed formats (DD-MM-YYYY, DD Mon YYYY, MM/DD/YYYY, YYYY-MM-DD)</t>
  </si>
  <si>
    <t>Parsed and standardized to a single date type (YYYY-MM-DD)</t>
  </si>
  <si>
    <t>9069549207</t>
  </si>
  <si>
    <t>41 records have a Date of Birth in the future</t>
  </si>
  <si>
    <t>KYC00542</t>
  </si>
  <si>
    <t>meera.saxena799@gmail.com</t>
  </si>
  <si>
    <t>350, Nehru Nagar</t>
  </si>
  <si>
    <t>Flagged via DOB_Valid column; Age left blank for these records rather than showing a negative value</t>
  </si>
  <si>
    <t>BUAJT2107N</t>
  </si>
  <si>
    <t>343962117700</t>
  </si>
  <si>
    <t>43 records have an account opening date earlier than the customer's DOB</t>
  </si>
  <si>
    <t>LN00344</t>
  </si>
  <si>
    <t>Flagged via AccountOpenDate_Valid column for manual review</t>
  </si>
  <si>
    <t>CustomerName+DOB</t>
  </si>
  <si>
    <t>KYC00543</t>
  </si>
  <si>
    <t>100 records share the same name &amp; date of birth (possible duplicate customer entries)</t>
  </si>
  <si>
    <t>Flagged via DuplicateFlag column for manual review; not auto-deleted since CustomerIDs differ</t>
  </si>
  <si>
    <t>ZPSDK6997A</t>
  </si>
  <si>
    <t>All rows</t>
  </si>
  <si>
    <t>196975638184</t>
  </si>
  <si>
    <t>Exact duplicate rows check</t>
  </si>
  <si>
    <t>CUST00213</t>
  </si>
  <si>
    <t>No exact duplicate rows found</t>
  </si>
  <si>
    <t>Nisha Verma</t>
  </si>
  <si>
    <t>Branches_Data</t>
  </si>
  <si>
    <t>KYC00544</t>
  </si>
  <si>
    <t>CUST00021</t>
  </si>
  <si>
    <t>Date formatting standardized</t>
  </si>
  <si>
    <t>TFKIJ7750B</t>
  </si>
  <si>
    <t>Parsed to YYYY-MM-DD</t>
  </si>
  <si>
    <t>LN00345</t>
  </si>
  <si>
    <t>9979516391</t>
  </si>
  <si>
    <t>166264427142</t>
  </si>
  <si>
    <t>KYC_Data</t>
  </si>
  <si>
    <t>nisha.verma213@gmail.com</t>
  </si>
  <si>
    <t>PAN / Aadhaar</t>
  </si>
  <si>
    <t>417, Church Street</t>
  </si>
  <si>
    <t>90 PAN and 86 Aadhaar missing</t>
  </si>
  <si>
    <t>Cleaned formatting (spaces/dashes removed); missing left blank</t>
  </si>
  <si>
    <t>GOMCJ7865W</t>
  </si>
  <si>
    <t>813819932824</t>
  </si>
  <si>
    <t>Mixed date formats; 139 missing (mostly Pending status)</t>
  </si>
  <si>
    <t>Standardized to YYYY-MM-DD; missing left blank</t>
  </si>
  <si>
    <t>KYC00545</t>
  </si>
  <si>
    <t>Loan_Data</t>
  </si>
  <si>
    <t>11 missing values</t>
  </si>
  <si>
    <t>Set to 0 for 5 Closed loans (consistent with other closed records); 6 on Active/NPA loans left blank and flagged Needs Review</t>
  </si>
  <si>
    <t>LN00346</t>
  </si>
  <si>
    <t>KYC00546</t>
  </si>
  <si>
    <t>Mixed date formats</t>
  </si>
  <si>
    <t>CUST00449</t>
  </si>
  <si>
    <t>CUST00121</t>
  </si>
  <si>
    <t>Standardized to YYYY-MM-DD</t>
  </si>
  <si>
    <t>VZEQY3905Y</t>
  </si>
  <si>
    <t>Creditcard_Data</t>
  </si>
  <si>
    <t>760702244241</t>
  </si>
  <si>
    <t>68 missing (no payment made yet)</t>
  </si>
  <si>
    <t>Standardized format; missing flagged as No Payment Recorded</t>
  </si>
  <si>
    <t>KYC00547</t>
  </si>
  <si>
    <t>873664747797</t>
  </si>
  <si>
    <t>LN00347</t>
  </si>
  <si>
    <t>Shreya Patel</t>
  </si>
  <si>
    <t>KYC00548</t>
  </si>
  <si>
    <t>CUST00259</t>
  </si>
  <si>
    <t>9366792261</t>
  </si>
  <si>
    <t>282923520067</t>
  </si>
  <si>
    <t>462, Nehru Nagar</t>
  </si>
  <si>
    <t>153917672544</t>
  </si>
  <si>
    <t>KYC00549</t>
  </si>
  <si>
    <t>LN00348</t>
  </si>
  <si>
    <t>OEKEM1227E</t>
  </si>
  <si>
    <t>865934381902</t>
  </si>
  <si>
    <t>KYC00550</t>
  </si>
  <si>
    <t>SRKGJ1712V</t>
  </si>
  <si>
    <t>Sunil Agarwal</t>
  </si>
  <si>
    <t>LN00349</t>
  </si>
  <si>
    <t>KYC00551</t>
  </si>
  <si>
    <t>9425365442</t>
  </si>
  <si>
    <t>sunil.agarwal519@gmail.com</t>
  </si>
  <si>
    <t>OGXBB0505K</t>
  </si>
  <si>
    <t>731, Church Street</t>
  </si>
  <si>
    <t>595594732772</t>
  </si>
  <si>
    <t>ZSBDZ7511K</t>
  </si>
  <si>
    <t>759813667814</t>
  </si>
  <si>
    <t>KYC00552</t>
  </si>
  <si>
    <t>LN00350</t>
  </si>
  <si>
    <t>KYC00553</t>
  </si>
  <si>
    <t>BWANC6653J</t>
  </si>
  <si>
    <t>Rani Bose</t>
  </si>
  <si>
    <t>427244135908</t>
  </si>
  <si>
    <t>9356886154</t>
  </si>
  <si>
    <t>LN00351</t>
  </si>
  <si>
    <t>KYC00554</t>
  </si>
  <si>
    <t>rani.bose72@gmail.com</t>
  </si>
  <si>
    <t>368, MG Road</t>
  </si>
  <si>
    <t>KYC00555</t>
  </si>
  <si>
    <t>YOVIL7940L</t>
  </si>
  <si>
    <t>LN00352</t>
  </si>
  <si>
    <t>696810892214</t>
  </si>
  <si>
    <t>Abhishek Mishra</t>
  </si>
  <si>
    <t>KYC00556</t>
  </si>
  <si>
    <t>JRRJO8979G</t>
  </si>
  <si>
    <t>abhishek.mishra83@yahoo.com</t>
  </si>
  <si>
    <t>255, Park Street</t>
  </si>
  <si>
    <t>LN00353</t>
  </si>
  <si>
    <t>261882163121</t>
  </si>
  <si>
    <t>KYC00557</t>
  </si>
  <si>
    <t>CUST00940</t>
  </si>
  <si>
    <t>VCHWL7135A</t>
  </si>
  <si>
    <t>780306460338</t>
  </si>
  <si>
    <t>Arjun Kapoor</t>
  </si>
  <si>
    <t>KYC00558</t>
  </si>
  <si>
    <t>LN00354</t>
  </si>
  <si>
    <t>CUST00809</t>
  </si>
  <si>
    <t>EAARE0230Q</t>
  </si>
  <si>
    <t>9107587513</t>
  </si>
  <si>
    <t>344096817380</t>
  </si>
  <si>
    <t>arjun.kapoor55@gmail.com</t>
  </si>
  <si>
    <t>509, Park Street</t>
  </si>
  <si>
    <t>NJBSR5339T</t>
  </si>
  <si>
    <t>KYC00559</t>
  </si>
  <si>
    <t>464375863683</t>
  </si>
  <si>
    <t>UTMZZ0369O</t>
  </si>
  <si>
    <t>685651907218</t>
  </si>
  <si>
    <t>LN00355</t>
  </si>
  <si>
    <t>KYC00560</t>
  </si>
  <si>
    <t>Ravi Agarwal</t>
  </si>
  <si>
    <t>9143005399</t>
  </si>
  <si>
    <t>ravi.agarwal674@yahoo.com</t>
  </si>
  <si>
    <t>711, Park Street</t>
  </si>
  <si>
    <t>KYC00561</t>
  </si>
  <si>
    <t>LN00356</t>
  </si>
  <si>
    <t>JVDXA8758P</t>
  </si>
  <si>
    <t>696218624923</t>
  </si>
  <si>
    <t>KYC00562</t>
  </si>
  <si>
    <t>RWPZP4218O</t>
  </si>
  <si>
    <t>LN00357</t>
  </si>
  <si>
    <t>KYC00563</t>
  </si>
  <si>
    <t>9796129486</t>
  </si>
  <si>
    <t>radha.bose609@yahoo.com</t>
  </si>
  <si>
    <t>728, Church Street</t>
  </si>
  <si>
    <t>KYC00564</t>
  </si>
  <si>
    <t>LN00358</t>
  </si>
  <si>
    <t>TUDLD2167L</t>
  </si>
  <si>
    <t>101302657179</t>
  </si>
  <si>
    <t>KYC00565</t>
  </si>
  <si>
    <t>Anjali Mehta</t>
  </si>
  <si>
    <t>220689576926</t>
  </si>
  <si>
    <t>anjali.mehta370@yahoo.com</t>
  </si>
  <si>
    <t>LN00359</t>
  </si>
  <si>
    <t>913, Nehru Nagar</t>
  </si>
  <si>
    <t>KYC00566</t>
  </si>
  <si>
    <t>KSCWR4428T</t>
  </si>
  <si>
    <t>419684951880</t>
  </si>
  <si>
    <t>KYC00567</t>
  </si>
  <si>
    <t>CUST00278</t>
  </si>
  <si>
    <t>GCVPO4490E</t>
  </si>
  <si>
    <t>LN00360</t>
  </si>
  <si>
    <t>Vijay Iyer</t>
  </si>
  <si>
    <t>757345400683</t>
  </si>
  <si>
    <t>9562418436</t>
  </si>
  <si>
    <t>vijay.iyer276@gmail.com</t>
  </si>
  <si>
    <t>KYC00568</t>
  </si>
  <si>
    <t>549, Ring Road</t>
  </si>
  <si>
    <t>PBYFM8080O</t>
  </si>
  <si>
    <t>943782003990</t>
  </si>
  <si>
    <t>LN00361</t>
  </si>
  <si>
    <t>CUST00227</t>
  </si>
  <si>
    <t>KYC00569</t>
  </si>
  <si>
    <t>KYC00570</t>
  </si>
  <si>
    <t>LN00362</t>
  </si>
  <si>
    <t>9632545938</t>
  </si>
  <si>
    <t>CUST00345</t>
  </si>
  <si>
    <t>BDWFA1048E</t>
  </si>
  <si>
    <t>244669366789</t>
  </si>
  <si>
    <t>KYC00571</t>
  </si>
  <si>
    <t>FSYLV3055J</t>
  </si>
  <si>
    <t>LN00363</t>
  </si>
  <si>
    <t>KYC00572</t>
  </si>
  <si>
    <t>CUST00335</t>
  </si>
  <si>
    <t>Deepak Mehta</t>
  </si>
  <si>
    <t>KYC00573</t>
  </si>
  <si>
    <t>9716523576</t>
  </si>
  <si>
    <t>deepak.mehta335@gmail.com</t>
  </si>
  <si>
    <t>VDYYN1069D</t>
  </si>
  <si>
    <t>327, FC Road</t>
  </si>
  <si>
    <t>377010074864</t>
  </si>
  <si>
    <t>BKVQS8281B</t>
  </si>
  <si>
    <t>372806253151</t>
  </si>
  <si>
    <t>KYC00574</t>
  </si>
  <si>
    <t>CUST00535</t>
  </si>
  <si>
    <t>MVMTA1316O</t>
  </si>
  <si>
    <t>KYC00575</t>
  </si>
  <si>
    <t>Asha Mishra</t>
  </si>
  <si>
    <t>CUST00099</t>
  </si>
  <si>
    <t>AMJPZ0758T</t>
  </si>
  <si>
    <t>255626666556</t>
  </si>
  <si>
    <t>9305887967</t>
  </si>
  <si>
    <t>asha.mishra28@gmail.com</t>
  </si>
  <si>
    <t>506, MG Road</t>
  </si>
  <si>
    <t>KYC00576</t>
  </si>
  <si>
    <t>OEGYY5089Q</t>
  </si>
  <si>
    <t>610922698282</t>
  </si>
  <si>
    <t>LN00364</t>
  </si>
  <si>
    <t>KYC00577</t>
  </si>
  <si>
    <t>CUST00273</t>
  </si>
  <si>
    <t>HETMT0432F</t>
  </si>
  <si>
    <t>Ravi Chatterjee</t>
  </si>
  <si>
    <t>889244176395</t>
  </si>
  <si>
    <t>ravi.chatterjee816@gmail.com</t>
  </si>
  <si>
    <t>KYC00578</t>
  </si>
  <si>
    <t>447, Church Street</t>
  </si>
  <si>
    <t>292944892728</t>
  </si>
  <si>
    <t>LN00365</t>
  </si>
  <si>
    <t>KYC00579</t>
  </si>
  <si>
    <t>CUST00925</t>
  </si>
  <si>
    <t>Lata Saxena</t>
  </si>
  <si>
    <t>IIRMA9905F</t>
  </si>
  <si>
    <t>075163209502</t>
  </si>
  <si>
    <t>LN00366</t>
  </si>
  <si>
    <t>9036764216</t>
  </si>
  <si>
    <t>lata.saxena925@yahoo.com</t>
  </si>
  <si>
    <t>176, Ring Road</t>
  </si>
  <si>
    <t>KYC00580</t>
  </si>
  <si>
    <t>HQWSS6119T</t>
  </si>
  <si>
    <t>CTCPJ5895V</t>
  </si>
  <si>
    <t>015997373923</t>
  </si>
  <si>
    <t>KYC00581</t>
  </si>
  <si>
    <t>LN00367</t>
  </si>
  <si>
    <t>CUST00451</t>
  </si>
  <si>
    <t>CUST01019</t>
  </si>
  <si>
    <t>OTCTO5786N</t>
  </si>
  <si>
    <t>Rakesh Sharma</t>
  </si>
  <si>
    <t>661125159506</t>
  </si>
  <si>
    <t>9189109342</t>
  </si>
  <si>
    <t>rakesh.sharma382@yahoo.com</t>
  </si>
  <si>
    <t>198, Park Street</t>
  </si>
  <si>
    <t>KYC00582</t>
  </si>
  <si>
    <t>IIADE1153A</t>
  </si>
  <si>
    <t>735291824222</t>
  </si>
  <si>
    <t>LN00368</t>
  </si>
  <si>
    <t>CUST00159</t>
  </si>
  <si>
    <t>KYC00583</t>
  </si>
  <si>
    <t>MSGHZ1740Q</t>
  </si>
  <si>
    <t>237103015725</t>
  </si>
  <si>
    <t>Naveen Khanna</t>
  </si>
  <si>
    <t>9141974672</t>
  </si>
  <si>
    <t>naveen.khanna5@yahoo.com</t>
  </si>
  <si>
    <t>KYC00584</t>
  </si>
  <si>
    <t>228, Park Street</t>
  </si>
  <si>
    <t>CUST00068</t>
  </si>
  <si>
    <t>LN00369</t>
  </si>
  <si>
    <t>884267357171</t>
  </si>
  <si>
    <t>KYC00585</t>
  </si>
  <si>
    <t>XBGZH8027V</t>
  </si>
  <si>
    <t>918623177771</t>
  </si>
  <si>
    <t>Ajay Singh</t>
  </si>
  <si>
    <t>9762018902</t>
  </si>
  <si>
    <t>KYC00586</t>
  </si>
  <si>
    <t>ajay.singh820@gmail.com</t>
  </si>
  <si>
    <t>125, Nehru Nagar</t>
  </si>
  <si>
    <t>LN00370</t>
  </si>
  <si>
    <t>KYC00587</t>
  </si>
  <si>
    <t>CUST00511</t>
  </si>
  <si>
    <t>Amit Desai</t>
  </si>
  <si>
    <t>LN00371</t>
  </si>
  <si>
    <t>KYC00588</t>
  </si>
  <si>
    <t>9012182374</t>
  </si>
  <si>
    <t>amit.desai511@gmail.com</t>
  </si>
  <si>
    <t>532, Church Street</t>
  </si>
  <si>
    <t>IPQFA6719O</t>
  </si>
  <si>
    <t>KYC00589</t>
  </si>
  <si>
    <t>494354106311</t>
  </si>
  <si>
    <t>FBOZN0767S</t>
  </si>
  <si>
    <t>482569647488</t>
  </si>
  <si>
    <t>LN00372</t>
  </si>
  <si>
    <t>KYC00590</t>
  </si>
  <si>
    <t>Pankaj Tiwari</t>
  </si>
  <si>
    <t>9532184678</t>
  </si>
  <si>
    <t>pankaj.tiwari448@gmail.com</t>
  </si>
  <si>
    <t>672, Park Street</t>
  </si>
  <si>
    <t>VRTRA3037U</t>
  </si>
  <si>
    <t>KYC00591</t>
  </si>
  <si>
    <t>618276874479</t>
  </si>
  <si>
    <t>LN00373</t>
  </si>
  <si>
    <t>KYC00592</t>
  </si>
  <si>
    <t>CUST00978</t>
  </si>
  <si>
    <t>VCDDF9642Q</t>
  </si>
  <si>
    <t>933869209191</t>
  </si>
  <si>
    <t>9430499580</t>
  </si>
  <si>
    <t>anand.singh981@gmail.com</t>
  </si>
  <si>
    <t>958, Nehru Nagar</t>
  </si>
  <si>
    <t>PIJYQ1351F</t>
  </si>
  <si>
    <t>198748299408</t>
  </si>
  <si>
    <t>KYC00593</t>
  </si>
  <si>
    <t>LN00374</t>
  </si>
  <si>
    <t>UWRGQ8684S</t>
  </si>
  <si>
    <t>600035952995</t>
  </si>
  <si>
    <t>Vijay Goel</t>
  </si>
  <si>
    <t>KYC00594</t>
  </si>
  <si>
    <t>9228476483</t>
  </si>
  <si>
    <t>vijay.goel779@gmail.com</t>
  </si>
  <si>
    <t>CUST00059</t>
  </si>
  <si>
    <t>464, Ring Road</t>
  </si>
  <si>
    <t>FHTUI7604X</t>
  </si>
  <si>
    <t>445307074755</t>
  </si>
  <si>
    <t>LN00375</t>
  </si>
  <si>
    <t>CUST00635</t>
  </si>
  <si>
    <t>KYC00595</t>
  </si>
  <si>
    <t>Sarita Chopra</t>
  </si>
  <si>
    <t>9832743817</t>
  </si>
  <si>
    <t>sarita.chopra339@gmail.com</t>
  </si>
  <si>
    <t>869, FC Road</t>
  </si>
  <si>
    <t>KYC00596</t>
  </si>
  <si>
    <t>LN00376</t>
  </si>
  <si>
    <t>JQICK5490V</t>
  </si>
  <si>
    <t>CUST00475</t>
  </si>
  <si>
    <t>Kirti Bose</t>
  </si>
  <si>
    <t>KYC00597</t>
  </si>
  <si>
    <t>9910096349</t>
  </si>
  <si>
    <t>kirti.bose659@gmail.com</t>
  </si>
  <si>
    <t>793, FC Road</t>
  </si>
  <si>
    <t>LN00377</t>
  </si>
  <si>
    <t>KYC00598</t>
  </si>
  <si>
    <t>JFKBZ4484W</t>
  </si>
  <si>
    <t>804823596048</t>
  </si>
  <si>
    <t>Rahul Khanna</t>
  </si>
  <si>
    <t>KYC00599</t>
  </si>
  <si>
    <t>CUST00880</t>
  </si>
  <si>
    <t>JPVFI3782V</t>
  </si>
  <si>
    <t>9485741796</t>
  </si>
  <si>
    <t>219443819403</t>
  </si>
  <si>
    <t>rahul.khanna282@gmail.com</t>
  </si>
  <si>
    <t>LN00378</t>
  </si>
  <si>
    <t>429, MG Road</t>
  </si>
  <si>
    <t>KYC00600</t>
  </si>
  <si>
    <t>ECNMB9812L</t>
  </si>
  <si>
    <t>LN00379</t>
  </si>
  <si>
    <t>746955620103</t>
  </si>
  <si>
    <t>CUST00532</t>
  </si>
  <si>
    <t>Divya Saxena</t>
  </si>
  <si>
    <t>KYC00601</t>
  </si>
  <si>
    <t>9811667101</t>
  </si>
  <si>
    <t>divya.saxena934@yahoo.com</t>
  </si>
  <si>
    <t>878, Nehru Nagar</t>
  </si>
  <si>
    <t>LN00380</t>
  </si>
  <si>
    <t>KYC00602</t>
  </si>
  <si>
    <t>CUST00056</t>
  </si>
  <si>
    <t>ZWMJO1486R</t>
  </si>
  <si>
    <t>470021381099</t>
  </si>
  <si>
    <t>CUST00435</t>
  </si>
  <si>
    <t>Varun Bhatt</t>
  </si>
  <si>
    <t>KYC00603</t>
  </si>
  <si>
    <t>9993853114</t>
  </si>
  <si>
    <t>varun.bhatt435@gmail.com</t>
  </si>
  <si>
    <t>347, Nehru Nagar</t>
  </si>
  <si>
    <t>SMKBI4652B</t>
  </si>
  <si>
    <t>LN00381</t>
  </si>
  <si>
    <t>306693041582</t>
  </si>
  <si>
    <t>MXIWA2179E</t>
  </si>
  <si>
    <t>300073739315</t>
  </si>
  <si>
    <t>KYC00604</t>
  </si>
  <si>
    <t>Anjali Desai</t>
  </si>
  <si>
    <t>LN00382</t>
  </si>
  <si>
    <t>KYC00605</t>
  </si>
  <si>
    <t>9023833147</t>
  </si>
  <si>
    <t>anjali.desai530@gmail.com</t>
  </si>
  <si>
    <t>822, Nehru Nagar</t>
  </si>
  <si>
    <t>KYC00606</t>
  </si>
  <si>
    <t>LN00383</t>
  </si>
  <si>
    <t>QCAVR6388J</t>
  </si>
  <si>
    <t>176049420293</t>
  </si>
  <si>
    <t>KYC00607</t>
  </si>
  <si>
    <t>Shreya Desai</t>
  </si>
  <si>
    <t>CUST00043</t>
  </si>
  <si>
    <t>ZETAS9278B</t>
  </si>
  <si>
    <t>876132143455</t>
  </si>
  <si>
    <t>9553619646</t>
  </si>
  <si>
    <t>shreya.desai78@gmail.com</t>
  </si>
  <si>
    <t>628, FC Road</t>
  </si>
  <si>
    <t>KYC00608</t>
  </si>
  <si>
    <t>LN00384</t>
  </si>
  <si>
    <t>ECXRR6750M</t>
  </si>
  <si>
    <t>APRLI1727G</t>
  </si>
  <si>
    <t>649884992250</t>
  </si>
  <si>
    <t>405559237909</t>
  </si>
  <si>
    <t>KYC00609</t>
  </si>
  <si>
    <t>759256122112</t>
  </si>
  <si>
    <t>Rahul Gputa</t>
  </si>
  <si>
    <t>LN00385</t>
  </si>
  <si>
    <t>KYC00610</t>
  </si>
  <si>
    <t>9550897032</t>
  </si>
  <si>
    <t>rahul.gupta879@gmail.com</t>
  </si>
  <si>
    <t>CUST00379</t>
  </si>
  <si>
    <t>571, Nehru Nagar</t>
  </si>
  <si>
    <t>GAERI4758M</t>
  </si>
  <si>
    <t>324070851124</t>
  </si>
  <si>
    <t>QOWLQ7758J</t>
  </si>
  <si>
    <t>038915014941</t>
  </si>
  <si>
    <t>KYC00611</t>
  </si>
  <si>
    <t>LN00386</t>
  </si>
  <si>
    <t>TFCND1473D</t>
  </si>
  <si>
    <t>727590788394</t>
  </si>
  <si>
    <t>Prakash Rao</t>
  </si>
  <si>
    <t>KYC00612</t>
  </si>
  <si>
    <t>9598560425</t>
  </si>
  <si>
    <t>prakash.rao415@gmail.com</t>
  </si>
  <si>
    <t>NZBHW5156O</t>
  </si>
  <si>
    <t>595, FC Road</t>
  </si>
  <si>
    <t>675633181555</t>
  </si>
  <si>
    <t>LN00387</t>
  </si>
  <si>
    <t>KYC00613</t>
  </si>
  <si>
    <t>DFZTA8421G</t>
  </si>
  <si>
    <t>746275714989</t>
  </si>
  <si>
    <t>CUST01020</t>
  </si>
  <si>
    <t>9605089008</t>
  </si>
  <si>
    <t>KYC00614</t>
  </si>
  <si>
    <t>LN00388</t>
  </si>
  <si>
    <t>YMGZJ5795P</t>
  </si>
  <si>
    <t>074733665585</t>
  </si>
  <si>
    <t>KYC00615</t>
  </si>
  <si>
    <t>CUST00226</t>
  </si>
  <si>
    <t>817914670131</t>
  </si>
  <si>
    <t>Manisah Chauhan</t>
  </si>
  <si>
    <t>LN00389</t>
  </si>
  <si>
    <t>KYC00616</t>
  </si>
  <si>
    <t>9791036306</t>
  </si>
  <si>
    <t>manisha.chauhan131@gmail.com</t>
  </si>
  <si>
    <t>242, Nehru Nagar</t>
  </si>
  <si>
    <t>KYC00617</t>
  </si>
  <si>
    <t>IEVVR6345L</t>
  </si>
  <si>
    <t>434270102765</t>
  </si>
  <si>
    <t>LN00390</t>
  </si>
  <si>
    <t>Shalini Rao</t>
  </si>
  <si>
    <t>9086829041</t>
  </si>
  <si>
    <t>KYC00618</t>
  </si>
  <si>
    <t>shalini.rao92@gmail.com</t>
  </si>
  <si>
    <t>CUST00762</t>
  </si>
  <si>
    <t>990, Ring Road</t>
  </si>
  <si>
    <t>JASWI3593N</t>
  </si>
  <si>
    <t>624613334117</t>
  </si>
  <si>
    <t>KYC00619</t>
  </si>
  <si>
    <t>LN00391</t>
  </si>
  <si>
    <t>CUST00063</t>
  </si>
  <si>
    <t>Deepa Pandey</t>
  </si>
  <si>
    <t>SFRAK1567K</t>
  </si>
  <si>
    <t>856274678934</t>
  </si>
  <si>
    <t>9338511060</t>
  </si>
  <si>
    <t>KYC00620</t>
  </si>
  <si>
    <t>deepa.pandey910@gmail.com</t>
  </si>
  <si>
    <t>432, FC Road</t>
  </si>
  <si>
    <t>OBCFR5084E</t>
  </si>
  <si>
    <t>630636545240</t>
  </si>
  <si>
    <t>LN00392</t>
  </si>
  <si>
    <t>KYC00621</t>
  </si>
  <si>
    <t>SKYRW6003S</t>
  </si>
  <si>
    <t>CUST00871</t>
  </si>
  <si>
    <t>277430861286</t>
  </si>
  <si>
    <t>Sandeep Trivedi</t>
  </si>
  <si>
    <t>KYC00622</t>
  </si>
  <si>
    <t>LN00393</t>
  </si>
  <si>
    <t>9051401286</t>
  </si>
  <si>
    <t>sandeep.trivedi871@gmail.com</t>
  </si>
  <si>
    <t>LCHED1345T</t>
  </si>
  <si>
    <t>797, Ring Road</t>
  </si>
  <si>
    <t>932146490213</t>
  </si>
  <si>
    <t>KQDDP6836X</t>
  </si>
  <si>
    <t>KYC00623</t>
  </si>
  <si>
    <t>CUST01003</t>
  </si>
  <si>
    <t>Aarti Iyer</t>
  </si>
  <si>
    <t>KYC00624</t>
  </si>
  <si>
    <t>9520673075</t>
  </si>
  <si>
    <t>aarti.iyer179@gmail.com</t>
  </si>
  <si>
    <t>535, Church Street</t>
  </si>
  <si>
    <t>KYC00625</t>
  </si>
  <si>
    <t>RVSUO8187M</t>
  </si>
  <si>
    <t>641193999827</t>
  </si>
  <si>
    <t>041865342800</t>
  </si>
  <si>
    <t>KYC00626</t>
  </si>
  <si>
    <t>CUST00216</t>
  </si>
  <si>
    <t>HTTXX1322T</t>
  </si>
  <si>
    <t>CUST00295</t>
  </si>
  <si>
    <t>408070444055</t>
  </si>
  <si>
    <t>Manisha Rane</t>
  </si>
  <si>
    <t>9385359448</t>
  </si>
  <si>
    <t>KYC00627</t>
  </si>
  <si>
    <t>manisha.rane295@gmail.com</t>
  </si>
  <si>
    <t>CUST00810</t>
  </si>
  <si>
    <t>452, Nehru Nagar</t>
  </si>
  <si>
    <t>IXHDV2402M</t>
  </si>
  <si>
    <t>WWBUJ2629D</t>
  </si>
  <si>
    <t>691703783822</t>
  </si>
  <si>
    <t>888780030265</t>
  </si>
  <si>
    <t>LN00394</t>
  </si>
  <si>
    <t>KYC00628</t>
  </si>
  <si>
    <t>KAENO5315G</t>
  </si>
  <si>
    <t>Vandana Joshi</t>
  </si>
  <si>
    <t>572434237688</t>
  </si>
  <si>
    <t>9164857989</t>
  </si>
  <si>
    <t>vandana.joshi817@gmail.com</t>
  </si>
  <si>
    <t>206, Ring Road</t>
  </si>
  <si>
    <t>KYC00629</t>
  </si>
  <si>
    <t>CUST00847</t>
  </si>
  <si>
    <t>AMCYC4951E</t>
  </si>
  <si>
    <t>LN00395</t>
  </si>
  <si>
    <t>KYC00630</t>
  </si>
  <si>
    <t>FKUSM1013I</t>
  </si>
  <si>
    <t>Gaurav Goel</t>
  </si>
  <si>
    <t>753906564213</t>
  </si>
  <si>
    <t>0207246560</t>
  </si>
  <si>
    <t>gaurav.goel958@gmail.com</t>
  </si>
  <si>
    <t>245, MG Road</t>
  </si>
  <si>
    <t>LN00396</t>
  </si>
  <si>
    <t>KYC00631</t>
  </si>
  <si>
    <t>CUST00643</t>
  </si>
  <si>
    <t>Vivek Kulkarni</t>
  </si>
  <si>
    <t>KYC00632</t>
  </si>
  <si>
    <t>CYRZS8928Z</t>
  </si>
  <si>
    <t>9960397431</t>
  </si>
  <si>
    <t>LN00397</t>
  </si>
  <si>
    <t>vivek.kulkarni789@gmail.com</t>
  </si>
  <si>
    <t>802, Nehru Nagar</t>
  </si>
  <si>
    <t>CUST00895</t>
  </si>
  <si>
    <t>KYC00633</t>
  </si>
  <si>
    <t>LN00398</t>
  </si>
  <si>
    <t>KYC00634</t>
  </si>
  <si>
    <t>BMRYO9833B</t>
  </si>
  <si>
    <t>171964434191</t>
  </si>
  <si>
    <t>KYC00635</t>
  </si>
  <si>
    <t>LN00399</t>
  </si>
  <si>
    <t>VXUVA2695N</t>
  </si>
  <si>
    <t>266001265266</t>
  </si>
  <si>
    <t>Anil Pillai</t>
  </si>
  <si>
    <t>9997790287</t>
  </si>
  <si>
    <t>KYC00636</t>
  </si>
  <si>
    <t>anil.pillai142@gmail.com</t>
  </si>
  <si>
    <t>670, Church Street</t>
  </si>
  <si>
    <t>FHTFY3541K</t>
  </si>
  <si>
    <t>443231884505</t>
  </si>
  <si>
    <t>LN00400</t>
  </si>
  <si>
    <t>KYC00637</t>
  </si>
  <si>
    <t>TNAPZ0319N</t>
  </si>
  <si>
    <t>030958916123</t>
  </si>
  <si>
    <t>Pankaj Naidu</t>
  </si>
  <si>
    <t>LN00401</t>
  </si>
  <si>
    <t>KYC00638</t>
  </si>
  <si>
    <t>CUST00181</t>
  </si>
  <si>
    <t>9827630384</t>
  </si>
  <si>
    <t>pankaj.naidu588@yahoo.com</t>
  </si>
  <si>
    <t>642, Ring Road</t>
  </si>
  <si>
    <t>KYC00639</t>
  </si>
  <si>
    <t>KYC00640</t>
  </si>
  <si>
    <t>CUST00397</t>
  </si>
  <si>
    <t>YDQTB7768W</t>
  </si>
  <si>
    <t>CUST00563</t>
  </si>
  <si>
    <t>903055398406</t>
  </si>
  <si>
    <t>Priya Menon</t>
  </si>
  <si>
    <t>KYC00641</t>
  </si>
  <si>
    <t>9384741237</t>
  </si>
  <si>
    <t>CUST00214</t>
  </si>
  <si>
    <t>priya.menon563@yahoo.com</t>
  </si>
  <si>
    <t>QLUCW7577J</t>
  </si>
  <si>
    <t>494, Park Street</t>
  </si>
  <si>
    <t>397206084222</t>
  </si>
  <si>
    <t>TCCEV0778K</t>
  </si>
  <si>
    <t>337777690733</t>
  </si>
  <si>
    <t>KYC00642</t>
  </si>
  <si>
    <t>LN00402</t>
  </si>
  <si>
    <t>KYC00643</t>
  </si>
  <si>
    <t>9867347268</t>
  </si>
  <si>
    <t>KYC00644</t>
  </si>
  <si>
    <t>LN00403</t>
  </si>
  <si>
    <t>SBEDS7161Y</t>
  </si>
  <si>
    <t>CUST00516</t>
  </si>
  <si>
    <t>347714985746</t>
  </si>
  <si>
    <t>KYC00645</t>
  </si>
  <si>
    <t>Divya Patel</t>
  </si>
  <si>
    <t>9157133686</t>
  </si>
  <si>
    <t>LN00404</t>
  </si>
  <si>
    <t>divya.patel26@gmail.com</t>
  </si>
  <si>
    <t>795, Ring Road</t>
  </si>
  <si>
    <t>KYC00646</t>
  </si>
  <si>
    <t>VQNVL5316L</t>
  </si>
  <si>
    <t>407477564186</t>
  </si>
  <si>
    <t>Sandeep Patel</t>
  </si>
  <si>
    <t>KYC00647</t>
  </si>
  <si>
    <t>LN00405</t>
  </si>
  <si>
    <t>CUST00040</t>
  </si>
  <si>
    <t>CDENV2334O</t>
  </si>
  <si>
    <t>9836621096</t>
  </si>
  <si>
    <t>sandeep.patel60@gmail.com</t>
  </si>
  <si>
    <t>926868703500</t>
  </si>
  <si>
    <t>247, MG Road</t>
  </si>
  <si>
    <t>AUTAX6602U</t>
  </si>
  <si>
    <t>396433246831</t>
  </si>
  <si>
    <t>KYC00648</t>
  </si>
  <si>
    <t>JJHJZ8074Z</t>
  </si>
  <si>
    <t>828948150248</t>
  </si>
  <si>
    <t>LN00406</t>
  </si>
  <si>
    <t>KYC00649</t>
  </si>
  <si>
    <t>Nidhi Chopra</t>
  </si>
  <si>
    <t>9570987019</t>
  </si>
  <si>
    <t>nidhi.chopra984@yahoo.com</t>
  </si>
  <si>
    <t>154, Nehru Nagar</t>
  </si>
  <si>
    <t>LN00407</t>
  </si>
  <si>
    <t>CUST00861</t>
  </si>
  <si>
    <t>KYC00650</t>
  </si>
  <si>
    <t>CUST00577</t>
  </si>
  <si>
    <t>649594895899</t>
  </si>
  <si>
    <t>KYC00651</t>
  </si>
  <si>
    <t>LN00408</t>
  </si>
  <si>
    <t>Anita Khanna</t>
  </si>
  <si>
    <t>KYC00652</t>
  </si>
  <si>
    <t>CUST00590</t>
  </si>
  <si>
    <t>9889688407</t>
  </si>
  <si>
    <t>KFMJC9387E</t>
  </si>
  <si>
    <t>anita.khanna882@gmail.com</t>
  </si>
  <si>
    <t>019544030360</t>
  </si>
  <si>
    <t>450, MG Road</t>
  </si>
  <si>
    <t>PMRIU8488X</t>
  </si>
  <si>
    <t>413053089578</t>
  </si>
  <si>
    <t>KYC00653</t>
  </si>
  <si>
    <t>LN00409</t>
  </si>
  <si>
    <t>EJLQW081</t>
  </si>
  <si>
    <t>864481179819</t>
  </si>
  <si>
    <t>Sarita Arora</t>
  </si>
  <si>
    <t>KYC00654</t>
  </si>
  <si>
    <t>8757368734</t>
  </si>
  <si>
    <t>sarita.arora970@gmail.com</t>
  </si>
  <si>
    <t>53, MG Road</t>
  </si>
  <si>
    <t>XSGDI6601I</t>
  </si>
  <si>
    <t>555276996566</t>
  </si>
  <si>
    <t>KYC00655</t>
  </si>
  <si>
    <t>JRJZH7366T</t>
  </si>
  <si>
    <t>275343888367</t>
  </si>
  <si>
    <t>LN00410</t>
  </si>
  <si>
    <t>KYC00656</t>
  </si>
  <si>
    <t>UVMOK7594U</t>
  </si>
  <si>
    <t>076797431875</t>
  </si>
  <si>
    <t>9421352864</t>
  </si>
  <si>
    <t>ajay.chowdhury424@gmail.com</t>
  </si>
  <si>
    <t>275, Park Street</t>
  </si>
  <si>
    <t>KYC00657</t>
  </si>
  <si>
    <t>LN00411</t>
  </si>
  <si>
    <t>KYC00658</t>
  </si>
  <si>
    <t>CUST00622</t>
  </si>
  <si>
    <t>LGPNX2401O</t>
  </si>
  <si>
    <t>Sandeep Bhatt</t>
  </si>
  <si>
    <t>KYC00659</t>
  </si>
  <si>
    <t>9916732464</t>
  </si>
  <si>
    <t>sandeep.bhatt427@gmail.com</t>
  </si>
  <si>
    <t>615, MG Road</t>
  </si>
  <si>
    <t>LN00412</t>
  </si>
  <si>
    <t>KYC00660</t>
  </si>
  <si>
    <t>Geeta Rao</t>
  </si>
  <si>
    <t>9924522125</t>
  </si>
  <si>
    <t>geeta.rao746@gmail.com</t>
  </si>
  <si>
    <t>LN00413</t>
  </si>
  <si>
    <t>903, FC Road</t>
  </si>
  <si>
    <t>KYC00661</t>
  </si>
  <si>
    <t>BAWEZ3187L</t>
  </si>
  <si>
    <t>927856341493</t>
  </si>
  <si>
    <t>Jyoti Desai</t>
  </si>
  <si>
    <t>KYC00662</t>
  </si>
  <si>
    <t>UZWAH6671R</t>
  </si>
  <si>
    <t>9181535821</t>
  </si>
  <si>
    <t>LN00414</t>
  </si>
  <si>
    <t>948247482859</t>
  </si>
  <si>
    <t>jyoti.desai169@yahoo.com</t>
  </si>
  <si>
    <t>670, Park Street</t>
  </si>
  <si>
    <t>XEFYG0509M</t>
  </si>
  <si>
    <t>003979533316</t>
  </si>
  <si>
    <t>KYC00663</t>
  </si>
  <si>
    <t>CUST00939</t>
  </si>
  <si>
    <t>QVUWE7334J</t>
  </si>
  <si>
    <t>799238752050</t>
  </si>
  <si>
    <t>KYC00664</t>
  </si>
  <si>
    <t>IEOOP7897U</t>
  </si>
  <si>
    <t>656252167258</t>
  </si>
  <si>
    <t>LN00415</t>
  </si>
  <si>
    <t>Ashok Bhatt</t>
  </si>
  <si>
    <t>KYC00665</t>
  </si>
  <si>
    <t>CGVQO7606F</t>
  </si>
  <si>
    <t>9414449081</t>
  </si>
  <si>
    <t>716823651422</t>
  </si>
  <si>
    <t>ashok.bhatt832@gmail.com</t>
  </si>
  <si>
    <t>955, Ring Road</t>
  </si>
  <si>
    <t>KYC00666</t>
  </si>
  <si>
    <t>IFBAI2222V</t>
  </si>
  <si>
    <t>178019434276</t>
  </si>
  <si>
    <t>LN00416</t>
  </si>
  <si>
    <t>KYC00667</t>
  </si>
  <si>
    <t>Meera Mishra</t>
  </si>
  <si>
    <t>FPCKZ3200W</t>
  </si>
  <si>
    <t>318800461223</t>
  </si>
  <si>
    <t>meera.mishra446@gmail.com</t>
  </si>
  <si>
    <t>781, MG Road</t>
  </si>
  <si>
    <t>JWFUA6318H</t>
  </si>
  <si>
    <t>KYC00668</t>
  </si>
  <si>
    <t>166376918572</t>
  </si>
  <si>
    <t>IMFLL4121Z</t>
  </si>
  <si>
    <t>LN00417</t>
  </si>
  <si>
    <t>871672792973</t>
  </si>
  <si>
    <t>Jyoti Saxena</t>
  </si>
  <si>
    <t>9058588054</t>
  </si>
  <si>
    <t>KYC00669</t>
  </si>
  <si>
    <t>jyoti.saxena451@gmail.com</t>
  </si>
  <si>
    <t>586, MG Road</t>
  </si>
  <si>
    <t>CUST00049</t>
  </si>
  <si>
    <t>414559991853</t>
  </si>
  <si>
    <t>CUST00381</t>
  </si>
  <si>
    <t>KYC00670</t>
  </si>
  <si>
    <t>Rakesh Chopra</t>
  </si>
  <si>
    <t>YDBYP9979O</t>
  </si>
  <si>
    <t>9416324663</t>
  </si>
  <si>
    <t>770303393626</t>
  </si>
  <si>
    <t>rakesh.chopra381@gmail.com</t>
  </si>
  <si>
    <t>836, MG Road</t>
  </si>
  <si>
    <t>OCPTF4171W</t>
  </si>
  <si>
    <t>KYC00671</t>
  </si>
  <si>
    <t>158262780874</t>
  </si>
  <si>
    <t>Mahesh Chauhan</t>
  </si>
  <si>
    <t>9153056538</t>
  </si>
  <si>
    <t>KYC00672</t>
  </si>
  <si>
    <t>mahesh.chauhan184@gmail.com</t>
  </si>
  <si>
    <t>XSWOL6675O</t>
  </si>
  <si>
    <t>KYC00673</t>
  </si>
  <si>
    <t>CUST00886</t>
  </si>
  <si>
    <t>FZECM3541R</t>
  </si>
  <si>
    <t>100028127447</t>
  </si>
  <si>
    <t>KYC00674</t>
  </si>
  <si>
    <t>CUST00523</t>
  </si>
  <si>
    <t>521416049120</t>
  </si>
  <si>
    <t>KYC00675</t>
  </si>
  <si>
    <t>CUST00030</t>
  </si>
  <si>
    <t>263778913534</t>
  </si>
  <si>
    <t>KYC00676</t>
  </si>
  <si>
    <t>BFENP6869X</t>
  </si>
  <si>
    <t>975084279242</t>
  </si>
  <si>
    <t>KYC00677</t>
  </si>
  <si>
    <t>EFQYP3607U</t>
  </si>
  <si>
    <t>079756531158</t>
  </si>
  <si>
    <t>KYC00678</t>
  </si>
  <si>
    <t>UDJXZ9120U</t>
  </si>
  <si>
    <t>455712717305</t>
  </si>
  <si>
    <t>KYC00679</t>
  </si>
  <si>
    <t>CUST00580</t>
  </si>
  <si>
    <t>WAVIT6107A</t>
  </si>
  <si>
    <t>453700866111</t>
  </si>
  <si>
    <t>KYC00680</t>
  </si>
  <si>
    <t>CUST00418</t>
  </si>
  <si>
    <t>WGZUQ3529O</t>
  </si>
  <si>
    <t>KYC00681</t>
  </si>
  <si>
    <t>CUST00303</t>
  </si>
  <si>
    <t>EVYXV8413B</t>
  </si>
  <si>
    <t>218002419600</t>
  </si>
  <si>
    <t>KYC00682</t>
  </si>
  <si>
    <t>VXPCD4574B</t>
  </si>
  <si>
    <t>457377191429</t>
  </si>
  <si>
    <t>KYC00683</t>
  </si>
  <si>
    <t>EAPFF9576B</t>
  </si>
  <si>
    <t>594994442474</t>
  </si>
  <si>
    <t>KYC00684</t>
  </si>
  <si>
    <t>KYC00685</t>
  </si>
  <si>
    <t>Rahul Trivedi</t>
  </si>
  <si>
    <t>OETPE8199B</t>
  </si>
  <si>
    <t>715861885184</t>
  </si>
  <si>
    <t>LN00418</t>
  </si>
  <si>
    <t>9558517365</t>
  </si>
  <si>
    <t>KYC00686</t>
  </si>
  <si>
    <t>rahul.trivedi152@gmail.com</t>
  </si>
  <si>
    <t>554, Park Street</t>
  </si>
  <si>
    <t>KYC00687</t>
  </si>
  <si>
    <t>LEVCC3660C</t>
  </si>
  <si>
    <t>LN00419</t>
  </si>
  <si>
    <t>KYC00688</t>
  </si>
  <si>
    <t>Rekha Bose</t>
  </si>
  <si>
    <t>LXQHI6761C</t>
  </si>
  <si>
    <t>188897193526</t>
  </si>
  <si>
    <t>9726303659</t>
  </si>
  <si>
    <t>71, Park Street</t>
  </si>
  <si>
    <t>LN00420</t>
  </si>
  <si>
    <t>KYC00689</t>
  </si>
  <si>
    <t>KYC00690</t>
  </si>
  <si>
    <t>LN00421</t>
  </si>
  <si>
    <t>CUST00174</t>
  </si>
  <si>
    <t>Abhishek Ghosh</t>
  </si>
  <si>
    <t>9257122275</t>
  </si>
  <si>
    <t>abhishek.ghosh159@gmail.com</t>
  </si>
  <si>
    <t>475, Church Street</t>
  </si>
  <si>
    <t>STGTY8856P</t>
  </si>
  <si>
    <t>KYC00691</t>
  </si>
  <si>
    <t>968520859433</t>
  </si>
  <si>
    <t>CUST00008</t>
  </si>
  <si>
    <t>LN00422</t>
  </si>
  <si>
    <t>QHCHH3512S</t>
  </si>
  <si>
    <t>704542495687</t>
  </si>
  <si>
    <t>KYC00692</t>
  </si>
  <si>
    <t>Amit Yadav</t>
  </si>
  <si>
    <t>WIWHP8680P</t>
  </si>
  <si>
    <t>237671546095</t>
  </si>
  <si>
    <t>9535527281</t>
  </si>
  <si>
    <t>LN00423</t>
  </si>
  <si>
    <t>amit.yadav765@yahoo.com</t>
  </si>
  <si>
    <t>728, Ring Road</t>
  </si>
  <si>
    <t>KYC00693</t>
  </si>
  <si>
    <t>SZEER6829S</t>
  </si>
  <si>
    <t>968299299841</t>
  </si>
  <si>
    <t>KYC00694</t>
  </si>
  <si>
    <t>IFOYB3977R</t>
  </si>
  <si>
    <t>LN00424</t>
  </si>
  <si>
    <t>794222135195</t>
  </si>
  <si>
    <t>CUST00936</t>
  </si>
  <si>
    <t>Asha Chatterjee</t>
  </si>
  <si>
    <t>KYC00695</t>
  </si>
  <si>
    <t>asha.chatterjee756@yahoo.com</t>
  </si>
  <si>
    <t>72, Nehru Nagar</t>
  </si>
  <si>
    <t>KYC00696</t>
  </si>
  <si>
    <t>LN00425</t>
  </si>
  <si>
    <t>WZEWF1851F</t>
  </si>
  <si>
    <t>302371963221</t>
  </si>
  <si>
    <t>KYC00697</t>
  </si>
  <si>
    <t>FRQIY5930J</t>
  </si>
  <si>
    <t>CUST00364</t>
  </si>
  <si>
    <t>403675713567</t>
  </si>
  <si>
    <t>Swati Kumar</t>
  </si>
  <si>
    <t>LN00426</t>
  </si>
  <si>
    <t>KYC00698</t>
  </si>
  <si>
    <t>9153058641</t>
  </si>
  <si>
    <t>CUST00567</t>
  </si>
  <si>
    <t>swati.kumar364@yahoo.com</t>
  </si>
  <si>
    <t>287, Nehru Nagar</t>
  </si>
  <si>
    <t>395419235265</t>
  </si>
  <si>
    <t>002379046070</t>
  </si>
  <si>
    <t>KYC00699</t>
  </si>
  <si>
    <t>LN00427</t>
  </si>
  <si>
    <t>KYC00700</t>
  </si>
  <si>
    <t>Pankaj Sharma</t>
  </si>
  <si>
    <t>9648164315</t>
  </si>
  <si>
    <t>pankaj.sharma323@gmail.com</t>
  </si>
  <si>
    <t>LN00428</t>
  </si>
  <si>
    <t>129, Nehru Nagar</t>
  </si>
  <si>
    <t>KYC00701</t>
  </si>
  <si>
    <t>KYC00702</t>
  </si>
  <si>
    <t>CUST00780</t>
  </si>
  <si>
    <t>ETXJH2318K</t>
  </si>
  <si>
    <t>LN00429</t>
  </si>
  <si>
    <t>619813959977</t>
  </si>
  <si>
    <t>Anand Rao</t>
  </si>
  <si>
    <t>KYC00703</t>
  </si>
  <si>
    <t>CUST00653</t>
  </si>
  <si>
    <t>CRAMQ8732M</t>
  </si>
  <si>
    <t>842159887748</t>
  </si>
  <si>
    <t>9372202371</t>
  </si>
  <si>
    <t>anand.rao41@yahoo.com</t>
  </si>
  <si>
    <t>456, FC Road</t>
  </si>
  <si>
    <t>KYC00704</t>
  </si>
  <si>
    <t>LN00430</t>
  </si>
  <si>
    <t>BDTKZ9313N</t>
  </si>
  <si>
    <t>784309776166</t>
  </si>
  <si>
    <t>KYC00705</t>
  </si>
  <si>
    <t>RXQVN6932O</t>
  </si>
  <si>
    <t>800408969353</t>
  </si>
  <si>
    <t>KYC00706</t>
  </si>
  <si>
    <t>LN00431</t>
  </si>
  <si>
    <t>Kirti Nair</t>
  </si>
  <si>
    <t>KYC00707</t>
  </si>
  <si>
    <t>9797745074</t>
  </si>
  <si>
    <t>CUST00856</t>
  </si>
  <si>
    <t>kirti.nair200@yahoo.com</t>
  </si>
  <si>
    <t>EHZCS5490T</t>
  </si>
  <si>
    <t>86, MG Road</t>
  </si>
  <si>
    <t>VPDTU1633N</t>
  </si>
  <si>
    <t>LN00432</t>
  </si>
  <si>
    <t>0222642095</t>
  </si>
  <si>
    <t>KYC00708</t>
  </si>
  <si>
    <t>CUST00376</t>
  </si>
  <si>
    <t>HCLVB0801X</t>
  </si>
  <si>
    <t>KYC00709</t>
  </si>
  <si>
    <t>Rohan Kapoor</t>
  </si>
  <si>
    <t>LN00433</t>
  </si>
  <si>
    <t>9674135595</t>
  </si>
  <si>
    <t>rohan.kapoor87@yahoo.com</t>
  </si>
  <si>
    <t>92, MG Road</t>
  </si>
  <si>
    <t>KYC00710</t>
  </si>
  <si>
    <t>UBNWJ6123C</t>
  </si>
  <si>
    <t>479539928162</t>
  </si>
  <si>
    <t>KYC00711</t>
  </si>
  <si>
    <t>LN00434</t>
  </si>
  <si>
    <t>XUIRN4556J</t>
  </si>
  <si>
    <t>306406902049</t>
  </si>
  <si>
    <t>Gaurav Pandey</t>
  </si>
  <si>
    <t>KYC00712</t>
  </si>
  <si>
    <t>9284860415</t>
  </si>
  <si>
    <t>gaurav.pandey669@gmail.com</t>
  </si>
  <si>
    <t>768, MG Road</t>
  </si>
  <si>
    <t>LN00435</t>
  </si>
  <si>
    <t>KYC00713</t>
  </si>
  <si>
    <t>CUST00831</t>
  </si>
  <si>
    <t>AUPZT9246I</t>
  </si>
  <si>
    <t>329105438435</t>
  </si>
  <si>
    <t>KYC00714</t>
  </si>
  <si>
    <t>Namrata Agarwal</t>
  </si>
  <si>
    <t>FXUQW4103L</t>
  </si>
  <si>
    <t>420363332185</t>
  </si>
  <si>
    <t>LN00436</t>
  </si>
  <si>
    <t>CUST00648</t>
  </si>
  <si>
    <t>9437057978</t>
  </si>
  <si>
    <t>namrata.agarwal481@gmail.com</t>
  </si>
  <si>
    <t>54, Ring Road</t>
  </si>
  <si>
    <t>KYC00715</t>
  </si>
  <si>
    <t>CUST00128</t>
  </si>
  <si>
    <t>LN00437</t>
  </si>
  <si>
    <t>CUST00124</t>
  </si>
  <si>
    <t>KYC00716</t>
  </si>
  <si>
    <t>UDXHM9795T</t>
  </si>
  <si>
    <t>203718827404</t>
  </si>
  <si>
    <t>Sunita Trivedi</t>
  </si>
  <si>
    <t>KYC00717</t>
  </si>
  <si>
    <t>9844891145</t>
  </si>
  <si>
    <t>LN00438</t>
  </si>
  <si>
    <t>sunita.trivedi943@gmail.com</t>
  </si>
  <si>
    <t>199, Ring Road</t>
  </si>
  <si>
    <t>KYC00718</t>
  </si>
  <si>
    <t>LN00439</t>
  </si>
  <si>
    <t>KYC00719</t>
  </si>
  <si>
    <t>Sneha Naidu</t>
  </si>
  <si>
    <t>KYC00720</t>
  </si>
  <si>
    <t>sneha.naidu812@gmail.com</t>
  </si>
  <si>
    <t>784, Church Street</t>
  </si>
  <si>
    <t>XMJMP2383V</t>
  </si>
  <si>
    <t>LN00440</t>
  </si>
  <si>
    <t>292249697844</t>
  </si>
  <si>
    <t>KYC00721</t>
  </si>
  <si>
    <t>PPNWW0990O</t>
  </si>
  <si>
    <t>912045674421</t>
  </si>
  <si>
    <t>KYC00722</t>
  </si>
  <si>
    <t>LN00441</t>
  </si>
  <si>
    <t>Swati Pandey</t>
  </si>
  <si>
    <t>KYC00723</t>
  </si>
  <si>
    <t>CUST00667</t>
  </si>
  <si>
    <t>RVYEA1345U</t>
  </si>
  <si>
    <t>9432683474</t>
  </si>
  <si>
    <t>swati.pandey164@gmail.com</t>
  </si>
  <si>
    <t>836, Park Street</t>
  </si>
  <si>
    <t>KYC00724</t>
  </si>
  <si>
    <t>LN00442</t>
  </si>
  <si>
    <t>KYC00725</t>
  </si>
  <si>
    <t>KYC00726</t>
  </si>
  <si>
    <t>RHRGG7989K</t>
  </si>
  <si>
    <t>LN00443</t>
  </si>
  <si>
    <t>728595127667</t>
  </si>
  <si>
    <t>9837544561</t>
  </si>
  <si>
    <t>karan.verma274@gmail.com</t>
  </si>
  <si>
    <t>423, Church Street</t>
  </si>
  <si>
    <t>KYC00727</t>
  </si>
  <si>
    <t>KYC00728</t>
  </si>
  <si>
    <t>VMRZB2186K</t>
  </si>
  <si>
    <t>CUST00524</t>
  </si>
  <si>
    <t>541023268852</t>
  </si>
  <si>
    <t>LN00444</t>
  </si>
  <si>
    <t>Archana Mishra</t>
  </si>
  <si>
    <t>KYC00729</t>
  </si>
  <si>
    <t>archana.mishra524@yahoo.com</t>
  </si>
  <si>
    <t>102, Nehru Nagar</t>
  </si>
  <si>
    <t>GKAMW189</t>
  </si>
  <si>
    <t>651279382845</t>
  </si>
  <si>
    <t>YKLGM0527O</t>
  </si>
  <si>
    <t>070419810103</t>
  </si>
  <si>
    <t>LN00445</t>
  </si>
  <si>
    <t>KYC00730</t>
  </si>
  <si>
    <t>KYC00731</t>
  </si>
  <si>
    <t>Yogesh Iyer</t>
  </si>
  <si>
    <t>CUST00639</t>
  </si>
  <si>
    <t>OCRYI6090U</t>
  </si>
  <si>
    <t>9394691326</t>
  </si>
  <si>
    <t>LN00446</t>
  </si>
  <si>
    <t>yogesh.iyer689@gmail.com</t>
  </si>
  <si>
    <t>790, Church Street</t>
  </si>
  <si>
    <t>KYC00732</t>
  </si>
  <si>
    <t>VMNPS7179X</t>
  </si>
  <si>
    <t>860430560270</t>
  </si>
  <si>
    <t>KYC00733</t>
  </si>
  <si>
    <t>LN00447</t>
  </si>
  <si>
    <t>Meera Sahrma</t>
  </si>
  <si>
    <t>KYC00734</t>
  </si>
  <si>
    <t>meera.sharma432@yahoo.com</t>
  </si>
  <si>
    <t>722, MG Road</t>
  </si>
  <si>
    <t>LN00448</t>
  </si>
  <si>
    <t>KYC00735</t>
  </si>
  <si>
    <t>281616010685</t>
  </si>
  <si>
    <t>KYC00736</t>
  </si>
  <si>
    <t>OWNQL240</t>
  </si>
  <si>
    <t>LN00449</t>
  </si>
  <si>
    <t>Ritu Kulkarni</t>
  </si>
  <si>
    <t>KYC00737</t>
  </si>
  <si>
    <t>CUST00742</t>
  </si>
  <si>
    <t>9589829235</t>
  </si>
  <si>
    <t>GRBFH8286N</t>
  </si>
  <si>
    <t>ritu.kulkarni761@gmail.com</t>
  </si>
  <si>
    <t>715010764203</t>
  </si>
  <si>
    <t>171, FC Road</t>
  </si>
  <si>
    <t>PWENG6331H</t>
  </si>
  <si>
    <t>512613846763</t>
  </si>
  <si>
    <t>KYC00738</t>
  </si>
  <si>
    <t>LN00450</t>
  </si>
  <si>
    <t>KYC00739</t>
  </si>
  <si>
    <t>CUST00025</t>
  </si>
  <si>
    <t>Ajay Arora</t>
  </si>
  <si>
    <t>FPWBM3975D</t>
  </si>
  <si>
    <t>014580988943</t>
  </si>
  <si>
    <t>LN00451</t>
  </si>
  <si>
    <t>9471176131</t>
  </si>
  <si>
    <t>ajay.arora299@gmail.com</t>
  </si>
  <si>
    <t>140, Nehru Nagar</t>
  </si>
  <si>
    <t>KYC00740</t>
  </si>
  <si>
    <t>KYC00741</t>
  </si>
  <si>
    <t>LN00452</t>
  </si>
  <si>
    <t>NGBPL0419X</t>
  </si>
  <si>
    <t>386708064100</t>
  </si>
  <si>
    <t>Sunil Verma</t>
  </si>
  <si>
    <t>KYC00742</t>
  </si>
  <si>
    <t>FJFUH8782V</t>
  </si>
  <si>
    <t>9808064456</t>
  </si>
  <si>
    <t>815794286025</t>
  </si>
  <si>
    <t>sunil.verma579@gmail.com</t>
  </si>
  <si>
    <t>607, Ring Road</t>
  </si>
  <si>
    <t>LN00453</t>
  </si>
  <si>
    <t>KYC00743</t>
  </si>
  <si>
    <t>KYC00744</t>
  </si>
  <si>
    <t>Naveen Pillai</t>
  </si>
  <si>
    <t>LN00454</t>
  </si>
  <si>
    <t>9295211501</t>
  </si>
  <si>
    <t>naveen.pillai296@gmail.com</t>
  </si>
  <si>
    <t>748, MG Road</t>
  </si>
  <si>
    <t>KYC00745</t>
  </si>
  <si>
    <t>LN00455</t>
  </si>
  <si>
    <t>KYC00746</t>
  </si>
  <si>
    <t>CUST00035</t>
  </si>
  <si>
    <t>KNXSI1926F</t>
  </si>
  <si>
    <t>117645456227</t>
  </si>
  <si>
    <t>Manish Ghosh</t>
  </si>
  <si>
    <t>KYC00747</t>
  </si>
  <si>
    <t>OPCGK9879L</t>
  </si>
  <si>
    <t>683903886369</t>
  </si>
  <si>
    <t>9259070070</t>
  </si>
  <si>
    <t>LN00456</t>
  </si>
  <si>
    <t>manish.ghosh675@yahoo.com</t>
  </si>
  <si>
    <t>126, MG Road</t>
  </si>
  <si>
    <t>KYC00748</t>
  </si>
  <si>
    <t>KYC00749</t>
  </si>
  <si>
    <t>CUST00965</t>
  </si>
  <si>
    <t>OTDGY3391O</t>
  </si>
  <si>
    <t>371986797179</t>
  </si>
  <si>
    <t>KYC00750</t>
  </si>
  <si>
    <t>LN00457</t>
  </si>
  <si>
    <t>CUST00948</t>
  </si>
  <si>
    <t>FSRTW3387A</t>
  </si>
  <si>
    <t>053779456057</t>
  </si>
  <si>
    <t>Ajay Menon</t>
  </si>
  <si>
    <t>KYC00751</t>
  </si>
  <si>
    <t>9434436640</t>
  </si>
  <si>
    <t>ajay.menon867@gmail.com</t>
  </si>
  <si>
    <t>476, Church Street</t>
  </si>
  <si>
    <t>KYC00752</t>
  </si>
  <si>
    <t>LN00458</t>
  </si>
  <si>
    <t>BYPSV0858B</t>
  </si>
  <si>
    <t>CUST00190</t>
  </si>
  <si>
    <t>IZTCX0995U</t>
  </si>
  <si>
    <t>232487799199</t>
  </si>
  <si>
    <t>892686675803</t>
  </si>
  <si>
    <t>KYC00753</t>
  </si>
  <si>
    <t>UIXMW5777T</t>
  </si>
  <si>
    <t>319978478068</t>
  </si>
  <si>
    <t>Sunil Pillai</t>
  </si>
  <si>
    <t>LN00459</t>
  </si>
  <si>
    <t>KYC00754</t>
  </si>
  <si>
    <t>9341592398</t>
  </si>
  <si>
    <t>sunil.pillai180@gmail.com</t>
  </si>
  <si>
    <t>703, FC Road</t>
  </si>
  <si>
    <t>KYC00755</t>
  </si>
  <si>
    <t>LN00460</t>
  </si>
  <si>
    <t>KPDGH3049O</t>
  </si>
  <si>
    <t>678801259710</t>
  </si>
  <si>
    <t>Namrata Chopra</t>
  </si>
  <si>
    <t>KYC00756</t>
  </si>
  <si>
    <t>9502378590</t>
  </si>
  <si>
    <t>LN00461</t>
  </si>
  <si>
    <t>namrata.chopra865@gmail.com</t>
  </si>
  <si>
    <t>468, FC Road</t>
  </si>
  <si>
    <t>KYC00757</t>
  </si>
  <si>
    <t>WRTIR8819S</t>
  </si>
  <si>
    <t>306460171210</t>
  </si>
  <si>
    <t>KYC00758</t>
  </si>
  <si>
    <t>LN00462</t>
  </si>
  <si>
    <t>HYVIP4226H</t>
  </si>
  <si>
    <t>799315170222</t>
  </si>
  <si>
    <t>Jyoti Verma</t>
  </si>
  <si>
    <t>KYC00759</t>
  </si>
  <si>
    <t>9648764446</t>
  </si>
  <si>
    <t>jyoti.verma138@gmail.com</t>
  </si>
  <si>
    <t>111, MG Road</t>
  </si>
  <si>
    <t>HPLQV4077U</t>
  </si>
  <si>
    <t>325475354055</t>
  </si>
  <si>
    <t>LN00463</t>
  </si>
  <si>
    <t>KYC00760</t>
  </si>
  <si>
    <t>OTJLY0020D</t>
  </si>
  <si>
    <t>809237989555</t>
  </si>
  <si>
    <t>KYC00761</t>
  </si>
  <si>
    <t>Namrata Rao</t>
  </si>
  <si>
    <t>GVIJF5645N</t>
  </si>
  <si>
    <t>LN00464</t>
  </si>
  <si>
    <t>006644489095</t>
  </si>
  <si>
    <t>9186695746</t>
  </si>
  <si>
    <t>namrata.rao237@gmail.com</t>
  </si>
  <si>
    <t>308, Church Street</t>
  </si>
  <si>
    <t>KYC00762</t>
  </si>
  <si>
    <t>GWLYP6215Z</t>
  </si>
  <si>
    <t>714297307444</t>
  </si>
  <si>
    <t>LN00465</t>
  </si>
  <si>
    <t>KYC00763</t>
  </si>
  <si>
    <t>HTZJN3913F</t>
  </si>
  <si>
    <t>128799532927</t>
  </si>
  <si>
    <t>CUST00893</t>
  </si>
  <si>
    <t>Karan Sharma</t>
  </si>
  <si>
    <t>KYC00764</t>
  </si>
  <si>
    <t>CUST00954</t>
  </si>
  <si>
    <t>9482090365</t>
  </si>
  <si>
    <t>karan.sharma893@yahoo.com</t>
  </si>
  <si>
    <t>LN00466</t>
  </si>
  <si>
    <t>PYHSH0988C</t>
  </si>
  <si>
    <t>102, Church Street</t>
  </si>
  <si>
    <t>792427045191</t>
  </si>
  <si>
    <t>RMIIK4164Y</t>
  </si>
  <si>
    <t>903619173833</t>
  </si>
  <si>
    <t>KYC00765</t>
  </si>
  <si>
    <t>DYWWS2809R</t>
  </si>
  <si>
    <t>668046683841</t>
  </si>
  <si>
    <t>LN00467</t>
  </si>
  <si>
    <t>CUST00293</t>
  </si>
  <si>
    <t>Asha Yadav</t>
  </si>
  <si>
    <t>KYC00766</t>
  </si>
  <si>
    <t>DNPGI5911X</t>
  </si>
  <si>
    <t>543204760862</t>
  </si>
  <si>
    <t>9144057520</t>
  </si>
  <si>
    <t>asha.yadav293@gmail.com</t>
  </si>
  <si>
    <t>465, MG Road</t>
  </si>
  <si>
    <t>KYC00767</t>
  </si>
  <si>
    <t>IMRVF1616N</t>
  </si>
  <si>
    <t>CUST00488</t>
  </si>
  <si>
    <t>RDWNZ3077U</t>
  </si>
  <si>
    <t>LN00468</t>
  </si>
  <si>
    <t>845835641859</t>
  </si>
  <si>
    <t>KYC00768</t>
  </si>
  <si>
    <t>Sunil Chatterjee</t>
  </si>
  <si>
    <t>LN00469</t>
  </si>
  <si>
    <t>KYC00769</t>
  </si>
  <si>
    <t>9307164503</t>
  </si>
  <si>
    <t>763, FC Road</t>
  </si>
  <si>
    <t>KYC00770</t>
  </si>
  <si>
    <t>LN00470</t>
  </si>
  <si>
    <t>Rani Goel</t>
  </si>
  <si>
    <t>KYC00771</t>
  </si>
  <si>
    <t>CUST00594</t>
  </si>
  <si>
    <t>MVTLC1781X</t>
  </si>
  <si>
    <t>896544853134</t>
  </si>
  <si>
    <t>0204701668</t>
  </si>
  <si>
    <t>rani.goel441@gmail.com</t>
  </si>
  <si>
    <t>142, Park Street</t>
  </si>
  <si>
    <t>KYC00772</t>
  </si>
  <si>
    <t>LN00471</t>
  </si>
  <si>
    <t>459364690590</t>
  </si>
  <si>
    <t>KYC00773</t>
  </si>
  <si>
    <t>CUST00337</t>
  </si>
  <si>
    <t>ANSPI2115J</t>
  </si>
  <si>
    <t>038226720019</t>
  </si>
  <si>
    <t>CUST00378</t>
  </si>
  <si>
    <t>Sarita Kumar</t>
  </si>
  <si>
    <t>LN00472</t>
  </si>
  <si>
    <t>KYC00774</t>
  </si>
  <si>
    <t>FRYIQ5008I</t>
  </si>
  <si>
    <t>9318454086</t>
  </si>
  <si>
    <t>sarita.kumar378@gmail.com</t>
  </si>
  <si>
    <t>240, Park Street</t>
  </si>
  <si>
    <t>TRKDL5894L</t>
  </si>
  <si>
    <t>KYC00775</t>
  </si>
  <si>
    <t>148619879259</t>
  </si>
  <si>
    <t>CUST00019</t>
  </si>
  <si>
    <t>LN00473</t>
  </si>
  <si>
    <t>410435426796</t>
  </si>
  <si>
    <t>KYC00776</t>
  </si>
  <si>
    <t>PQLPC7064Y</t>
  </si>
  <si>
    <t>956251568629</t>
  </si>
  <si>
    <t>Manisha Menon</t>
  </si>
  <si>
    <t>KYC00777</t>
  </si>
  <si>
    <t>LN00474</t>
  </si>
  <si>
    <t>9633367773</t>
  </si>
  <si>
    <t>manisha.menon980@gmail.com</t>
  </si>
  <si>
    <t>KYC00778</t>
  </si>
  <si>
    <t>LYKPW3655H</t>
  </si>
  <si>
    <t>KYC00779</t>
  </si>
  <si>
    <t>LN00475</t>
  </si>
  <si>
    <t>IVWPG9403Q</t>
  </si>
  <si>
    <t>209149754019</t>
  </si>
  <si>
    <t>KYC00780</t>
  </si>
  <si>
    <t>Aarti Rane</t>
  </si>
  <si>
    <t>CUST00504</t>
  </si>
  <si>
    <t>MCSTE1304W</t>
  </si>
  <si>
    <t>490002972357</t>
  </si>
  <si>
    <t>9638394618</t>
  </si>
  <si>
    <t>KYC00781</t>
  </si>
  <si>
    <t>aarti.rane721@gmail.com</t>
  </si>
  <si>
    <t>678, Church Street</t>
  </si>
  <si>
    <t>LN00476</t>
  </si>
  <si>
    <t>320933877899</t>
  </si>
  <si>
    <t>KYC00782</t>
  </si>
  <si>
    <t>FXEJC8993E</t>
  </si>
  <si>
    <t>572505021295</t>
  </si>
  <si>
    <t>LN00477</t>
  </si>
  <si>
    <t>KYC00783</t>
  </si>
  <si>
    <t>Pooja Chopra</t>
  </si>
  <si>
    <t>9159828170</t>
  </si>
  <si>
    <t>KYC00784</t>
  </si>
  <si>
    <t>pooja.chopra259@gmail.com</t>
  </si>
  <si>
    <t>780, FC Road</t>
  </si>
  <si>
    <t>KZGVE0923Q</t>
  </si>
  <si>
    <t>LN00478</t>
  </si>
  <si>
    <t>KYC00785</t>
  </si>
  <si>
    <t>Sunita Malhotra</t>
  </si>
  <si>
    <t>KYC00786</t>
  </si>
  <si>
    <t>LN00479</t>
  </si>
  <si>
    <t>9078170253</t>
  </si>
  <si>
    <t>sunita.malhotra636@gmail.com</t>
  </si>
  <si>
    <t>222, MG Road</t>
  </si>
  <si>
    <t>KYC00787</t>
  </si>
  <si>
    <t>LN00480</t>
  </si>
  <si>
    <t>CUST00836</t>
  </si>
  <si>
    <t>KYC00788</t>
  </si>
  <si>
    <t>YCLWP3476H</t>
  </si>
  <si>
    <t>Aarti Shah</t>
  </si>
  <si>
    <t>084969624821</t>
  </si>
  <si>
    <t>9722579464</t>
  </si>
  <si>
    <t>aarti.shah343@gmail.com</t>
  </si>
  <si>
    <t>49, MG Road</t>
  </si>
  <si>
    <t>KYC00789</t>
  </si>
  <si>
    <t>LN00481</t>
  </si>
  <si>
    <t>SIJYU2163Z</t>
  </si>
  <si>
    <t>898227342425</t>
  </si>
  <si>
    <t>KYC00790</t>
  </si>
  <si>
    <t>591663801585</t>
  </si>
  <si>
    <t>LN00482</t>
  </si>
  <si>
    <t>KYC00791</t>
  </si>
  <si>
    <t>Pallavi Agarwal</t>
  </si>
  <si>
    <t>KYC00792</t>
  </si>
  <si>
    <t>LN00483</t>
  </si>
  <si>
    <t>TGTBP9151X</t>
  </si>
  <si>
    <t>292410831002</t>
  </si>
  <si>
    <t>9308249585</t>
  </si>
  <si>
    <t>pallavi.agarwal256@gmail.com</t>
  </si>
  <si>
    <t>502, Church Street</t>
  </si>
  <si>
    <t>OFMND7225Q</t>
  </si>
  <si>
    <t>388337943201</t>
  </si>
  <si>
    <t>KYC00793</t>
  </si>
  <si>
    <t>LN00484</t>
  </si>
  <si>
    <t>KYC00794</t>
  </si>
  <si>
    <t>RSYGE7471F</t>
  </si>
  <si>
    <t>Ravi Singh</t>
  </si>
  <si>
    <t>624291870205</t>
  </si>
  <si>
    <t>9830116784</t>
  </si>
  <si>
    <t>KYC00795</t>
  </si>
  <si>
    <t>ravi.singh583@yahoo.com</t>
  </si>
  <si>
    <t>CUST00126</t>
  </si>
  <si>
    <t>517, FC Road</t>
  </si>
  <si>
    <t>IMFRE4652L</t>
  </si>
  <si>
    <t>941198520001</t>
  </si>
  <si>
    <t>LN00485</t>
  </si>
  <si>
    <t>KYC00796</t>
  </si>
  <si>
    <t>KYC00797</t>
  </si>
  <si>
    <t>LN00486</t>
  </si>
  <si>
    <t>CUST00470</t>
  </si>
  <si>
    <t>QJHZM6058P</t>
  </si>
  <si>
    <t>922684321520</t>
  </si>
  <si>
    <t>9041352692</t>
  </si>
  <si>
    <t>priya.pillai202@gmail.com</t>
  </si>
  <si>
    <t>786, Ring Road</t>
  </si>
  <si>
    <t>KYC00798</t>
  </si>
  <si>
    <t>NFPSN2499S</t>
  </si>
  <si>
    <t>815804109316</t>
  </si>
  <si>
    <t>476042010831</t>
  </si>
  <si>
    <t>LN00487</t>
  </si>
  <si>
    <t>KYC00799</t>
  </si>
  <si>
    <t>SXVZF0182U</t>
  </si>
  <si>
    <t>006956097290</t>
  </si>
  <si>
    <t>Sawti Tiwari</t>
  </si>
  <si>
    <t>KYC00800</t>
  </si>
  <si>
    <t>9327076226</t>
  </si>
  <si>
    <t>swati.tiwari254@yahoo.com</t>
  </si>
  <si>
    <t>LN00488</t>
  </si>
  <si>
    <t>522, Ring Road</t>
  </si>
  <si>
    <t>KYC00801</t>
  </si>
  <si>
    <t>CUST00911</t>
  </si>
  <si>
    <t>BYGLN0310U</t>
  </si>
  <si>
    <t>783063683818</t>
  </si>
  <si>
    <t>KYC00802</t>
  </si>
  <si>
    <t>CUST01007</t>
  </si>
  <si>
    <t>KYC00803</t>
  </si>
  <si>
    <t>LN00489</t>
  </si>
  <si>
    <t>YLFJB2841A</t>
  </si>
  <si>
    <t>104551815960</t>
  </si>
  <si>
    <t>Nikhil Yadav</t>
  </si>
  <si>
    <t>KYC00804</t>
  </si>
  <si>
    <t>9230682791</t>
  </si>
  <si>
    <t>nikhil.yadav692@gmail.com</t>
  </si>
  <si>
    <t>553, Ring Road</t>
  </si>
  <si>
    <t>UDDUS6229O</t>
  </si>
  <si>
    <t>KYC00805</t>
  </si>
  <si>
    <t>461718544153</t>
  </si>
  <si>
    <t>HIXCQ2164W</t>
  </si>
  <si>
    <t>450801362421</t>
  </si>
  <si>
    <t>LN00490</t>
  </si>
  <si>
    <t>KYC00806</t>
  </si>
  <si>
    <t>YJDDQ0210Q</t>
  </si>
  <si>
    <t>485672141603</t>
  </si>
  <si>
    <t>Manish Desai</t>
  </si>
  <si>
    <t>KYC00807</t>
  </si>
  <si>
    <t>9123125121</t>
  </si>
  <si>
    <t>196, Park Street</t>
  </si>
  <si>
    <t>LN00491</t>
  </si>
  <si>
    <t>RPMTC2036P</t>
  </si>
  <si>
    <t>249153458112</t>
  </si>
  <si>
    <t>KYC00808</t>
  </si>
  <si>
    <t>WERMQ9362Y</t>
  </si>
  <si>
    <t>532194713148</t>
  </si>
  <si>
    <t>LN00492</t>
  </si>
  <si>
    <t>KYC00809</t>
  </si>
  <si>
    <t>Divya Pandey</t>
  </si>
  <si>
    <t>KYC00810</t>
  </si>
  <si>
    <t>CUST01045</t>
  </si>
  <si>
    <t>9219793297</t>
  </si>
  <si>
    <t>divya.pandey800@yahoo.com</t>
  </si>
  <si>
    <t>827, Park Street</t>
  </si>
  <si>
    <t>KYC00811</t>
  </si>
  <si>
    <t>LN00493</t>
  </si>
  <si>
    <t>IKSHX8686O</t>
  </si>
  <si>
    <t>729661489675</t>
  </si>
  <si>
    <t>KYC00812</t>
  </si>
  <si>
    <t>CUST00425</t>
  </si>
  <si>
    <t>IEJYJ3827K</t>
  </si>
  <si>
    <t>178564327328</t>
  </si>
  <si>
    <t>KYC00813</t>
  </si>
  <si>
    <t>Bhavna Naidu</t>
  </si>
  <si>
    <t>CUST00520</t>
  </si>
  <si>
    <t>IXKGH5729Q</t>
  </si>
  <si>
    <t>LN00494</t>
  </si>
  <si>
    <t>774191392407</t>
  </si>
  <si>
    <t>9241248687</t>
  </si>
  <si>
    <t>KYC00814</t>
  </si>
  <si>
    <t>bhavna.naidu577@gmail.com</t>
  </si>
  <si>
    <t>672, Nehru Nagar</t>
  </si>
  <si>
    <t>EGLCZ0959U</t>
  </si>
  <si>
    <t>007967013014</t>
  </si>
  <si>
    <t>KYC00815</t>
  </si>
  <si>
    <t>KYC00816</t>
  </si>
  <si>
    <t>LN00495</t>
  </si>
  <si>
    <t>Rani Arora</t>
  </si>
  <si>
    <t>rani.arora687@gmail.com</t>
  </si>
  <si>
    <t>KYC00817</t>
  </si>
  <si>
    <t>496, Nehru Nagar</t>
  </si>
  <si>
    <t>LN00496</t>
  </si>
  <si>
    <t>KYC00818</t>
  </si>
  <si>
    <t>KYC00819</t>
  </si>
  <si>
    <t>CUST00760</t>
  </si>
  <si>
    <t>Preeti Khanna</t>
  </si>
  <si>
    <t>757719000078</t>
  </si>
  <si>
    <t>LN00497</t>
  </si>
  <si>
    <t>preeti.khanna316@gmail.com</t>
  </si>
  <si>
    <t>KYC00820</t>
  </si>
  <si>
    <t>43, Church Street</t>
  </si>
  <si>
    <t>KYC00821</t>
  </si>
  <si>
    <t>ZAOIF0447D</t>
  </si>
  <si>
    <t>LN00498</t>
  </si>
  <si>
    <t>661335507529</t>
  </si>
  <si>
    <t>Arun Reddy</t>
  </si>
  <si>
    <t>KYC00822</t>
  </si>
  <si>
    <t>CUST01009</t>
  </si>
  <si>
    <t>arun.reddy207@yahoo.com</t>
  </si>
  <si>
    <t>204, Church Street</t>
  </si>
  <si>
    <t>LN00499</t>
  </si>
  <si>
    <t>KYC00823</t>
  </si>
  <si>
    <t>CUST00429</t>
  </si>
  <si>
    <t>UGXYH2103B</t>
  </si>
  <si>
    <t>049089093070</t>
  </si>
  <si>
    <t>KYC00824</t>
  </si>
  <si>
    <t>LN00500</t>
  </si>
  <si>
    <t>Bhavna Agarwal</t>
  </si>
  <si>
    <t>KYC00825</t>
  </si>
  <si>
    <t>CUST00492</t>
  </si>
  <si>
    <t>JLNAI0565R</t>
  </si>
  <si>
    <t>0209662292</t>
  </si>
  <si>
    <t>bhavna.agarwal729@yahoo.com</t>
  </si>
  <si>
    <t>764, FC Road</t>
  </si>
  <si>
    <t>KYC00826</t>
  </si>
  <si>
    <t>CUST01025</t>
  </si>
  <si>
    <t>LJJZQ0128T</t>
  </si>
  <si>
    <t>LN00501</t>
  </si>
  <si>
    <t>KYC00827</t>
  </si>
  <si>
    <t>WYYGV4003K</t>
  </si>
  <si>
    <t>378415001364</t>
  </si>
  <si>
    <t>Nisha Sharma</t>
  </si>
  <si>
    <t>KYC00828</t>
  </si>
  <si>
    <t>LN00502</t>
  </si>
  <si>
    <t>9910488943</t>
  </si>
  <si>
    <t>nisha.sharma930@gmail.com</t>
  </si>
  <si>
    <t>KYC00829</t>
  </si>
  <si>
    <t>XZNYY6594O</t>
  </si>
  <si>
    <t>LN00503</t>
  </si>
  <si>
    <t>KYC00830</t>
  </si>
  <si>
    <t>HRJBW3506P</t>
  </si>
  <si>
    <t>0201133946</t>
  </si>
  <si>
    <t>KYC00831</t>
  </si>
  <si>
    <t>vivek.chowdhury760@gmail.com</t>
  </si>
  <si>
    <t>519, Park Street</t>
  </si>
  <si>
    <t>LN00504</t>
  </si>
  <si>
    <t>XPENP6163V</t>
  </si>
  <si>
    <t>319698700916</t>
  </si>
  <si>
    <t>KYC00832</t>
  </si>
  <si>
    <t>CUST00479</t>
  </si>
  <si>
    <t>671416366007</t>
  </si>
  <si>
    <t>LN00505</t>
  </si>
  <si>
    <t>KYC00833</t>
  </si>
  <si>
    <t>Preeti Bhatt</t>
  </si>
  <si>
    <t>EHQQH6100N</t>
  </si>
  <si>
    <t>112772143379</t>
  </si>
  <si>
    <t>9989267717</t>
  </si>
  <si>
    <t>preeti.bhatt834@gmail.com</t>
  </si>
  <si>
    <t>462, FC Road</t>
  </si>
  <si>
    <t>KYC00834</t>
  </si>
  <si>
    <t>VXDYF0421M</t>
  </si>
  <si>
    <t>188216448463</t>
  </si>
  <si>
    <t>LN00506</t>
  </si>
  <si>
    <t>KYC00835</t>
  </si>
  <si>
    <t>IPGWX2069G</t>
  </si>
  <si>
    <t>989512873986</t>
  </si>
  <si>
    <t>KYC00836</t>
  </si>
  <si>
    <t>9545573499</t>
  </si>
  <si>
    <t>WIGHB5102R</t>
  </si>
  <si>
    <t>LN00507</t>
  </si>
  <si>
    <t>CUST00170</t>
  </si>
  <si>
    <t>KYC00837</t>
  </si>
  <si>
    <t>TORGA5197C</t>
  </si>
  <si>
    <t>399528310076</t>
  </si>
  <si>
    <t>KYC00838</t>
  </si>
  <si>
    <t>Aarti Chowdhury</t>
  </si>
  <si>
    <t>QLQWS2748M</t>
  </si>
  <si>
    <t>LN00508</t>
  </si>
  <si>
    <t>0200346667</t>
  </si>
  <si>
    <t>aarti.chowdhury843@gmail.com</t>
  </si>
  <si>
    <t>447, Nehru Nagar</t>
  </si>
  <si>
    <t>789057555059</t>
  </si>
  <si>
    <t>KYC00839</t>
  </si>
  <si>
    <t>JMQHU5258A</t>
  </si>
  <si>
    <t>004572202600</t>
  </si>
  <si>
    <t>LN00509</t>
  </si>
  <si>
    <t>CUST00641</t>
  </si>
  <si>
    <t>Pooja Mishra</t>
  </si>
  <si>
    <t>KYC00840</t>
  </si>
  <si>
    <t>RTLYW7479Q</t>
  </si>
  <si>
    <t>9097102218</t>
  </si>
  <si>
    <t>064210868806</t>
  </si>
  <si>
    <t>951, FC Road</t>
  </si>
  <si>
    <t>KYC00841</t>
  </si>
  <si>
    <t>LN00510</t>
  </si>
  <si>
    <t>RPQGJ5988W</t>
  </si>
  <si>
    <t>6465522987</t>
  </si>
  <si>
    <t>KYC00842</t>
  </si>
  <si>
    <t>CUST00773</t>
  </si>
  <si>
    <t>Suresh Patel</t>
  </si>
  <si>
    <t>VUWWI0420R</t>
  </si>
  <si>
    <t>LN00511</t>
  </si>
  <si>
    <t>205507644160</t>
  </si>
  <si>
    <t>9349574407</t>
  </si>
  <si>
    <t>suresh.patel475@yahoo.com</t>
  </si>
  <si>
    <t>KYC00843</t>
  </si>
  <si>
    <t>553305632972</t>
  </si>
  <si>
    <t>LN00512</t>
  </si>
  <si>
    <t>KYC00844</t>
  </si>
  <si>
    <t>CUST01004</t>
  </si>
  <si>
    <t>Priya Rane</t>
  </si>
  <si>
    <t>KYC00845</t>
  </si>
  <si>
    <t>LN00513</t>
  </si>
  <si>
    <t>9197980973</t>
  </si>
  <si>
    <t>priya.rane231@gmail.com</t>
  </si>
  <si>
    <t>825, Ring Road</t>
  </si>
  <si>
    <t>KYC00846</t>
  </si>
  <si>
    <t>CUST00971</t>
  </si>
  <si>
    <t>IZYQL2996R</t>
  </si>
  <si>
    <t>501319186763</t>
  </si>
  <si>
    <t>KYC00847</t>
  </si>
  <si>
    <t>LN00514</t>
  </si>
  <si>
    <t>Divya Rane</t>
  </si>
  <si>
    <t>KYC00848</t>
  </si>
  <si>
    <t>9474021015</t>
  </si>
  <si>
    <t>EHLLK1020K</t>
  </si>
  <si>
    <t>divya.rane270@yahoo.com</t>
  </si>
  <si>
    <t>787, FC Road</t>
  </si>
  <si>
    <t>LN00515</t>
  </si>
  <si>
    <t>KYC00849</t>
  </si>
  <si>
    <t>KYC00850</t>
  </si>
  <si>
    <t>Anand Gupta</t>
  </si>
  <si>
    <t>LUVFP8909K</t>
  </si>
  <si>
    <t>431220819354</t>
  </si>
  <si>
    <t>9350369124</t>
  </si>
  <si>
    <t>anand.gupta224@gmail.com</t>
  </si>
  <si>
    <t>KYC00851</t>
  </si>
  <si>
    <t>KYC00852</t>
  </si>
  <si>
    <t>QLEBE4141X</t>
  </si>
  <si>
    <t>449541713228</t>
  </si>
  <si>
    <t>Sandeep Desai</t>
  </si>
  <si>
    <t>KYC00853</t>
  </si>
  <si>
    <t>GMMFC3288X</t>
  </si>
  <si>
    <t>728047817964</t>
  </si>
  <si>
    <t>9104039964</t>
  </si>
  <si>
    <t>sandeep.desai269@yahoo.com</t>
  </si>
  <si>
    <t>609, Church Street</t>
  </si>
  <si>
    <t>KYC00854</t>
  </si>
  <si>
    <t>CUST00763</t>
  </si>
  <si>
    <t>XHYMI3656F</t>
  </si>
  <si>
    <t>KYC00855</t>
  </si>
  <si>
    <t>CQDTO4574T</t>
  </si>
  <si>
    <t>985210421228</t>
  </si>
  <si>
    <t>KYC00856</t>
  </si>
  <si>
    <t>GXUHV3768M</t>
  </si>
  <si>
    <t>630038767505</t>
  </si>
  <si>
    <t>LN00516</t>
  </si>
  <si>
    <t>Rekha Chauhan</t>
  </si>
  <si>
    <t>KYC00857</t>
  </si>
  <si>
    <t>UXOUW9818U</t>
  </si>
  <si>
    <t>277459060516</t>
  </si>
  <si>
    <t>9455748125</t>
  </si>
  <si>
    <t>rekha.chauhan374@yahoo.com</t>
  </si>
  <si>
    <t>549, Park Street</t>
  </si>
  <si>
    <t>KYC00858</t>
  </si>
  <si>
    <t>YDPBR6101A</t>
  </si>
  <si>
    <t>435823787183</t>
  </si>
  <si>
    <t>KYC00859</t>
  </si>
  <si>
    <t>LN00517</t>
  </si>
  <si>
    <t>CUST00016</t>
  </si>
  <si>
    <t>NRPPP3910T</t>
  </si>
  <si>
    <t>600937612919</t>
  </si>
  <si>
    <t>Manoj Tiwari</t>
  </si>
  <si>
    <t>KYC00860</t>
  </si>
  <si>
    <t>CUST01026</t>
  </si>
  <si>
    <t>9233180466</t>
  </si>
  <si>
    <t>manoj.tiwari841@yahoo.com</t>
  </si>
  <si>
    <t>586, Nehru Nagar</t>
  </si>
  <si>
    <t>LN00518</t>
  </si>
  <si>
    <t>ONXVB0129A</t>
  </si>
  <si>
    <t>453963422779</t>
  </si>
  <si>
    <t>KYC00861</t>
  </si>
  <si>
    <t>Mahesh Iyer</t>
  </si>
  <si>
    <t>LN00519</t>
  </si>
  <si>
    <t>KYC00862</t>
  </si>
  <si>
    <t>9486063763</t>
  </si>
  <si>
    <t>GKZJG1341K</t>
  </si>
  <si>
    <t>537178347532</t>
  </si>
  <si>
    <t>mahesh.iyer700@gmail.com</t>
  </si>
  <si>
    <t>672, Ring Road</t>
  </si>
  <si>
    <t>KYC00863</t>
  </si>
  <si>
    <t>LN00520</t>
  </si>
  <si>
    <t>PXCTV8347K</t>
  </si>
  <si>
    <t>495323045743</t>
  </si>
  <si>
    <t>KYC00864</t>
  </si>
  <si>
    <t>CUST00989</t>
  </si>
  <si>
    <t>Sunita Naidu</t>
  </si>
  <si>
    <t>LN00521</t>
  </si>
  <si>
    <t>KYC00865</t>
  </si>
  <si>
    <t>CUST00236</t>
  </si>
  <si>
    <t>9662952402</t>
  </si>
  <si>
    <t>sunita.naidu989@gmail.com</t>
  </si>
  <si>
    <t>DHBEF6480G</t>
  </si>
  <si>
    <t>857, Ring Road</t>
  </si>
  <si>
    <t>551906456193</t>
  </si>
  <si>
    <t>XOORR9737P</t>
  </si>
  <si>
    <t>013094266599</t>
  </si>
  <si>
    <t>KYC00866</t>
  </si>
  <si>
    <t>LN00522</t>
  </si>
  <si>
    <t>CUST00235</t>
  </si>
  <si>
    <t>ASBTD6011U</t>
  </si>
  <si>
    <t>051797622827</t>
  </si>
  <si>
    <t>KYC00867</t>
  </si>
  <si>
    <t>LN00523</t>
  </si>
  <si>
    <t>9613183676</t>
  </si>
  <si>
    <t>anil.bose438@gmail.com</t>
  </si>
  <si>
    <t>156, Church Street</t>
  </si>
  <si>
    <t>KYC00868</t>
  </si>
  <si>
    <t>CUST00253</t>
  </si>
  <si>
    <t>NSQCM2540G</t>
  </si>
  <si>
    <t>LN00524</t>
  </si>
  <si>
    <t>KYC00869</t>
  </si>
  <si>
    <t>Meera Goel</t>
  </si>
  <si>
    <t>CUST00318</t>
  </si>
  <si>
    <t>PPYLE1935L</t>
  </si>
  <si>
    <t>889272183248</t>
  </si>
  <si>
    <t>LN00525</t>
  </si>
  <si>
    <t>9957740148</t>
  </si>
  <si>
    <t>meera.goel956@yahoo.com</t>
  </si>
  <si>
    <t>87, Nehru Nagar</t>
  </si>
  <si>
    <t>KYC00870</t>
  </si>
  <si>
    <t>AYHNB4016J</t>
  </si>
  <si>
    <t>896803245335</t>
  </si>
  <si>
    <t>LN00526</t>
  </si>
  <si>
    <t>KYC00871</t>
  </si>
  <si>
    <t>Namrata Verma</t>
  </si>
  <si>
    <t>LN00527</t>
  </si>
  <si>
    <t>KYC00872</t>
  </si>
  <si>
    <t>CUST00010</t>
  </si>
  <si>
    <t>9966013090</t>
  </si>
  <si>
    <t>CUWPD9734J</t>
  </si>
  <si>
    <t>namrata.verma264@yahoo.com</t>
  </si>
  <si>
    <t>844, Ring Road</t>
  </si>
  <si>
    <t>538819687479</t>
  </si>
  <si>
    <t>LN00528</t>
  </si>
  <si>
    <t>KYC00873</t>
  </si>
  <si>
    <t>LN00529</t>
  </si>
  <si>
    <t>KYC00874</t>
  </si>
  <si>
    <t>Nidhi Rao</t>
  </si>
  <si>
    <t>SJSKA7506Q</t>
  </si>
  <si>
    <t>399773141819</t>
  </si>
  <si>
    <t>9395511399</t>
  </si>
  <si>
    <t>nidhi.rao705@gmail.com</t>
  </si>
  <si>
    <t>LN00530</t>
  </si>
  <si>
    <t>554, MG Road</t>
  </si>
  <si>
    <t>KYC00875</t>
  </si>
  <si>
    <t>LN00531</t>
  </si>
  <si>
    <t>Mahesh Yadav</t>
  </si>
  <si>
    <t>KYC00876</t>
  </si>
  <si>
    <t>9266404435</t>
  </si>
  <si>
    <t>mahesh.yadav353@gmail.com</t>
  </si>
  <si>
    <t>LN00532</t>
  </si>
  <si>
    <t>335, Park Street</t>
  </si>
  <si>
    <t>LN00533</t>
  </si>
  <si>
    <t>KYC00877</t>
  </si>
  <si>
    <t>Komal Arora</t>
  </si>
  <si>
    <t>LN00534</t>
  </si>
  <si>
    <t>9577940105</t>
  </si>
  <si>
    <t>KYC00878</t>
  </si>
  <si>
    <t>komal.arora201@gmail.com</t>
  </si>
  <si>
    <t>CUST00034</t>
  </si>
  <si>
    <t>907, Ring Road</t>
  </si>
  <si>
    <t>WEXZK4999W</t>
  </si>
  <si>
    <t>051929549841</t>
  </si>
  <si>
    <t>LN00535</t>
  </si>
  <si>
    <t>KYC00879</t>
  </si>
  <si>
    <t>680770705936</t>
  </si>
  <si>
    <t>Bhavna Patel</t>
  </si>
  <si>
    <t>KYC00880</t>
  </si>
  <si>
    <t>LN00536</t>
  </si>
  <si>
    <t>9119189237</t>
  </si>
  <si>
    <t>bhavna.patel678@gmail.com</t>
  </si>
  <si>
    <t>682, MG Road</t>
  </si>
  <si>
    <t>KYC00881</t>
  </si>
  <si>
    <t>LN00537</t>
  </si>
  <si>
    <t>CUST00037</t>
  </si>
  <si>
    <t>771929557828</t>
  </si>
  <si>
    <t>KYC00882</t>
  </si>
  <si>
    <t>LN00538</t>
  </si>
  <si>
    <t>Meera Verma</t>
  </si>
  <si>
    <t>9397464103</t>
  </si>
  <si>
    <t>KYC00883</t>
  </si>
  <si>
    <t>meera.verma42@gmail.com</t>
  </si>
  <si>
    <t>844, Nehru Nagar</t>
  </si>
  <si>
    <t>CUST00585</t>
  </si>
  <si>
    <t>PQABH3395I</t>
  </si>
  <si>
    <t>648981415764</t>
  </si>
  <si>
    <t>LN00539</t>
  </si>
  <si>
    <t>CUST00892</t>
  </si>
  <si>
    <t>KYC00884</t>
  </si>
  <si>
    <t>Vikram Rane</t>
  </si>
  <si>
    <t>9779647286</t>
  </si>
  <si>
    <t>vikram.rane376@gmail.com</t>
  </si>
  <si>
    <t>18, MG Road</t>
  </si>
  <si>
    <t>KYC00885</t>
  </si>
  <si>
    <t>LN00540</t>
  </si>
  <si>
    <t>Ritu Naidu</t>
  </si>
  <si>
    <t>KYC00886</t>
  </si>
  <si>
    <t>9211592416</t>
  </si>
  <si>
    <t>ritu.naidu44@gmail.com</t>
  </si>
  <si>
    <t>440, Ring Road</t>
  </si>
  <si>
    <t>LN00541</t>
  </si>
  <si>
    <t>KYC00887</t>
  </si>
  <si>
    <t>Deepak Reddy</t>
  </si>
  <si>
    <t>9998945108</t>
  </si>
  <si>
    <t>KYC00888</t>
  </si>
  <si>
    <t>LN00542</t>
  </si>
  <si>
    <t>CUST00309</t>
  </si>
  <si>
    <t>RMJSJ6300R</t>
  </si>
  <si>
    <t>085782347152</t>
  </si>
  <si>
    <t>KYC00889</t>
  </si>
  <si>
    <t>NAUZN8632C</t>
  </si>
  <si>
    <t>430435485247</t>
  </si>
  <si>
    <t>LN00543</t>
  </si>
  <si>
    <t>Komal Kulkarni</t>
  </si>
  <si>
    <t>KYC00890</t>
  </si>
  <si>
    <t>0209080174</t>
  </si>
  <si>
    <t>CUST00755</t>
  </si>
  <si>
    <t>501, Ring Road</t>
  </si>
  <si>
    <t>RKIQB6810X</t>
  </si>
  <si>
    <t>790549452834</t>
  </si>
  <si>
    <t>LN00544</t>
  </si>
  <si>
    <t>KYC00891</t>
  </si>
  <si>
    <t>078068589178</t>
  </si>
  <si>
    <t>Sanjay Saxena</t>
  </si>
  <si>
    <t>9195111682</t>
  </si>
  <si>
    <t>sanjay.saxena968@gmail.com</t>
  </si>
  <si>
    <t>51, Nehru Nagar</t>
  </si>
  <si>
    <t>KYC00892</t>
  </si>
  <si>
    <t>LN00545</t>
  </si>
  <si>
    <t>HSHGN4890C</t>
  </si>
  <si>
    <t>824561775835</t>
  </si>
  <si>
    <t>Karan Bansal</t>
  </si>
  <si>
    <t>KYC00893</t>
  </si>
  <si>
    <t>CKODI1390A</t>
  </si>
  <si>
    <t>9865125199</t>
  </si>
  <si>
    <t>karan.bansal314@yahoo.com</t>
  </si>
  <si>
    <t>366420605166</t>
  </si>
  <si>
    <t>967, Church Street</t>
  </si>
  <si>
    <t>PNEXR0935D</t>
  </si>
  <si>
    <t>424130075732</t>
  </si>
  <si>
    <t>LN00546</t>
  </si>
  <si>
    <t>KYC00894</t>
  </si>
  <si>
    <t>YUDET6960A</t>
  </si>
  <si>
    <t>945757007124</t>
  </si>
  <si>
    <t>Preeti Bose</t>
  </si>
  <si>
    <t>9394980830</t>
  </si>
  <si>
    <t>preeti.bose916@gmail.com</t>
  </si>
  <si>
    <t>KYC00895</t>
  </si>
  <si>
    <t>79, FC Road</t>
  </si>
  <si>
    <t>CUST00167</t>
  </si>
  <si>
    <t>JFWJM1193W</t>
  </si>
  <si>
    <t>LN00547</t>
  </si>
  <si>
    <t>714859422716</t>
  </si>
  <si>
    <t>KYC00896</t>
  </si>
  <si>
    <t>OWFXD4846H</t>
  </si>
  <si>
    <t>LN00548</t>
  </si>
  <si>
    <t>845774064162</t>
  </si>
  <si>
    <t>Sneha Kulkarni</t>
  </si>
  <si>
    <t>KYC00897</t>
  </si>
  <si>
    <t>9574244394</t>
  </si>
  <si>
    <t>LN00549</t>
  </si>
  <si>
    <t>sneha.kulkarni337@gmail.com</t>
  </si>
  <si>
    <t>879, FC Road</t>
  </si>
  <si>
    <t>KYC00898</t>
  </si>
  <si>
    <t>NSPET9891X</t>
  </si>
  <si>
    <t>7963329057</t>
  </si>
  <si>
    <t>LN00550</t>
  </si>
  <si>
    <t>KYC00899</t>
  </si>
  <si>
    <t>CUST00073</t>
  </si>
  <si>
    <t>Varun Chauhan</t>
  </si>
  <si>
    <t>962755335802</t>
  </si>
  <si>
    <t>9524242199</t>
  </si>
  <si>
    <t>varun.chauhan334@yahoo.com</t>
  </si>
  <si>
    <t>LN00551</t>
  </si>
  <si>
    <t>KYC00900</t>
  </si>
  <si>
    <t>LN00552</t>
  </si>
  <si>
    <t>KYC00901</t>
  </si>
  <si>
    <t>Gaurav Kapoor</t>
  </si>
  <si>
    <t>LN00553</t>
  </si>
  <si>
    <t>9515551393</t>
  </si>
  <si>
    <t>gaurav.kapoor926@gmail.com</t>
  </si>
  <si>
    <t>620, Ring Road</t>
  </si>
  <si>
    <t>KYC00902</t>
  </si>
  <si>
    <t>LN00554</t>
  </si>
  <si>
    <t>WBFQD2058Y</t>
  </si>
  <si>
    <t>207372122462</t>
  </si>
  <si>
    <t>LN00555</t>
  </si>
  <si>
    <t>KYC00903</t>
  </si>
  <si>
    <t>CUST00133</t>
  </si>
  <si>
    <t>BMILI3881D</t>
  </si>
  <si>
    <t>444837642359</t>
  </si>
  <si>
    <t>9573154536</t>
  </si>
  <si>
    <t>pallavi.agarwal174@yahoo.com</t>
  </si>
  <si>
    <t>400, Nehru Nagar</t>
  </si>
  <si>
    <t>KYC00904</t>
  </si>
  <si>
    <t>LN00556</t>
  </si>
  <si>
    <t>KYC00905</t>
  </si>
  <si>
    <t>Anand Agarwal</t>
  </si>
  <si>
    <t>ZCATI8784L</t>
  </si>
  <si>
    <t>120530749974</t>
  </si>
  <si>
    <t>LN00557</t>
  </si>
  <si>
    <t>9232612405</t>
  </si>
  <si>
    <t>anand.agarwal386@gmail.com</t>
  </si>
  <si>
    <t>542, Park Street</t>
  </si>
  <si>
    <t>KYC00906</t>
  </si>
  <si>
    <t>PUPRK8413G</t>
  </si>
  <si>
    <t>CUST00006</t>
  </si>
  <si>
    <t>ZEZGC4736N</t>
  </si>
  <si>
    <t>838931086020</t>
  </si>
  <si>
    <t>352709577630</t>
  </si>
  <si>
    <t>KYC00907</t>
  </si>
  <si>
    <t>LN00558</t>
  </si>
  <si>
    <t>Priya Chauhan</t>
  </si>
  <si>
    <t>KYC00908</t>
  </si>
  <si>
    <t>CUST00422</t>
  </si>
  <si>
    <t>9481582945</t>
  </si>
  <si>
    <t>HTYBY2763M</t>
  </si>
  <si>
    <t>priya.chauhan450@gmail.com</t>
  </si>
  <si>
    <t>513165548216</t>
  </si>
  <si>
    <t>901, Nehru Nagar</t>
  </si>
  <si>
    <t>LN00559</t>
  </si>
  <si>
    <t>KYC00909</t>
  </si>
  <si>
    <t>HONLJ0852R</t>
  </si>
  <si>
    <t>342565865146</t>
  </si>
  <si>
    <t>LN00560</t>
  </si>
  <si>
    <t>KYC00910</t>
  </si>
  <si>
    <t>Karan Mishra</t>
  </si>
  <si>
    <t>LZPGU6069A</t>
  </si>
  <si>
    <t>118787928651</t>
  </si>
  <si>
    <t>9761542496</t>
  </si>
  <si>
    <t>karan.mishra243@gmail.com</t>
  </si>
  <si>
    <t>133, Church Street</t>
  </si>
  <si>
    <t>KYC00911</t>
  </si>
  <si>
    <t>LN00561</t>
  </si>
  <si>
    <t>UENWY4224O</t>
  </si>
  <si>
    <t>528943540402</t>
  </si>
  <si>
    <t>Lata Gupta</t>
  </si>
  <si>
    <t>KYC00912</t>
  </si>
  <si>
    <t>9842447757</t>
  </si>
  <si>
    <t>lata.gupta115@gmail.com</t>
  </si>
  <si>
    <t>HKHAE2803K</t>
  </si>
  <si>
    <t>415, Ring Road</t>
  </si>
  <si>
    <t>381881341257</t>
  </si>
  <si>
    <t>LN00562</t>
  </si>
  <si>
    <t>KYC00913</t>
  </si>
  <si>
    <t>CUST00604</t>
  </si>
  <si>
    <t>TXGEG7018W</t>
  </si>
  <si>
    <t>939402701287</t>
  </si>
  <si>
    <t>Rahul Patel</t>
  </si>
  <si>
    <t>9582682732</t>
  </si>
  <si>
    <t>rahul.patel708@gmail.com</t>
  </si>
  <si>
    <t>KYC00914</t>
  </si>
  <si>
    <t>275, Ring Road</t>
  </si>
  <si>
    <t>CUST00663</t>
  </si>
  <si>
    <t>LN00563</t>
  </si>
  <si>
    <t>DSWRO1029N</t>
  </si>
  <si>
    <t>948236928204</t>
  </si>
  <si>
    <t>KYC00915</t>
  </si>
  <si>
    <t>Sunita Agarwal</t>
  </si>
  <si>
    <t>898204605765</t>
  </si>
  <si>
    <t>9764145586</t>
  </si>
  <si>
    <t>LN00564</t>
  </si>
  <si>
    <t>sunita.agarwal905@gmail.com</t>
  </si>
  <si>
    <t>201, Nehru Nagar</t>
  </si>
  <si>
    <t>VIZQL0719K</t>
  </si>
  <si>
    <t>KYC00916</t>
  </si>
  <si>
    <t>164425890901</t>
  </si>
  <si>
    <t>CUST00899</t>
  </si>
  <si>
    <t>WFSDY0003H</t>
  </si>
  <si>
    <t>438525576459</t>
  </si>
  <si>
    <t>LN00565</t>
  </si>
  <si>
    <t>Priya Agarwal</t>
  </si>
  <si>
    <t>KYC00917</t>
  </si>
  <si>
    <t>18532235</t>
  </si>
  <si>
    <t>priya.agarwal694@gmail.com</t>
  </si>
  <si>
    <t>579, FC Road</t>
  </si>
  <si>
    <t>LN00566</t>
  </si>
  <si>
    <t>Sandeep Sharma</t>
  </si>
  <si>
    <t>9281867242</t>
  </si>
  <si>
    <t>736, Nehru Nagar</t>
  </si>
  <si>
    <t>KYC00918</t>
  </si>
  <si>
    <t>LN00567</t>
  </si>
  <si>
    <t>NOLBY8639P</t>
  </si>
  <si>
    <t>715165283002</t>
  </si>
  <si>
    <t>KYC00919</t>
  </si>
  <si>
    <t>LN00568</t>
  </si>
  <si>
    <t>Manish Rao</t>
  </si>
  <si>
    <t>KYC00920</t>
  </si>
  <si>
    <t>9727751349</t>
  </si>
  <si>
    <t>751, MG Road</t>
  </si>
  <si>
    <t>LCXNQ6584K</t>
  </si>
  <si>
    <t>581300782329</t>
  </si>
  <si>
    <t>LN00569</t>
  </si>
  <si>
    <t>KYC00921</t>
  </si>
  <si>
    <t>KYC00922</t>
  </si>
  <si>
    <t>Usha Mishra</t>
  </si>
  <si>
    <t>LN00570</t>
  </si>
  <si>
    <t>9924195467</t>
  </si>
  <si>
    <t>usha.mishra469@gmail.com</t>
  </si>
  <si>
    <t>576, Park Street</t>
  </si>
  <si>
    <t>KYC00923</t>
  </si>
  <si>
    <t>LN00571</t>
  </si>
  <si>
    <t>KYC00924</t>
  </si>
  <si>
    <t>Ritu Chowdhury</t>
  </si>
  <si>
    <t>LN00572</t>
  </si>
  <si>
    <t>CUST00369</t>
  </si>
  <si>
    <t>9351016937</t>
  </si>
  <si>
    <t>ritu.chowdhury627@yahoo.com</t>
  </si>
  <si>
    <t>901, Church Street</t>
  </si>
  <si>
    <t>KYC00925</t>
  </si>
  <si>
    <t>ZXREX7939A</t>
  </si>
  <si>
    <t>876033899376</t>
  </si>
  <si>
    <t>LN00573</t>
  </si>
  <si>
    <t>KYC00926</t>
  </si>
  <si>
    <t>LN00574</t>
  </si>
  <si>
    <t>Komal Naidu</t>
  </si>
  <si>
    <t>KYC00927</t>
  </si>
  <si>
    <t>CXHFT6331X</t>
  </si>
  <si>
    <t>9341674419</t>
  </si>
  <si>
    <t>138636575450</t>
  </si>
  <si>
    <t>komal.naidu672@gmail.com</t>
  </si>
  <si>
    <t>759, MG Road</t>
  </si>
  <si>
    <t>KYC00928</t>
  </si>
  <si>
    <t>LN00575</t>
  </si>
  <si>
    <t>KYC00929</t>
  </si>
  <si>
    <t>LN00576</t>
  </si>
  <si>
    <t>Dinesh Pillai</t>
  </si>
  <si>
    <t>9372784357</t>
  </si>
  <si>
    <t>dinesh.pillai77@yahoo.com</t>
  </si>
  <si>
    <t>LN00577</t>
  </si>
  <si>
    <t>KYC00930</t>
  </si>
  <si>
    <t>351, MG Road</t>
  </si>
  <si>
    <t>CUST00682</t>
  </si>
  <si>
    <t>PWKWD2087J</t>
  </si>
  <si>
    <t>937873485009</t>
  </si>
  <si>
    <t>LN00578</t>
  </si>
  <si>
    <t>KYC00931</t>
  </si>
  <si>
    <t>BQCYQ7791A</t>
  </si>
  <si>
    <t>616082838406</t>
  </si>
  <si>
    <t>KYC00932</t>
  </si>
  <si>
    <t>LN00579</t>
  </si>
  <si>
    <t>Vandana Saxena</t>
  </si>
  <si>
    <t>HXOOJ0779Q</t>
  </si>
  <si>
    <t>014160235522</t>
  </si>
  <si>
    <t>9449166634</t>
  </si>
  <si>
    <t>vandana.saxena553@yahoo.com</t>
  </si>
  <si>
    <t>797, Church Street</t>
  </si>
  <si>
    <t>KYC00933</t>
  </si>
  <si>
    <t>LN00580</t>
  </si>
  <si>
    <t>QBHKH8446B</t>
  </si>
  <si>
    <t>518471796144</t>
  </si>
  <si>
    <t>KYC00934</t>
  </si>
  <si>
    <t>LN00581</t>
  </si>
  <si>
    <t>Vikram Khanna</t>
  </si>
  <si>
    <t>KYC00935</t>
  </si>
  <si>
    <t>9621702834</t>
  </si>
  <si>
    <t>vikram.khanna614@gmail.com</t>
  </si>
  <si>
    <t>LN00582</t>
  </si>
  <si>
    <t>131, Nehru Nagar</t>
  </si>
  <si>
    <t>KYC00936</t>
  </si>
  <si>
    <t>KYC00937</t>
  </si>
  <si>
    <t>LN00583</t>
  </si>
  <si>
    <t>GSKNK2868H</t>
  </si>
  <si>
    <t>460328796937</t>
  </si>
  <si>
    <t>9149673021</t>
  </si>
  <si>
    <t>anand.gupta105@yahoo.com</t>
  </si>
  <si>
    <t>KYC00938</t>
  </si>
  <si>
    <t>553, Church Street</t>
  </si>
  <si>
    <t>CUST00349</t>
  </si>
  <si>
    <t>PCONZ3177B</t>
  </si>
  <si>
    <t>477909436463</t>
  </si>
  <si>
    <t>LN00584</t>
  </si>
  <si>
    <t>KYC00939</t>
  </si>
  <si>
    <t>Vikram Bansal</t>
  </si>
  <si>
    <t>KYC00940</t>
  </si>
  <si>
    <t>LN00585</t>
  </si>
  <si>
    <t>9101227385</t>
  </si>
  <si>
    <t>vikram.bansal996@gmail.com</t>
  </si>
  <si>
    <t>477, Ring Road</t>
  </si>
  <si>
    <t>FTZTN1512D</t>
  </si>
  <si>
    <t>649849313949</t>
  </si>
  <si>
    <t>KYC00941</t>
  </si>
  <si>
    <t>YJGIY3766M</t>
  </si>
  <si>
    <t>903949729764</t>
  </si>
  <si>
    <t>LN00586</t>
  </si>
  <si>
    <t>KYC00942</t>
  </si>
  <si>
    <t>Aditya Mishra</t>
  </si>
  <si>
    <t>EQNAE7616J</t>
  </si>
  <si>
    <t>784625546477</t>
  </si>
  <si>
    <t>5537801460</t>
  </si>
  <si>
    <t>aditya.mishra436@gmail.com</t>
  </si>
  <si>
    <t>619, Ring Road</t>
  </si>
  <si>
    <t>KYC00943</t>
  </si>
  <si>
    <t>CUST00873</t>
  </si>
  <si>
    <t>LN00587</t>
  </si>
  <si>
    <t>WPMUA2189P</t>
  </si>
  <si>
    <t>076512001869</t>
  </si>
  <si>
    <t>KYC00944</t>
  </si>
  <si>
    <t>Harish Reddy</t>
  </si>
  <si>
    <t>LN00588</t>
  </si>
  <si>
    <t>9582790929</t>
  </si>
  <si>
    <t>KYC00945</t>
  </si>
  <si>
    <t>harish.reddy927@gmail.com</t>
  </si>
  <si>
    <t>553, Nehru Nagar</t>
  </si>
  <si>
    <t>RJFMM5082T</t>
  </si>
  <si>
    <t>951344012209</t>
  </si>
  <si>
    <t>LN00589</t>
  </si>
  <si>
    <t>CUST00562</t>
  </si>
  <si>
    <t>Ramesh Kumar</t>
  </si>
  <si>
    <t>LN00590</t>
  </si>
  <si>
    <t>9466786325</t>
  </si>
  <si>
    <t>310, Park Street</t>
  </si>
  <si>
    <t>LN00591</t>
  </si>
  <si>
    <t>Rakesh Arora</t>
  </si>
  <si>
    <t>9992489960</t>
  </si>
  <si>
    <t>rakesh.arora665@yahoo.com</t>
  </si>
  <si>
    <t>771, Nehru Nagar</t>
  </si>
  <si>
    <t>LN00592</t>
  </si>
  <si>
    <t>LN00593</t>
  </si>
  <si>
    <t>Yogesh Kulkarni</t>
  </si>
  <si>
    <t>9344678282</t>
  </si>
  <si>
    <t>yogesh.kulkarni297@gmail.com</t>
  </si>
  <si>
    <t>831, Ring Road</t>
  </si>
  <si>
    <t>LN00594</t>
  </si>
  <si>
    <t>Payal Ghosh</t>
  </si>
  <si>
    <t>LN00595</t>
  </si>
  <si>
    <t>9115788081</t>
  </si>
  <si>
    <t>payal.ghosh409@gmail.com</t>
  </si>
  <si>
    <t>717, MG Road</t>
  </si>
  <si>
    <t>LN00596</t>
  </si>
  <si>
    <t>CUST00249</t>
  </si>
  <si>
    <t>Pallavi Verma</t>
  </si>
  <si>
    <t>9691689058</t>
  </si>
  <si>
    <t>pallavi.verma249@yahoo.com</t>
  </si>
  <si>
    <t>294, FC Road</t>
  </si>
  <si>
    <t>LN00597</t>
  </si>
  <si>
    <t>LMEAX6987S</t>
  </si>
  <si>
    <t>Jyoti Pillai</t>
  </si>
  <si>
    <t>LN00598</t>
  </si>
  <si>
    <t>9428331242</t>
  </si>
  <si>
    <t>jyoti.pillai196@yahoo.com</t>
  </si>
  <si>
    <t>683, FC Road</t>
  </si>
  <si>
    <t>LN00599</t>
  </si>
  <si>
    <t>LN00600</t>
  </si>
  <si>
    <t>9112368184</t>
  </si>
  <si>
    <t>anita.pillai962@gmail.com</t>
  </si>
  <si>
    <t>23, Park Street</t>
  </si>
  <si>
    <t>Aditya Malhotra</t>
  </si>
  <si>
    <t>aditya.malhotra995@gmail.com</t>
  </si>
  <si>
    <t>628, Church Street</t>
  </si>
  <si>
    <t>9984276229</t>
  </si>
  <si>
    <t>Naveen Desai</t>
  </si>
  <si>
    <t>9455008935</t>
  </si>
  <si>
    <t>naveen.desai763@gmail.com</t>
  </si>
  <si>
    <t>181, Nehru Nagar</t>
  </si>
  <si>
    <t>Manoj Singh</t>
  </si>
  <si>
    <t>9627662067</t>
  </si>
  <si>
    <t>manoj.singh397@yahoo.com</t>
  </si>
  <si>
    <t>32, Church Street</t>
  </si>
  <si>
    <t>9075468344</t>
  </si>
  <si>
    <t>manish.chatterjee947@gmail.com</t>
  </si>
  <si>
    <t>621, MG Road</t>
  </si>
  <si>
    <t>Kajal Joshi</t>
  </si>
  <si>
    <t>9053784503</t>
  </si>
  <si>
    <t>kajal.joshi536@gmail.com</t>
  </si>
  <si>
    <t>603, Church Street</t>
  </si>
  <si>
    <t>Harish Khanna</t>
  </si>
  <si>
    <t>9564616493</t>
  </si>
  <si>
    <t>harish.khanna350@gmail.com</t>
  </si>
  <si>
    <t>4, Church Street</t>
  </si>
  <si>
    <t>Ashok Kapoor</t>
  </si>
  <si>
    <t>0202432887</t>
  </si>
  <si>
    <t>ashok.kapoor281@yahoo.com</t>
  </si>
  <si>
    <t>399, MG Road</t>
  </si>
  <si>
    <t>HFFZV1558D</t>
  </si>
  <si>
    <t>788074481092</t>
  </si>
  <si>
    <t>8062743080</t>
  </si>
  <si>
    <t>swati.bhatt467@yahoo.com</t>
  </si>
  <si>
    <t>567, FC Road</t>
  </si>
  <si>
    <t>Geeta Bansal</t>
  </si>
  <si>
    <t>9296668914</t>
  </si>
  <si>
    <t>geeta.bansal846@yahoo.com</t>
  </si>
  <si>
    <t>284, Nehru Nagar</t>
  </si>
  <si>
    <t>Sarita Ghosh</t>
  </si>
  <si>
    <t>9840978591</t>
  </si>
  <si>
    <t>sarita.ghosh43@gmail.com</t>
  </si>
  <si>
    <t>661, Nehru Nagar</t>
  </si>
  <si>
    <t>Kajal Naidu</t>
  </si>
  <si>
    <t>9341199781</t>
  </si>
  <si>
    <t>209, FC Road</t>
  </si>
  <si>
    <t>Naveen Kulkarni</t>
  </si>
  <si>
    <t>9992127364</t>
  </si>
  <si>
    <t>naveen.kulkarni915@gmail.com</t>
  </si>
  <si>
    <t>463, Park Street</t>
  </si>
  <si>
    <t>9478407676</t>
  </si>
  <si>
    <t>dinesh.verma604@yahoo.com</t>
  </si>
  <si>
    <t>922, Ring Road</t>
  </si>
  <si>
    <t>Divya Bansal</t>
  </si>
  <si>
    <t>9707558957</t>
  </si>
  <si>
    <t>divya.bansal994@gmail.com</t>
  </si>
  <si>
    <t>234, Park Street</t>
  </si>
  <si>
    <t>Deepak Pillai</t>
  </si>
  <si>
    <t>deepak.pillai810@gmail.com</t>
  </si>
  <si>
    <t>285, MG Road</t>
  </si>
  <si>
    <t>Aditya Trivedi</t>
  </si>
  <si>
    <t>9201911788</t>
  </si>
  <si>
    <t>aditya.trivedi379@yahoo.com</t>
  </si>
  <si>
    <t>110, Ring Road</t>
  </si>
  <si>
    <t>Rekha Saxena</t>
  </si>
  <si>
    <t>9922416532</t>
  </si>
  <si>
    <t>rekha.saxena856@gmail.com</t>
  </si>
  <si>
    <t>486, MG Road</t>
  </si>
  <si>
    <t>9392280547</t>
  </si>
  <si>
    <t>arun.bansal230@gmail.com</t>
  </si>
  <si>
    <t>714, Nehru Nagar</t>
  </si>
  <si>
    <t>CUST00889</t>
  </si>
  <si>
    <t>Namrata Sharma</t>
  </si>
  <si>
    <t>9668068201</t>
  </si>
  <si>
    <t>namrata.sharma889@gmail.com</t>
  </si>
  <si>
    <t>580, FC Road</t>
  </si>
  <si>
    <t>DBGHO1589I</t>
  </si>
  <si>
    <t>502683347771</t>
  </si>
  <si>
    <t>Siddharth Trivedi</t>
  </si>
  <si>
    <t>79075489</t>
  </si>
  <si>
    <t>siddharth.trivedi681@yahoo.com</t>
  </si>
  <si>
    <t>795, FC Road</t>
  </si>
  <si>
    <t>RZBDA2709O</t>
  </si>
  <si>
    <t>768397367685</t>
  </si>
  <si>
    <t>Anil Kumar</t>
  </si>
  <si>
    <t>9133950521</t>
  </si>
  <si>
    <t>anil.kumar176@yahoo.com</t>
  </si>
  <si>
    <t>222, FC Road</t>
  </si>
  <si>
    <t>Vikram Verma</t>
  </si>
  <si>
    <t>9098417483</t>
  </si>
  <si>
    <t>vikram.verma19@gmail.com</t>
  </si>
  <si>
    <t>730, FC Road</t>
  </si>
  <si>
    <t>Rani Singh</t>
  </si>
  <si>
    <t>9623957252</t>
  </si>
  <si>
    <t>rani.singh206@gmail.com</t>
  </si>
  <si>
    <t>647, Park Street</t>
  </si>
  <si>
    <t>Neha Mehta</t>
  </si>
  <si>
    <t>9558642272</t>
  </si>
  <si>
    <t>neha.mehta615@gmail.com</t>
  </si>
  <si>
    <t>Amit Nair</t>
  </si>
  <si>
    <t>9489114199</t>
  </si>
  <si>
    <t>amit.nair619@yahoo.com</t>
  </si>
  <si>
    <t>164, Nehru Nagar</t>
  </si>
  <si>
    <t>Shalini Joshi</t>
  </si>
  <si>
    <t>9379729067</t>
  </si>
  <si>
    <t>shalini.joshi574@yahoo.com</t>
  </si>
  <si>
    <t>587, FC Road</t>
  </si>
  <si>
    <t>Rajesh Goel</t>
  </si>
  <si>
    <t>9035941002</t>
  </si>
  <si>
    <t>rajesh.goel671@gmail.com</t>
  </si>
  <si>
    <t>483, MG Road</t>
  </si>
  <si>
    <t>Usha Msihra</t>
  </si>
  <si>
    <t>9405541541</t>
  </si>
  <si>
    <t>usha.mishra626@gmail.com</t>
  </si>
  <si>
    <t>704, Nehru Nagar</t>
  </si>
  <si>
    <t>Jyoti Arora</t>
  </si>
  <si>
    <t>9992010430</t>
  </si>
  <si>
    <t>jyoti.arora908@yahoo.com</t>
  </si>
  <si>
    <t>Varun Patel</t>
  </si>
  <si>
    <t>9098113643</t>
  </si>
  <si>
    <t>varun.patel766@gmail.com</t>
  </si>
  <si>
    <t>9515895787</t>
  </si>
  <si>
    <t>bhavna.agarwal361@yahoo.com</t>
  </si>
  <si>
    <t>140, Ring Road</t>
  </si>
  <si>
    <t>Kavita Mishra</t>
  </si>
  <si>
    <t>9094075916</t>
  </si>
  <si>
    <t>kavita.mishra80@yahoo.com</t>
  </si>
  <si>
    <t>454, Nehru Nagar</t>
  </si>
  <si>
    <t>Shreya Ghosh</t>
  </si>
  <si>
    <t>9280723583</t>
  </si>
  <si>
    <t>shreya.ghosh79@gmail.com</t>
  </si>
  <si>
    <t>665, Church Street</t>
  </si>
  <si>
    <t>Ajay Pillai</t>
  </si>
  <si>
    <t>9458808186</t>
  </si>
  <si>
    <t>ajay.pillai863@gmail.com</t>
  </si>
  <si>
    <t>541, Ring Road</t>
  </si>
  <si>
    <t>Rohan Naidu</t>
  </si>
  <si>
    <t>9382856862</t>
  </si>
  <si>
    <t>rohan.naidu650@gmail.com</t>
  </si>
  <si>
    <t>640, Park Street</t>
  </si>
  <si>
    <t>Rajesh Arora</t>
  </si>
  <si>
    <t>24911678</t>
  </si>
  <si>
    <t>rajesh.arora959@yahoo.com</t>
  </si>
  <si>
    <t>Rahul Rane</t>
  </si>
  <si>
    <t>9328401751</t>
  </si>
  <si>
    <t>rahul.rane919@gmail.com</t>
  </si>
  <si>
    <t>936, Church Street</t>
  </si>
  <si>
    <t>Pooja Bose</t>
  </si>
  <si>
    <t>9748336016</t>
  </si>
  <si>
    <t>pooja.bose641@gmail.com</t>
  </si>
  <si>
    <t>472, Nehru Nagar</t>
  </si>
  <si>
    <t>CUST00690</t>
  </si>
  <si>
    <t>9880391267</t>
  </si>
  <si>
    <t>anand.gupta690@yahoo.com</t>
  </si>
  <si>
    <t>QFDYU0630N</t>
  </si>
  <si>
    <t>Vivek Naidu</t>
  </si>
  <si>
    <t>9926313116</t>
  </si>
  <si>
    <t>vivek.naidu217@yahoo.com</t>
  </si>
  <si>
    <t>799, Nehru Nagar</t>
  </si>
  <si>
    <t>Harish Shah</t>
  </si>
  <si>
    <t>9442586080</t>
  </si>
  <si>
    <t>harish.shah732@gmail.com</t>
  </si>
  <si>
    <t>847, Church Street</t>
  </si>
  <si>
    <t>9410484541</t>
  </si>
  <si>
    <t>Radha Agarwal</t>
  </si>
  <si>
    <t>9908808360</t>
  </si>
  <si>
    <t>radha.agarwal722@gmail.com</t>
  </si>
  <si>
    <t>805, FC Road</t>
  </si>
  <si>
    <t>Ajay Kulkarni</t>
  </si>
  <si>
    <t>9048364011</t>
  </si>
  <si>
    <t>587, Church Street</t>
  </si>
  <si>
    <t>9140227023</t>
  </si>
  <si>
    <t>anjali.iyer612@gmail.com</t>
  </si>
  <si>
    <t>495, Nehru Nagar</t>
  </si>
  <si>
    <t>Varun Tiwari</t>
  </si>
  <si>
    <t>9970494577</t>
  </si>
  <si>
    <t>varun.tiwari111@gmail.com</t>
  </si>
  <si>
    <t>843, FC Road</t>
  </si>
  <si>
    <t>Komal Rao</t>
  </si>
  <si>
    <t>9626578919</t>
  </si>
  <si>
    <t>komal.rao290@gmail.com</t>
  </si>
  <si>
    <t>862, Church Street</t>
  </si>
  <si>
    <t>Jyoti Goel</t>
  </si>
  <si>
    <t>9363511638</t>
  </si>
  <si>
    <t>Pallavi Reddy</t>
  </si>
  <si>
    <t>9134823009</t>
  </si>
  <si>
    <t>pallavi.reddy600@yahoo.com</t>
  </si>
  <si>
    <t>343, FC Road</t>
  </si>
  <si>
    <t>Sarita Shah</t>
  </si>
  <si>
    <t>9666552472</t>
  </si>
  <si>
    <t>sarita.shah212@gmail.com</t>
  </si>
  <si>
    <t>Bhavna Kumar</t>
  </si>
  <si>
    <t>9570090010</t>
  </si>
  <si>
    <t>bhavna.kumar188@gmail.com</t>
  </si>
  <si>
    <t>699, Nehru Nagar</t>
  </si>
  <si>
    <t>ECLDQ5146F</t>
  </si>
  <si>
    <t>Suman Chopra</t>
  </si>
  <si>
    <t>9475085893</t>
  </si>
  <si>
    <t>suman.chopra780@yahoo.com</t>
  </si>
  <si>
    <t>563, MG Road</t>
  </si>
  <si>
    <t>Neha Ghosh</t>
  </si>
  <si>
    <t>9268166441</t>
  </si>
  <si>
    <t>neha.ghosh128@gmail.com</t>
  </si>
  <si>
    <t>602, Nehru Nagar</t>
  </si>
  <si>
    <t>CUST00654</t>
  </si>
  <si>
    <t>Bhavna Sharma</t>
  </si>
  <si>
    <t>9970423407</t>
  </si>
  <si>
    <t>bhavna.sharma654@yahoo.com</t>
  </si>
  <si>
    <t>750, MG Road</t>
  </si>
  <si>
    <t>EDXYN3601Y</t>
  </si>
  <si>
    <t>645885785555</t>
  </si>
  <si>
    <t>Namrata Saxena</t>
  </si>
  <si>
    <t>9610316863</t>
  </si>
  <si>
    <t>namrata.saxena103@gmail.com</t>
  </si>
  <si>
    <t>738, Church Street</t>
  </si>
  <si>
    <t>9144592321</t>
  </si>
  <si>
    <t>856, FC Road</t>
  </si>
  <si>
    <t>9036821141</t>
  </si>
  <si>
    <t>Bhavna Desai</t>
  </si>
  <si>
    <t>9518373453</t>
  </si>
  <si>
    <t>bhavna.desai633@gmail.com</t>
  </si>
  <si>
    <t>47, FC Road</t>
  </si>
  <si>
    <t>Vivek Bhatt</t>
  </si>
  <si>
    <t>9112776434</t>
  </si>
  <si>
    <t>vivek.bhatt488@gmail.com</t>
  </si>
  <si>
    <t>748, Ring Road</t>
  </si>
  <si>
    <t>Karan Pandey</t>
  </si>
  <si>
    <t>9972946419</t>
  </si>
  <si>
    <t>karan.pandey183@gmail.com</t>
  </si>
  <si>
    <t>302, MG Road</t>
  </si>
  <si>
    <t>Abhishek Menon</t>
  </si>
  <si>
    <t>02363821</t>
  </si>
  <si>
    <t>abhishek.menon647@gmail.com</t>
  </si>
  <si>
    <t>514, FC Road</t>
  </si>
  <si>
    <t>Anita Arora</t>
  </si>
  <si>
    <t>9655763701</t>
  </si>
  <si>
    <t>anita.arora716@gmail.com</t>
  </si>
  <si>
    <t>143, Church Street</t>
  </si>
  <si>
    <t>Anil Patel</t>
  </si>
  <si>
    <t>9736518994</t>
  </si>
  <si>
    <t>anil.patel622@gmail.com</t>
  </si>
  <si>
    <t>604, Park Street</t>
  </si>
  <si>
    <t>Manish Naidu</t>
  </si>
  <si>
    <t>9319586616</t>
  </si>
  <si>
    <t>manish.naidu306@gmail.com</t>
  </si>
  <si>
    <t>560, Park Street</t>
  </si>
  <si>
    <t>Sunil Tiwari</t>
  </si>
  <si>
    <t>9289009941</t>
  </si>
  <si>
    <t>sunil.tiwari804@gmail.com</t>
  </si>
  <si>
    <t>601, FC Road</t>
  </si>
  <si>
    <t>Bhavna Verma</t>
  </si>
  <si>
    <t>9947394193</t>
  </si>
  <si>
    <t>bhavna.verma369@gmail.com</t>
  </si>
  <si>
    <t>791, Church Street</t>
  </si>
  <si>
    <t>SCOGQ0179R</t>
  </si>
  <si>
    <t>112492093038</t>
  </si>
  <si>
    <t>Sanjay Yadav</t>
  </si>
  <si>
    <t>9996035648</t>
  </si>
  <si>
    <t>sanjay.yadav811@gmail.com</t>
  </si>
  <si>
    <t>384, Ring Road</t>
  </si>
  <si>
    <t>Karan Shah</t>
  </si>
  <si>
    <t>9771372727</t>
  </si>
  <si>
    <t>karan.shah920@gmail.com</t>
  </si>
  <si>
    <t>644, Park Street</t>
  </si>
  <si>
    <t>Sunil Chauhan</t>
  </si>
  <si>
    <t>9350778958</t>
  </si>
  <si>
    <t>sunil.chauhan918@gmail.com</t>
  </si>
  <si>
    <t>829, Church Street</t>
  </si>
  <si>
    <t>Arjun Trivedi</t>
  </si>
  <si>
    <t>0206747126</t>
  </si>
  <si>
    <t>arjun.trivedi869@gmail.com</t>
  </si>
  <si>
    <t>99, MG Road</t>
  </si>
  <si>
    <t>Vinod Agarwal</t>
  </si>
  <si>
    <t>9480407832</t>
  </si>
  <si>
    <t>vinod.agarwal248@yahoo.com</t>
  </si>
  <si>
    <t>699, MG Road</t>
  </si>
  <si>
    <t>9043577642</t>
  </si>
  <si>
    <t>pankaj.kapoor218@yahoo.com</t>
  </si>
  <si>
    <t>608, Ring Road</t>
  </si>
  <si>
    <t>Manoj Malhotra</t>
  </si>
  <si>
    <t>9609806517</t>
  </si>
  <si>
    <t>manoj.malhotra518@gmail.com</t>
  </si>
  <si>
    <t>783, Nehru Nagar</t>
  </si>
  <si>
    <t>Anjali Saxena</t>
  </si>
  <si>
    <t>9114772640</t>
  </si>
  <si>
    <t>anjali.saxena93@gmail.com</t>
  </si>
  <si>
    <t>261, MG Road</t>
  </si>
  <si>
    <t>Preeti Kumar</t>
  </si>
  <si>
    <t>9903312850</t>
  </si>
  <si>
    <t>preeti.kumar590@yahoo.com</t>
  </si>
  <si>
    <t>727, Church Street</t>
  </si>
  <si>
    <t>9673178227</t>
  </si>
  <si>
    <t>shreya.bhatt181@gmail.com</t>
  </si>
  <si>
    <t>190, Church Street</t>
  </si>
  <si>
    <t>NNBHC6742K</t>
  </si>
  <si>
    <t>554466920020</t>
  </si>
  <si>
    <t>Usha Ghosh</t>
  </si>
  <si>
    <t>9350723969</t>
  </si>
  <si>
    <t>usha.ghosh717@yahoo.com</t>
  </si>
  <si>
    <t>827, MG Road</t>
  </si>
  <si>
    <t>Sneha Pandey</t>
  </si>
  <si>
    <t>9944302941</t>
  </si>
  <si>
    <t>sneha.pandey830@yahoo.com</t>
  </si>
  <si>
    <t>799, Park Street</t>
  </si>
  <si>
    <t>Vandana Pandey</t>
  </si>
  <si>
    <t>9850396201</t>
  </si>
  <si>
    <t>vandana.pandey139@yahoo.com</t>
  </si>
  <si>
    <t>563551462956</t>
  </si>
  <si>
    <t>Rajesh Kumar</t>
  </si>
  <si>
    <t>9319459237</t>
  </si>
  <si>
    <t>rajesh.kumar330@yahoo.com</t>
  </si>
  <si>
    <t>130, MG Road</t>
  </si>
  <si>
    <t>Kirti Kapoor</t>
  </si>
  <si>
    <t>kirti.kapoor880@gmail.com</t>
  </si>
  <si>
    <t>775, Park Street</t>
  </si>
  <si>
    <t>Rajesh Yadav</t>
  </si>
  <si>
    <t>9860750302</t>
  </si>
  <si>
    <t>rajesh.yadav593@gmail.com</t>
  </si>
  <si>
    <t>783, Park Street</t>
  </si>
  <si>
    <t>HPICW3885E</t>
  </si>
  <si>
    <t>721164539310</t>
  </si>
  <si>
    <t>Deepak Malhotra</t>
  </si>
  <si>
    <t>9232357655</t>
  </si>
  <si>
    <t>deepak.malhotra952@yahoo.com</t>
  </si>
  <si>
    <t>44, Church Street</t>
  </si>
  <si>
    <t>9780178075</t>
  </si>
  <si>
    <t>vikram.rane484@gmail.com</t>
  </si>
  <si>
    <t>537, FC Road</t>
  </si>
  <si>
    <t>Karan Bose</t>
  </si>
  <si>
    <t>6845098254</t>
  </si>
  <si>
    <t>karan.bose559@yahoo.com</t>
  </si>
  <si>
    <t>849, Church Street</t>
  </si>
  <si>
    <t>Vikarm Goel</t>
  </si>
  <si>
    <t>9687399347</t>
  </si>
  <si>
    <t>vikram.goel453@gmail.com</t>
  </si>
  <si>
    <t>214, FC Road</t>
  </si>
  <si>
    <t>Bombay</t>
  </si>
  <si>
    <t>Varun Reddy</t>
  </si>
  <si>
    <t>677, FC Road</t>
  </si>
  <si>
    <t>Deepak Singh</t>
  </si>
  <si>
    <t>9055972399</t>
  </si>
  <si>
    <t>deepak.singh546@gmail.com</t>
  </si>
  <si>
    <t>616, Nehru Nagar</t>
  </si>
  <si>
    <t>Usha Desai</t>
  </si>
  <si>
    <t>9245600973</t>
  </si>
  <si>
    <t>usha.desai478@yahoo.com</t>
  </si>
  <si>
    <t>725, Ring Road</t>
  </si>
  <si>
    <t>9584598098</t>
  </si>
  <si>
    <t>varun.iyer644@yahoo.com</t>
  </si>
  <si>
    <t>27, Nehru Nagar</t>
  </si>
  <si>
    <t>Ramesh Chatterjee</t>
  </si>
  <si>
    <t>9773593633</t>
  </si>
  <si>
    <t>ramesh.chatterjee474@gmail.com</t>
  </si>
  <si>
    <t>33, Nehru Nagar</t>
  </si>
  <si>
    <t>Nikhil Chowdhury</t>
  </si>
  <si>
    <t>9679933693</t>
  </si>
  <si>
    <t>nikhil.chowdhury560@yahoo.com</t>
  </si>
  <si>
    <t>175, Nehru Nagar</t>
  </si>
  <si>
    <t>Amit Bansal</t>
  </si>
  <si>
    <t>9446586337</t>
  </si>
  <si>
    <t>amit.bansal558@gmail.com</t>
  </si>
  <si>
    <t>553, Park Street</t>
  </si>
  <si>
    <t>8344412857</t>
  </si>
  <si>
    <t>anil.trivedi974@gmail.com</t>
  </si>
  <si>
    <t>588, Church Street</t>
  </si>
  <si>
    <t>Komal Patel</t>
  </si>
  <si>
    <t>9515409608</t>
  </si>
  <si>
    <t>593, Ring Road</t>
  </si>
  <si>
    <t>Ramesh Joshi</t>
  </si>
  <si>
    <t>9807930274</t>
  </si>
  <si>
    <t>ramesh.joshi695@gmail.com</t>
  </si>
  <si>
    <t>581, MG Road</t>
  </si>
  <si>
    <t>Girish Bose</t>
  </si>
  <si>
    <t>9548799885</t>
  </si>
  <si>
    <t>girish.bose870@gmail.com</t>
  </si>
  <si>
    <t>602, FC Road</t>
  </si>
  <si>
    <t>Preeti Trivedi</t>
  </si>
  <si>
    <t>9514880321</t>
  </si>
  <si>
    <t>preeti.trivedi476@gmail.com</t>
  </si>
  <si>
    <t>232, FC Road</t>
  </si>
  <si>
    <t>Meera Khanna</t>
  </si>
  <si>
    <t>9915184397</t>
  </si>
  <si>
    <t>meera.khanna660@gmail.com</t>
  </si>
  <si>
    <t>15, MG Road</t>
  </si>
  <si>
    <t>9892468953</t>
  </si>
  <si>
    <t>ashok.bhatt177@gmail.com</t>
  </si>
  <si>
    <t>75, Park Street</t>
  </si>
  <si>
    <t>Jyoti Patel</t>
  </si>
  <si>
    <t>9004918053</t>
  </si>
  <si>
    <t>242, FC Road</t>
  </si>
  <si>
    <t>Ritu Nair</t>
  </si>
  <si>
    <t>9079814840</t>
  </si>
  <si>
    <t>ritu.nair116@gmail.com</t>
  </si>
  <si>
    <t>733, Ring Road</t>
  </si>
  <si>
    <t>Deepa Dutta</t>
  </si>
  <si>
    <t>9181208301</t>
  </si>
  <si>
    <t>deepa.dutta266@yahoo.com</t>
  </si>
  <si>
    <t>428, MG Road</t>
  </si>
  <si>
    <t>384978487769</t>
  </si>
  <si>
    <t>Harish Menon</t>
  </si>
  <si>
    <t>50729769</t>
  </si>
  <si>
    <t>harish.menon608@yahoo.com</t>
  </si>
  <si>
    <t>25, Church Street</t>
  </si>
  <si>
    <t>Kajal Reddy</t>
  </si>
  <si>
    <t>9132601377</t>
  </si>
  <si>
    <t>kajal.reddy922@gmail.com</t>
  </si>
  <si>
    <t>Pooja Rane</t>
  </si>
  <si>
    <t>0758427456</t>
  </si>
  <si>
    <t>pooja.rane806@yahoo.com</t>
  </si>
  <si>
    <t>369, Nehru Nagar</t>
  </si>
  <si>
    <t>9155720026</t>
  </si>
  <si>
    <t>rani.arora36@gmail.com</t>
  </si>
  <si>
    <t>355, Park Street</t>
  </si>
  <si>
    <t>9004502298</t>
  </si>
  <si>
    <t>manish.nair525@gmail.com</t>
  </si>
  <si>
    <t>121, Church Street</t>
  </si>
  <si>
    <t>Sneha Dutta</t>
  </si>
  <si>
    <t>9856126848</t>
  </si>
  <si>
    <t>sneha.dutta648@gmail.com</t>
  </si>
  <si>
    <t>599, Church Street</t>
  </si>
  <si>
    <t>Rahul Saxena</t>
  </si>
  <si>
    <t>9377244446</t>
  </si>
  <si>
    <t>rahul.saxena818@gmail.com</t>
  </si>
  <si>
    <t>959, Park Street</t>
  </si>
  <si>
    <t>9826041501</t>
  </si>
  <si>
    <t>lata.bansal250@gmail.com</t>
  </si>
  <si>
    <t>807, FC Road</t>
  </si>
  <si>
    <t>Pankaj Saxena</t>
  </si>
  <si>
    <t>9607086928</t>
  </si>
  <si>
    <t>pankaj.saxena616@gmail.com</t>
  </si>
  <si>
    <t>976, Park Street</t>
  </si>
  <si>
    <t>Vandana Bhatt</t>
  </si>
  <si>
    <t>9535434790</t>
  </si>
  <si>
    <t>vandana.bhatt829@yahoo.com</t>
  </si>
  <si>
    <t>154, Church Street</t>
  </si>
  <si>
    <t>Bhavna Iyer</t>
  </si>
  <si>
    <t>9421753801</t>
  </si>
  <si>
    <t>bhavna.iyer429@gmail.com</t>
  </si>
  <si>
    <t>823, Nehru Nagar</t>
  </si>
  <si>
    <t>Suresh Pandey</t>
  </si>
  <si>
    <t>9415098007</t>
  </si>
  <si>
    <t>suresh.pandey408@yahoo.com</t>
  </si>
  <si>
    <t>967, Ring Road</t>
  </si>
  <si>
    <t>Anita Gupta</t>
  </si>
  <si>
    <t>2036256425</t>
  </si>
  <si>
    <t>anita.gupta768@gmail.com</t>
  </si>
  <si>
    <t>976, FC Road</t>
  </si>
  <si>
    <t>Neha Nair</t>
  </si>
  <si>
    <t>9316063281</t>
  </si>
  <si>
    <t>neha.nair404@gmail.com</t>
  </si>
  <si>
    <t>11, FC Road</t>
  </si>
  <si>
    <t>Ramesh Reddy</t>
  </si>
  <si>
    <t>36516923</t>
  </si>
  <si>
    <t>ramesh.reddy516@gmail.com</t>
  </si>
  <si>
    <t>107, Ring Road</t>
  </si>
  <si>
    <t>Payal Dutta</t>
  </si>
  <si>
    <t>9780966850</t>
  </si>
  <si>
    <t>payal.dutta836@yahoo.com</t>
  </si>
  <si>
    <t>217, Park Street</t>
  </si>
  <si>
    <t>rohan.goel778@yahoo.com</t>
  </si>
  <si>
    <t>870, Park Street</t>
  </si>
  <si>
    <t>Amit Chauhan</t>
  </si>
  <si>
    <t>9114624577</t>
  </si>
  <si>
    <t>amit.chauhan160@yahoo.com</t>
  </si>
  <si>
    <t>846, Ring Road</t>
  </si>
  <si>
    <t>DMERF3241V</t>
  </si>
  <si>
    <t>148134381103</t>
  </si>
  <si>
    <t>Kirti Pandey</t>
  </si>
  <si>
    <t>9851772952</t>
  </si>
  <si>
    <t>kirti.pandey960@gmail.com</t>
  </si>
  <si>
    <t>415, FC Road</t>
  </si>
  <si>
    <t>RNQSJ4925L</t>
  </si>
  <si>
    <t>846394426850</t>
  </si>
  <si>
    <t>Ramesh Kulkarni</t>
  </si>
  <si>
    <t>9404893637</t>
  </si>
  <si>
    <t>ramesh.kulkarni552@gmail.com</t>
  </si>
  <si>
    <t>628, Nehru Nagar</t>
  </si>
  <si>
    <t>9727188408</t>
  </si>
  <si>
    <t>varun.reddy613@gmail.com</t>
  </si>
  <si>
    <t>897, Nehru Nagar</t>
  </si>
  <si>
    <t>Sneha Khanna</t>
  </si>
  <si>
    <t>9511544846</t>
  </si>
  <si>
    <t>sneha.khanna725@gmail.com</t>
  </si>
  <si>
    <t>195, FC Road</t>
  </si>
  <si>
    <t>Siddharth Malhotra</t>
  </si>
  <si>
    <t>siddharth.malhotra547@yahoo.com</t>
  </si>
  <si>
    <t>240, Ring Road</t>
  </si>
  <si>
    <t>9003509765</t>
  </si>
  <si>
    <t>varun.patel510@gmail.com</t>
  </si>
  <si>
    <t>470, Park Street</t>
  </si>
  <si>
    <t>Vinod Verma</t>
  </si>
  <si>
    <t>9451480150</t>
  </si>
  <si>
    <t>vinod.verma878@gmail.com</t>
  </si>
  <si>
    <t>120, Nehru Nagar</t>
  </si>
  <si>
    <t>Deepak Naidu</t>
  </si>
  <si>
    <t>9929134365</t>
  </si>
  <si>
    <t>deepak.naidu630@gmail.com</t>
  </si>
  <si>
    <t>725, MG Road</t>
  </si>
  <si>
    <t>CUST00839</t>
  </si>
  <si>
    <t>Aarti Bose</t>
  </si>
  <si>
    <t>9471355565</t>
  </si>
  <si>
    <t>aarti.bose839@gmail.com</t>
  </si>
  <si>
    <t>565, MG Road</t>
  </si>
  <si>
    <t>ZNSGZ6109N</t>
  </si>
  <si>
    <t>651778351790</t>
  </si>
  <si>
    <t>Ajay Kumar</t>
  </si>
  <si>
    <t>9499813542</t>
  </si>
  <si>
    <t>ajay.kumar572@yahoo.com</t>
  </si>
  <si>
    <t>598, MG Road</t>
  </si>
  <si>
    <t>9634980574</t>
  </si>
  <si>
    <t>9909080444</t>
  </si>
  <si>
    <t>Kavita Nair</t>
  </si>
  <si>
    <t>9181838707</t>
  </si>
  <si>
    <t>kavita.nair318@yahoo.com</t>
  </si>
  <si>
    <t>420, FC Road</t>
  </si>
  <si>
    <t>Kiran Joshi</t>
  </si>
  <si>
    <t>9621740993</t>
  </si>
  <si>
    <t>kiran.joshi226@gmail.com</t>
  </si>
  <si>
    <t>9265933581</t>
  </si>
  <si>
    <t>varun.patel117@yahoo.com</t>
  </si>
  <si>
    <t>348, Park Street</t>
  </si>
  <si>
    <t>Sanjay Sharma</t>
  </si>
  <si>
    <t>9509600800</t>
  </si>
  <si>
    <t>sanjay.sharma972@gmail.com</t>
  </si>
  <si>
    <t>719, Park Street</t>
  </si>
  <si>
    <t>Jyoti Khanna</t>
  </si>
  <si>
    <t>9243881311</t>
  </si>
  <si>
    <t>jyoti.khanna556@yahoo.com</t>
  </si>
  <si>
    <t>60, Park Street</t>
  </si>
  <si>
    <t>9757588926</t>
  </si>
  <si>
    <t>anjali.iyer492@gmail.com</t>
  </si>
  <si>
    <t>249, FC Road</t>
  </si>
  <si>
    <t>Arjun Gupta</t>
  </si>
  <si>
    <t>9282621496</t>
  </si>
  <si>
    <t>arjun.gupta792@gmail.com</t>
  </si>
  <si>
    <t>201, Ring Road</t>
  </si>
  <si>
    <t>Ritu Dutta</t>
  </si>
  <si>
    <t>1747679668</t>
  </si>
  <si>
    <t>ritu.dutta312@gmail.com</t>
  </si>
  <si>
    <t>301, Nehru Nagar</t>
  </si>
  <si>
    <t>Anand Khanna</t>
  </si>
  <si>
    <t>9863373518</t>
  </si>
  <si>
    <t>anand.khanna385@yahoo.com</t>
  </si>
  <si>
    <t>680, Nehru Nagar</t>
  </si>
  <si>
    <t>9574376789</t>
  </si>
  <si>
    <t>sandeep.desai890@gmail.com</t>
  </si>
  <si>
    <t>253, Church Street</t>
  </si>
  <si>
    <t>Seema Chowdhury</t>
  </si>
  <si>
    <t>9880848469</t>
  </si>
  <si>
    <t>seema.chowdhury347@gmail.com</t>
  </si>
  <si>
    <t>204, MG Road</t>
  </si>
  <si>
    <t>9035293340</t>
  </si>
  <si>
    <t>aarti.shah417@yahoo.com</t>
  </si>
  <si>
    <t>813, FC Road</t>
  </si>
  <si>
    <t>9876653159</t>
  </si>
  <si>
    <t>rekha.verma194@yahoo.com</t>
  </si>
  <si>
    <t>119, Nehru Nagar</t>
  </si>
  <si>
    <t>Komal Pillai</t>
  </si>
  <si>
    <t>9046209987</t>
  </si>
  <si>
    <t>komal.pillai873@gmail.com</t>
  </si>
  <si>
    <t>510, Park Street</t>
  </si>
  <si>
    <t>Nikhil Reddy</t>
  </si>
  <si>
    <t>9817493380</t>
  </si>
  <si>
    <t>nikhil.reddy663@gmail.com</t>
  </si>
  <si>
    <t>265, Nehru Nagar</t>
  </si>
  <si>
    <t>Prakash Patel</t>
  </si>
  <si>
    <t>9911485449</t>
  </si>
  <si>
    <t>prakash.patel387@gmail.com</t>
  </si>
  <si>
    <t>999, MG Road</t>
  </si>
  <si>
    <t>9935915684</t>
  </si>
  <si>
    <t>dinesh.bhatt413@gmail.com</t>
  </si>
  <si>
    <t>451, Nehru Nagar</t>
  </si>
  <si>
    <t>Rani Chauhan</t>
  </si>
  <si>
    <t>9062698899</t>
  </si>
  <si>
    <t>rani.chauhan204@yahoo.com</t>
  </si>
  <si>
    <t>769, Church Street</t>
  </si>
  <si>
    <t>Seema Chopra</t>
  </si>
  <si>
    <t>9429153477</t>
  </si>
  <si>
    <t>seema.chopra557@gmail.com</t>
  </si>
  <si>
    <t>346, Church Street</t>
  </si>
  <si>
    <t>Rekha Shah</t>
  </si>
  <si>
    <t>9517691717</t>
  </si>
  <si>
    <t>rekha.shah821@yahoo.com</t>
  </si>
  <si>
    <t>314, Nehru Nagar</t>
  </si>
  <si>
    <t>Ravi Desai</t>
  </si>
  <si>
    <t>9376581538</t>
  </si>
  <si>
    <t>ravi.desai743@gmail.com</t>
  </si>
  <si>
    <t>24, Ring Road</t>
  </si>
  <si>
    <t>Manish Verma</t>
  </si>
  <si>
    <t>9834080411</t>
  </si>
  <si>
    <t>manish.verma322@gmail.com</t>
  </si>
  <si>
    <t>375, Nehru Nagar</t>
  </si>
  <si>
    <t>Radha Gupta</t>
  </si>
  <si>
    <t>9507974487</t>
  </si>
  <si>
    <t>radha.gupta993@yahoo.com</t>
  </si>
  <si>
    <t>770, Church Street</t>
  </si>
  <si>
    <t>Neha Desai</t>
  </si>
  <si>
    <t>9012984565</t>
  </si>
  <si>
    <t>neha.desai825@gmail.com</t>
  </si>
  <si>
    <t>908, Ring Road</t>
  </si>
  <si>
    <t>Nidhi Bansal</t>
  </si>
  <si>
    <t>9782346795</t>
  </si>
  <si>
    <t>nidhi.bansal691@gmail.com</t>
  </si>
  <si>
    <t>424, MG Road</t>
  </si>
  <si>
    <t>Manisha Pillai</t>
  </si>
  <si>
    <t>9421775718</t>
  </si>
  <si>
    <t>manisha.pillai34@gmail.com</t>
  </si>
  <si>
    <t>98, Park Street</t>
  </si>
  <si>
    <t>Sanjay Kulkarni</t>
  </si>
  <si>
    <t>9816897353</t>
  </si>
  <si>
    <t>sanjay.kulkarni762@gmail.com</t>
  </si>
  <si>
    <t>724, Nehru Nagar</t>
  </si>
  <si>
    <t>9299742703</t>
  </si>
  <si>
    <t>naveen.pillai585@gmail.com</t>
  </si>
  <si>
    <t>370, Park Street</t>
  </si>
  <si>
    <t>9234684093</t>
  </si>
  <si>
    <t>manoj.malhotra911@yahoo.com</t>
  </si>
  <si>
    <t>660, FC Road</t>
  </si>
  <si>
    <t>Naveen Mehta</t>
  </si>
  <si>
    <t>9474614880</t>
  </si>
  <si>
    <t>naveen.mehta703@gmail.com</t>
  </si>
  <si>
    <t>334, FC Road</t>
  </si>
  <si>
    <t>Kiran Pillai</t>
  </si>
  <si>
    <t>9117189575</t>
  </si>
  <si>
    <t>kiran.pillai718@yahoo.com</t>
  </si>
  <si>
    <t>737, Church Street</t>
  </si>
  <si>
    <t>Prakash Saxena</t>
  </si>
  <si>
    <t>prakash.saxena643@gmail.com</t>
  </si>
  <si>
    <t>657, FC Road</t>
  </si>
  <si>
    <t>Yogesh Chopra</t>
  </si>
  <si>
    <t>9395758136</t>
  </si>
  <si>
    <t>yogesh.chopra491@gmail.com</t>
  </si>
  <si>
    <t>280, Ring Road</t>
  </si>
  <si>
    <t>Bhavna Saxena</t>
  </si>
  <si>
    <t>9450955334</t>
  </si>
  <si>
    <t>bhavna.saxena924@gmail.com</t>
  </si>
  <si>
    <t>Shreya Saxena</t>
  </si>
  <si>
    <t>9558781180</t>
  </si>
  <si>
    <t>shreya.saxena232@gmail.com</t>
  </si>
  <si>
    <t>299, MG Road</t>
  </si>
  <si>
    <t>Pooja Khanna</t>
  </si>
  <si>
    <t>99908850</t>
  </si>
  <si>
    <t>pooja.khanna193@gmail.com</t>
  </si>
  <si>
    <t>80, Park Street</t>
  </si>
  <si>
    <t>Sunita Menon</t>
  </si>
  <si>
    <t>9970020075</t>
  </si>
  <si>
    <t>sunita.menon49@gmail.com</t>
  </si>
  <si>
    <t>656, Church Street</t>
  </si>
  <si>
    <t>9026363561</t>
  </si>
  <si>
    <t>ajay.kumar833@yahoo.com</t>
  </si>
  <si>
    <t>27, Church Street</t>
  </si>
  <si>
    <t>Arjun Shah</t>
  </si>
  <si>
    <t>9453120622</t>
  </si>
  <si>
    <t>arjun.shah288@gmail.com</t>
  </si>
  <si>
    <t>406, FC Road</t>
  </si>
  <si>
    <t>Varun Shah</t>
  </si>
  <si>
    <t>63031857</t>
  </si>
  <si>
    <t>varun.shah220@yahoo.com</t>
  </si>
  <si>
    <t>733, Church Street</t>
  </si>
  <si>
    <t>9697352618</t>
  </si>
  <si>
    <t>siddharth.chatterjee154@gmail.com</t>
  </si>
  <si>
    <t>825, MG Road</t>
  </si>
  <si>
    <t>Anjali Chopra</t>
  </si>
  <si>
    <t>9207469156</t>
  </si>
  <si>
    <t>anjali.chopra13@gmail.com</t>
  </si>
  <si>
    <t>687, MG Road</t>
  </si>
  <si>
    <t>Anita Kumar</t>
  </si>
  <si>
    <t>9983129924</t>
  </si>
  <si>
    <t>anita.kumar313@gmail.com</t>
  </si>
  <si>
    <t>487, Church Street</t>
  </si>
  <si>
    <t>BIQAP7275D</t>
  </si>
  <si>
    <t>628808877573</t>
  </si>
  <si>
    <t>Pallavi Kapoor</t>
  </si>
  <si>
    <t>9470505551</t>
  </si>
  <si>
    <t>pallavi.kapoor35@gmail.com</t>
  </si>
  <si>
    <t>598, Ring Road</t>
  </si>
  <si>
    <t>Rajesh Rao</t>
  </si>
  <si>
    <t>9554360074</t>
  </si>
  <si>
    <t>rajesh.rao47@yahoo.com</t>
  </si>
  <si>
    <t>439, Park Street</t>
  </si>
  <si>
    <t>Kiran Trivedi</t>
  </si>
  <si>
    <t>9342525005</t>
  </si>
  <si>
    <t>Ravi Reddy</t>
  </si>
  <si>
    <t>9152617416</t>
  </si>
  <si>
    <t>ravi.reddy85@gmail.com</t>
  </si>
  <si>
    <t>185, Church Street</t>
  </si>
  <si>
    <t>Kiran Kapoor</t>
  </si>
  <si>
    <t>9466835748</t>
  </si>
  <si>
    <t>kiran.kapoor624@yahoo.com</t>
  </si>
  <si>
    <t>757, FC Road</t>
  </si>
  <si>
    <t>Radha Bansal</t>
  </si>
  <si>
    <t>9640154511</t>
  </si>
  <si>
    <t>852, Ring Road</t>
  </si>
  <si>
    <t>Priya Bhatt</t>
  </si>
  <si>
    <t>9308723921</t>
  </si>
  <si>
    <t>606, FC Road</t>
  </si>
  <si>
    <t>CUST00966</t>
  </si>
  <si>
    <t>Rekha Rane</t>
  </si>
  <si>
    <t>9623194350</t>
  </si>
  <si>
    <t>rekha.rane966@gmail.com</t>
  </si>
  <si>
    <t>734, Park Street</t>
  </si>
  <si>
    <t>GLSOL1338A</t>
  </si>
  <si>
    <t>299022447416</t>
  </si>
  <si>
    <t>Mnaoj Dutta</t>
  </si>
  <si>
    <t>9577796588</t>
  </si>
  <si>
    <t>manoj.dutta136@yahoo.com</t>
  </si>
  <si>
    <t>38, FC Road</t>
  </si>
  <si>
    <t>CUST00929</t>
  </si>
  <si>
    <t>Arun Bhatt</t>
  </si>
  <si>
    <t>9991971892</t>
  </si>
  <si>
    <t>arun.bhatt929@gmail.com</t>
  </si>
  <si>
    <t>664, Ring Road</t>
  </si>
  <si>
    <t>031696528619</t>
  </si>
  <si>
    <t>Dinesh Mishra</t>
  </si>
  <si>
    <t>9675694520</t>
  </si>
  <si>
    <t>dinesh.mishra909@gmail.com</t>
  </si>
  <si>
    <t>43, Ring Road</t>
  </si>
  <si>
    <t>Sunita Joshi</t>
  </si>
  <si>
    <t>9158858682</t>
  </si>
  <si>
    <t>sunita.joshi348@gmail.com</t>
  </si>
  <si>
    <t>905, Nehru Nagar</t>
  </si>
  <si>
    <t>Manish Menon</t>
  </si>
  <si>
    <t>9544728808</t>
  </si>
  <si>
    <t>manish.menon10@gmail.com</t>
  </si>
  <si>
    <t>30, Ring Road</t>
  </si>
  <si>
    <t>Shalini Kapoor</t>
  </si>
  <si>
    <t>9472057153</t>
  </si>
  <si>
    <t>shalini.kapoor489@gmail.com</t>
  </si>
  <si>
    <t>830, Park Street</t>
  </si>
  <si>
    <t>Radha Shah</t>
  </si>
  <si>
    <t>9202325327</t>
  </si>
  <si>
    <t>radha.shah982@gmail.com</t>
  </si>
  <si>
    <t>704, Church Street</t>
  </si>
  <si>
    <t>Vikram Bose</t>
  </si>
  <si>
    <t>9900326086</t>
  </si>
  <si>
    <t>vikram.bose726@gmail.com</t>
  </si>
  <si>
    <t>380, Ring Road</t>
  </si>
  <si>
    <t>Ajay Trivedi</t>
  </si>
  <si>
    <t>9229743709</t>
  </si>
  <si>
    <t>ajay.trivedi976@yahoo.com</t>
  </si>
  <si>
    <t>349, Ring Road</t>
  </si>
  <si>
    <t>Komal Agarwal</t>
  </si>
  <si>
    <t>9590261705</t>
  </si>
  <si>
    <t>komal.agarwal680@gmail.com</t>
  </si>
  <si>
    <t>253, Ring Road</t>
  </si>
  <si>
    <t>Namrata Mishra</t>
  </si>
  <si>
    <t>9980446067</t>
  </si>
  <si>
    <t>namrata.mishra727@gmail.com</t>
  </si>
  <si>
    <t>789, Church Street</t>
  </si>
  <si>
    <t>Neh Aarora</t>
  </si>
  <si>
    <t>9235871265</t>
  </si>
  <si>
    <t>neha.arora236@gmail.com</t>
  </si>
  <si>
    <t>631, Ring Road</t>
  </si>
  <si>
    <t>Manoj Kumar</t>
  </si>
  <si>
    <t>3602150171</t>
  </si>
  <si>
    <t>manoj.kumar999@gmail.com</t>
  </si>
  <si>
    <t>818, Nehru Nagar</t>
  </si>
  <si>
    <t>Aarti Pillai</t>
  </si>
  <si>
    <t>9113369097</t>
  </si>
  <si>
    <t>659, FC Road</t>
  </si>
  <si>
    <t>9604031093</t>
  </si>
  <si>
    <t>Aimt Arora</t>
  </si>
  <si>
    <t>9951585534</t>
  </si>
  <si>
    <t>amit.arora940@gmail.com</t>
  </si>
  <si>
    <t>977, Ring Road</t>
  </si>
  <si>
    <t>Radha Patel</t>
  </si>
  <si>
    <t>9058082578</t>
  </si>
  <si>
    <t>radha.patel881@gmail.com</t>
  </si>
  <si>
    <t>576, Ring Road</t>
  </si>
  <si>
    <t>9601722795</t>
  </si>
  <si>
    <t>kajal.reddy457@gmail.com</t>
  </si>
  <si>
    <t>299, Nehru Nagar</t>
  </si>
  <si>
    <t>Payal Patel</t>
  </si>
  <si>
    <t>9410379181</t>
  </si>
  <si>
    <t>payal.patel847@gmail.com</t>
  </si>
  <si>
    <t>666, Ring Road</t>
  </si>
  <si>
    <t>Manish Chauhan</t>
  </si>
  <si>
    <t>9975139364</t>
  </si>
  <si>
    <t>manish.chauhan187@gmail.com</t>
  </si>
  <si>
    <t>957, Nehru Nagar</t>
  </si>
  <si>
    <t>3715796820</t>
  </si>
  <si>
    <t>suresh.bose189@gmail.com</t>
  </si>
  <si>
    <t>427, Church Street</t>
  </si>
  <si>
    <t>Suman Tiwari</t>
  </si>
  <si>
    <t>9630839299</t>
  </si>
  <si>
    <t>suman.tiwari27@yahoo.com</t>
  </si>
  <si>
    <t>164, MG Road</t>
  </si>
  <si>
    <t>9816591209</t>
  </si>
  <si>
    <t>Manoj Trivedi</t>
  </si>
  <si>
    <t>9657951736</t>
  </si>
  <si>
    <t>manoj.trivedi227@gmail.com</t>
  </si>
  <si>
    <t>663, Ring Road</t>
  </si>
  <si>
    <t>Rekha Arora</t>
  </si>
  <si>
    <t>9621149282</t>
  </si>
  <si>
    <t>rekha.arora341@gmail.com</t>
  </si>
  <si>
    <t>709, MG Road</t>
  </si>
  <si>
    <t>Vivek Tiwari</t>
  </si>
  <si>
    <t>9633874494</t>
  </si>
  <si>
    <t>vivek.tiwari737@yahoo.com</t>
  </si>
  <si>
    <t>765, Park Street</t>
  </si>
  <si>
    <t>Asha Rane</t>
  </si>
  <si>
    <t>9943246645</t>
  </si>
  <si>
    <t>asha.rane170@gmail.com</t>
  </si>
  <si>
    <t>461, FC Road</t>
  </si>
  <si>
    <t>Seema Saxena</t>
  </si>
  <si>
    <t>9932790091</t>
  </si>
  <si>
    <t>seema.saxena199@gmail.com</t>
  </si>
  <si>
    <t>236, Nehru Nagar</t>
  </si>
  <si>
    <t>Neha Bansal</t>
  </si>
  <si>
    <t>9244609533</t>
  </si>
  <si>
    <t>neha.bansal634@gmail.com</t>
  </si>
  <si>
    <t>442, Nehru Nagar</t>
  </si>
  <si>
    <t>Ashok Ghosh</t>
  </si>
  <si>
    <t>9133055986</t>
  </si>
  <si>
    <t>ashok.ghosh533@gmail.com</t>
  </si>
  <si>
    <t>350, Park Street</t>
  </si>
  <si>
    <t>Manisha Nair</t>
  </si>
  <si>
    <t>9634231374</t>
  </si>
  <si>
    <t>manisha.nair430@gmail.com</t>
  </si>
  <si>
    <t>499, Nehru Nagar</t>
  </si>
  <si>
    <t>Bhavna Singh</t>
  </si>
  <si>
    <t>9676006683</t>
  </si>
  <si>
    <t>bhavna.singh535@gmail.com</t>
  </si>
  <si>
    <t>710, Nehru Nagar</t>
  </si>
  <si>
    <t>Dinesh Rane</t>
  </si>
  <si>
    <t>9634703984</t>
  </si>
  <si>
    <t>474, MG Road</t>
  </si>
  <si>
    <t>Geeta Dutta</t>
  </si>
  <si>
    <t>9594401123</t>
  </si>
  <si>
    <t>geeta.dutta855@gmail.com</t>
  </si>
  <si>
    <t>683, MG Road</t>
  </si>
  <si>
    <t>Preeti Iyer</t>
  </si>
  <si>
    <t>9929611335</t>
  </si>
  <si>
    <t>preeti.iyer897@yahoo.com</t>
  </si>
  <si>
    <t>360, MG Road</t>
  </si>
  <si>
    <t>Anand Ghosh</t>
  </si>
  <si>
    <t>9820411948</t>
  </si>
  <si>
    <t>anand.ghosh814@yahoo.com</t>
  </si>
  <si>
    <t>203, Ring Road</t>
  </si>
  <si>
    <t>MKPXS2772X</t>
  </si>
  <si>
    <t>598849202504</t>
  </si>
  <si>
    <t>Suresh Chatterjee</t>
  </si>
  <si>
    <t>9332110511</t>
  </si>
  <si>
    <t>suresh.chatterjee265@gmail.com</t>
  </si>
  <si>
    <t>328, Church Street</t>
  </si>
  <si>
    <t>Rajesh Agarwal</t>
  </si>
  <si>
    <t>rajesh.agarwal216@gmail.com</t>
  </si>
  <si>
    <t>826, Nehru Nagar</t>
  </si>
  <si>
    <t>Prakash Mehta</t>
  </si>
  <si>
    <t>9585592071</t>
  </si>
  <si>
    <t>prakash.mehta346@gmail.com</t>
  </si>
  <si>
    <t>313, Park Street</t>
  </si>
  <si>
    <t>Ravi Trivedi</t>
  </si>
  <si>
    <t>ravi.trivedi245@yahoo.com</t>
  </si>
  <si>
    <t>564, MG Road</t>
  </si>
  <si>
    <t>Yogehs Mehta</t>
  </si>
  <si>
    <t>9756438375</t>
  </si>
  <si>
    <t>yogesh.mehta944@gmail.com</t>
  </si>
  <si>
    <t>698, Park Street</t>
  </si>
  <si>
    <t>Deepa Bhatt</t>
  </si>
  <si>
    <t>9208250410</t>
  </si>
  <si>
    <t>deepa.bhatt235@gmail.com</t>
  </si>
  <si>
    <t>449, Nehru Nagar</t>
  </si>
  <si>
    <t>9759078011</t>
  </si>
  <si>
    <t>Seema Joshi</t>
  </si>
  <si>
    <t>9600008410</t>
  </si>
  <si>
    <t>seema.joshi731@gmail.com</t>
  </si>
  <si>
    <t>58, Park Street</t>
  </si>
  <si>
    <t>4802856195</t>
  </si>
  <si>
    <t>ramesh.kumar355@yahoo.com</t>
  </si>
  <si>
    <t>492, Church Street</t>
  </si>
  <si>
    <t>9317964610</t>
  </si>
  <si>
    <t>Karan Chauhan</t>
  </si>
  <si>
    <t>9497023222</t>
  </si>
  <si>
    <t>karan.chauhan340@yahoo.com</t>
  </si>
  <si>
    <t>426, Church Street</t>
  </si>
  <si>
    <t>Anil Saxena</t>
  </si>
  <si>
    <t>9048149029</t>
  </si>
  <si>
    <t>anil.saxena172@gmail.com</t>
  </si>
  <si>
    <t>215, Park Street</t>
  </si>
  <si>
    <t>vivek.kulkarni754@yahoo.com</t>
  </si>
  <si>
    <t>608, Nehru Nagar</t>
  </si>
  <si>
    <t>SYMRU7196M</t>
  </si>
  <si>
    <t>108127516441</t>
  </si>
  <si>
    <t>Vikram Sharma</t>
  </si>
  <si>
    <t>9415141656</t>
  </si>
  <si>
    <t>vikram.sharma532@gmail.com</t>
  </si>
  <si>
    <t>55, FC Road</t>
  </si>
  <si>
    <t>Meera Iyer</t>
  </si>
  <si>
    <t>9963526218</t>
  </si>
  <si>
    <t>meera.iyer20@gmail.com</t>
  </si>
  <si>
    <t>575, Church Street</t>
  </si>
  <si>
    <t>9156407658</t>
  </si>
  <si>
    <t>meera.verma900@yahoo.com</t>
  </si>
  <si>
    <t>648, Nehru Nagar</t>
  </si>
  <si>
    <t>Payal Malhotra</t>
  </si>
  <si>
    <t>9385438301</t>
  </si>
  <si>
    <t>payal.malhotra983@gmail.com</t>
  </si>
  <si>
    <t>166, FC Road</t>
  </si>
  <si>
    <t>88946908</t>
  </si>
  <si>
    <t>9635156319</t>
  </si>
  <si>
    <t>gaurav.gupta723@gmail.com</t>
  </si>
  <si>
    <t>701, FC Road</t>
  </si>
  <si>
    <t>Varun Chowdhury</t>
  </si>
  <si>
    <t>2303949118</t>
  </si>
  <si>
    <t>varun.chowdhury706@yahoo.com</t>
  </si>
  <si>
    <t>345, MG Road</t>
  </si>
  <si>
    <t>Ramesh Dutta</t>
  </si>
  <si>
    <t>9655712233</t>
  </si>
  <si>
    <t>ramesh.dutta214@gmail.com</t>
  </si>
  <si>
    <t>Pankaj Reddy</t>
  </si>
  <si>
    <t>9037660242</t>
  </si>
  <si>
    <t>pankaj.reddy426@yahoo.com</t>
  </si>
  <si>
    <t>792, MG Road</t>
  </si>
  <si>
    <t>Pankaj Verma</t>
  </si>
  <si>
    <t>9425592962</t>
  </si>
  <si>
    <t>pankaj.verma16@yahoo.com</t>
  </si>
  <si>
    <t>925, FC Road</t>
  </si>
  <si>
    <t>ECWQG9142G</t>
  </si>
  <si>
    <t>089614356428</t>
  </si>
  <si>
    <t>9395721203</t>
  </si>
  <si>
    <t>kiran.joshi682@yahoo.com</t>
  </si>
  <si>
    <t>788, Park Street</t>
  </si>
  <si>
    <t>Preeti Yadav</t>
  </si>
  <si>
    <t>9608792926</t>
  </si>
  <si>
    <t>preeti.yadav571@gmail.com</t>
  </si>
  <si>
    <t>146, Church Street</t>
  </si>
  <si>
    <t>lata.bose8@yahoo.com</t>
  </si>
  <si>
    <t>820, Church Street</t>
  </si>
  <si>
    <t>Seema Nair</t>
  </si>
  <si>
    <t>9016171228</t>
  </si>
  <si>
    <t>seema.nair67@gmail.com</t>
  </si>
  <si>
    <t>834, Ring Road</t>
  </si>
  <si>
    <t>Ajay Bansal</t>
  </si>
  <si>
    <t>0203446419</t>
  </si>
  <si>
    <t>ajay.bansal148@yahoo.com</t>
  </si>
  <si>
    <t>944, FC Road</t>
  </si>
  <si>
    <t>Siddharth Rane</t>
  </si>
  <si>
    <t>88704407</t>
  </si>
  <si>
    <t>siddharth.rane657@yahoo.com</t>
  </si>
  <si>
    <t>638, FC Road</t>
  </si>
  <si>
    <t>Aarti Tiwari</t>
  </si>
  <si>
    <t>9295351491</t>
  </si>
  <si>
    <t>aarti.tiwari849@gmail.com</t>
  </si>
  <si>
    <t>908, Nehru Nagar</t>
  </si>
  <si>
    <t>Radha Kapoor</t>
  </si>
  <si>
    <t>9960101155</t>
  </si>
  <si>
    <t>radha.kapoor501@gmail.com</t>
  </si>
  <si>
    <t>579, Ring Road</t>
  </si>
  <si>
    <t>9370007914</t>
  </si>
  <si>
    <t>Prakash Kapoor</t>
  </si>
  <si>
    <t>9066494982</t>
  </si>
  <si>
    <t>prakash.kapoor858@gmail.com</t>
  </si>
  <si>
    <t>109, Nehru Nagar</t>
  </si>
  <si>
    <t>Priya Verma</t>
  </si>
  <si>
    <t>9475805028</t>
  </si>
  <si>
    <t>77, Nehru Nagar</t>
  </si>
  <si>
    <t>Anand Iyer</t>
  </si>
  <si>
    <t>9205495238</t>
  </si>
  <si>
    <t>anand.iyer603@gmail.com</t>
  </si>
  <si>
    <t>280, Nehru Nagar</t>
  </si>
  <si>
    <t>Jyoti Joshi</t>
  </si>
  <si>
    <t>9265602318</t>
  </si>
  <si>
    <t>jyoti.joshi923@yahoo.com</t>
  </si>
  <si>
    <t>216, FC Road</t>
  </si>
  <si>
    <t>Sneha Rane</t>
  </si>
  <si>
    <t>9964321082</t>
  </si>
  <si>
    <t>108, Church Street</t>
  </si>
  <si>
    <t>Pooja Trivedi</t>
  </si>
  <si>
    <t>9721314759</t>
  </si>
  <si>
    <t>pooja.trivedi278@gmail.com</t>
  </si>
  <si>
    <t>591, Ring Road</t>
  </si>
  <si>
    <t>Meera Pillai</t>
  </si>
  <si>
    <t>9435486374</t>
  </si>
  <si>
    <t>meera.pillai742@gmail.com</t>
  </si>
  <si>
    <t>424, Church Street</t>
  </si>
  <si>
    <t>CUST00291</t>
  </si>
  <si>
    <t>Archana Naidu</t>
  </si>
  <si>
    <t>9448815190</t>
  </si>
  <si>
    <t>659, Park Street</t>
  </si>
  <si>
    <t>ARCYG5445Z</t>
  </si>
  <si>
    <t>194306764645</t>
  </si>
  <si>
    <t>Rahul Shah</t>
  </si>
  <si>
    <t>9015242815</t>
  </si>
  <si>
    <t>rahul.shah809@gmail.com</t>
  </si>
  <si>
    <t>755, Park Street</t>
  </si>
  <si>
    <t>9420765654</t>
  </si>
  <si>
    <t>suresh.gupta605@gmail.com</t>
  </si>
  <si>
    <t>225, Church Street</t>
  </si>
  <si>
    <t>Rajesh Saxena</t>
  </si>
  <si>
    <t>9177607317</t>
  </si>
  <si>
    <t>rajesh.saxena460@gmail.com</t>
  </si>
  <si>
    <t>684, Nehru Nagar</t>
  </si>
  <si>
    <t>Pankaj Yadav</t>
  </si>
  <si>
    <t>9468105145</t>
  </si>
  <si>
    <t>pankaj.yadav701@yahoo.com</t>
  </si>
  <si>
    <t>976, Church Street</t>
  </si>
  <si>
    <t>Archana Patel</t>
  </si>
  <si>
    <t>9628399705</t>
  </si>
  <si>
    <t>archana.patel344@yahoo.com</t>
  </si>
  <si>
    <t>854, MG Road</t>
  </si>
  <si>
    <t>9302829012</t>
  </si>
  <si>
    <t>CUST00497</t>
  </si>
  <si>
    <t>Nidhi Menon</t>
  </si>
  <si>
    <t>9559974214</t>
  </si>
  <si>
    <t>nidhi.menon497@gmail.com</t>
  </si>
  <si>
    <t>452, Ring Road</t>
  </si>
  <si>
    <t>LHTKL5713O</t>
  </si>
  <si>
    <t>239675626534</t>
  </si>
  <si>
    <t>9563376378</t>
  </si>
  <si>
    <t>Karan Reddy</t>
  </si>
  <si>
    <t>34242403</t>
  </si>
  <si>
    <t>karan.reddy434@gmail.com</t>
  </si>
  <si>
    <t>574, MG Road</t>
  </si>
  <si>
    <t>Rahul Chopra</t>
  </si>
  <si>
    <t>0201960349</t>
  </si>
  <si>
    <t>rahul.chopra702@yahoo.com</t>
  </si>
  <si>
    <t>85, FC Road</t>
  </si>
  <si>
    <t>Sanjay Verma</t>
  </si>
  <si>
    <t>9846294580</t>
  </si>
  <si>
    <t>sanjay.verma985@gmail.com</t>
  </si>
  <si>
    <t>612, MG Road</t>
  </si>
  <si>
    <t>Nisha Goel</t>
  </si>
  <si>
    <t>68715742</t>
  </si>
  <si>
    <t>nisha.goel872@yahoo.com</t>
  </si>
  <si>
    <t>197, Nehru Nagar</t>
  </si>
  <si>
    <t>Karan Khanna</t>
  </si>
  <si>
    <t>9687577515</t>
  </si>
  <si>
    <t>karan.khanna133@gmail.com</t>
  </si>
  <si>
    <t>584, Church Street</t>
  </si>
  <si>
    <t>Pallavi Kumar</t>
  </si>
  <si>
    <t>9387334421</t>
  </si>
  <si>
    <t>pallavi.kumar6@gmail.com</t>
  </si>
  <si>
    <t>562, MG Road</t>
  </si>
  <si>
    <t>1470095286</t>
  </si>
  <si>
    <t>sunita.singh388@yahoo.com</t>
  </si>
  <si>
    <t>241, FC Road</t>
  </si>
  <si>
    <t>Jyotip Atel</t>
  </si>
  <si>
    <t>9281058857</t>
  </si>
  <si>
    <t>jyoti.patel496@yahoo.com</t>
  </si>
  <si>
    <t>397, MG Road</t>
  </si>
  <si>
    <t>Rakesh Bhatt</t>
  </si>
  <si>
    <t>9369022095</t>
  </si>
  <si>
    <t>rakesh.bhatt455@gmail.com</t>
  </si>
  <si>
    <t>853, FC Road</t>
  </si>
  <si>
    <t>Divya Ghosh</t>
  </si>
  <si>
    <t>9774059209</t>
  </si>
  <si>
    <t>divya.ghosh166@gmail.com</t>
  </si>
  <si>
    <t>711, Ring Road</t>
  </si>
  <si>
    <t>Vivek Chatterjee</t>
  </si>
  <si>
    <t>9511037479</t>
  </si>
  <si>
    <t>vivek.chatterjee182@gmail.com</t>
  </si>
  <si>
    <t>362, FC Road</t>
  </si>
  <si>
    <t>Vive Kbose</t>
  </si>
  <si>
    <t>9874664039</t>
  </si>
  <si>
    <t>vivek.bose56@gmail.com</t>
  </si>
  <si>
    <t>244, MG Road</t>
  </si>
  <si>
    <t>Preeti Arora</t>
  </si>
  <si>
    <t>9004146929</t>
  </si>
  <si>
    <t>preeti.arora773@gmail.com</t>
  </si>
  <si>
    <t>120, FC Road</t>
  </si>
  <si>
    <t>Sunita Sharma</t>
  </si>
  <si>
    <t>9566237841</t>
  </si>
  <si>
    <t>sunita.sharma549@gmail.com</t>
  </si>
  <si>
    <t>383, Church Street</t>
  </si>
  <si>
    <t>Abhishek Desai</t>
  </si>
  <si>
    <t>9394423299</t>
  </si>
  <si>
    <t>abhishek.desai338@yahoo.com</t>
  </si>
  <si>
    <t>313, Church Street</t>
  </si>
  <si>
    <t>Vivek Menon</t>
  </si>
  <si>
    <t>vivek.menon284@gmail.com</t>
  </si>
  <si>
    <t>613, Nehru Nagar</t>
  </si>
  <si>
    <t>Nisha Arora</t>
  </si>
  <si>
    <t>9052304411</t>
  </si>
  <si>
    <t>nisha.arora531@gmail.com</t>
  </si>
  <si>
    <t>774, Nehru Nagar</t>
  </si>
  <si>
    <t>Vikram Reddy</t>
  </si>
  <si>
    <t>9515418237</t>
  </si>
  <si>
    <t>vikram.reddy850@gmail.com</t>
  </si>
  <si>
    <t>52, Park Street</t>
  </si>
  <si>
    <t>Madras</t>
  </si>
  <si>
    <t>9433439375</t>
  </si>
  <si>
    <t>pankaj.naidu936@gmail.com</t>
  </si>
  <si>
    <t>934, Park Street</t>
  </si>
  <si>
    <t>Naveen Patel</t>
  </si>
  <si>
    <t>9698124268</t>
  </si>
  <si>
    <t>688, FC Road</t>
  </si>
  <si>
    <t>BRBCZ7222P</t>
  </si>
  <si>
    <t>793205719350</t>
  </si>
  <si>
    <t>Sandeep Mishra</t>
  </si>
  <si>
    <t>9384738924</t>
  </si>
  <si>
    <t>sandeep.mishra973@gmail.com</t>
  </si>
  <si>
    <t>128, MG Road</t>
  </si>
  <si>
    <t>9124881922</t>
  </si>
  <si>
    <t>rahul.sharma990@yahoo.com</t>
  </si>
  <si>
    <t>130, Park Street</t>
  </si>
  <si>
    <t>CUST00024</t>
  </si>
  <si>
    <t>Vivek Singh</t>
  </si>
  <si>
    <t>9803713187</t>
  </si>
  <si>
    <t>374, Nehru Nagar</t>
  </si>
  <si>
    <t>IJUVR8765Q</t>
  </si>
  <si>
    <t>433129421081</t>
  </si>
  <si>
    <t>Shalini Naidu</t>
  </si>
  <si>
    <t>9507095333</t>
  </si>
  <si>
    <t>shalini.naidu137@gmail.com</t>
  </si>
  <si>
    <t>77, Park Street</t>
  </si>
  <si>
    <t>Usha Bhatt</t>
  </si>
  <si>
    <t>9984253531</t>
  </si>
  <si>
    <t>usha.bhatt153@gmail.com</t>
  </si>
  <si>
    <t>Payal Nair</t>
  </si>
  <si>
    <t>0209513774</t>
  </si>
  <si>
    <t>payal.nair896@gmail.com</t>
  </si>
  <si>
    <t>504, Ring Road</t>
  </si>
  <si>
    <t>NZLLV7115C</t>
  </si>
  <si>
    <t>1525994470</t>
  </si>
  <si>
    <t>Archana Sharma</t>
  </si>
  <si>
    <t>164, Church Street</t>
  </si>
  <si>
    <t>Ashok Saxena</t>
  </si>
  <si>
    <t>9026236623</t>
  </si>
  <si>
    <t>ashok.saxena567@yahoo.com</t>
  </si>
  <si>
    <t>691, Nehru Nagar</t>
  </si>
  <si>
    <t>9881630279</t>
  </si>
  <si>
    <t>ramesh.kulkarni289@gmail.com</t>
  </si>
  <si>
    <t>698, MG Road</t>
  </si>
  <si>
    <t>9690936650</t>
  </si>
  <si>
    <t>ritu.malhotra631@yahoo.com</t>
  </si>
  <si>
    <t>402, FC Road</t>
  </si>
  <si>
    <t>9204689880</t>
  </si>
  <si>
    <t>siddharth.shah240@gmail.com</t>
  </si>
  <si>
    <t>158, Church Street</t>
  </si>
  <si>
    <t>Sunil Joshi</t>
  </si>
  <si>
    <t>9065367908</t>
  </si>
  <si>
    <t>sunil.joshi861@yahoo.com</t>
  </si>
  <si>
    <t>106, FC Road</t>
  </si>
  <si>
    <t>Geeta Menon</t>
  </si>
  <si>
    <t>9709277422</t>
  </si>
  <si>
    <t>geeta.menon975@gmail.com</t>
  </si>
  <si>
    <t>106, Church Street</t>
  </si>
  <si>
    <t>Aditya Reddy</t>
  </si>
  <si>
    <t>9724269771</t>
  </si>
  <si>
    <t>aditya.reddy91@yahoo.com</t>
  </si>
  <si>
    <t>745, Church Street</t>
  </si>
  <si>
    <t>55316347</t>
  </si>
  <si>
    <t>Varun Khanna</t>
  </si>
  <si>
    <t>9257354913</t>
  </si>
  <si>
    <t>varun.khanna114@gmail.com</t>
  </si>
  <si>
    <t>322, MG Road</t>
  </si>
  <si>
    <t>Vivek Gupta</t>
  </si>
  <si>
    <t>9392575891</t>
  </si>
  <si>
    <t>vivek.gupta707@gmail.com</t>
  </si>
  <si>
    <t>703, Ring Road</t>
  </si>
  <si>
    <t>9283551186</t>
  </si>
  <si>
    <t>vivek.mishra562@gmail.com</t>
  </si>
  <si>
    <t>XOGLG2085Q</t>
  </si>
  <si>
    <t>537025556289</t>
  </si>
  <si>
    <t>Yogesh Ghosh</t>
  </si>
  <si>
    <t>9578808537</t>
  </si>
  <si>
    <t>yogesh.ghosh951@gmail.com</t>
  </si>
  <si>
    <t>36, Park Street</t>
  </si>
  <si>
    <t>Rakesh Bansal</t>
  </si>
  <si>
    <t>49738680</t>
  </si>
  <si>
    <t>rakesh.bansal197@gmail.com</t>
  </si>
  <si>
    <t>966, Park Street</t>
  </si>
  <si>
    <t>Dinesh Dutta</t>
  </si>
  <si>
    <t>0201280777</t>
  </si>
  <si>
    <t>dinesh.dutta277@yahoo.com</t>
  </si>
  <si>
    <t>828, Nehru Nagar</t>
  </si>
  <si>
    <t>Mahesh Tiwari</t>
  </si>
  <si>
    <t>9851886125</t>
  </si>
  <si>
    <t>mahesh.tiwari602@gmail.com</t>
  </si>
  <si>
    <t>Kavita Agarwal</t>
  </si>
  <si>
    <t>9582966274</t>
  </si>
  <si>
    <t>kavita.agarwal646@gmail.com</t>
  </si>
  <si>
    <t>322, Ring Road</t>
  </si>
  <si>
    <t>Ashok Kulkarni</t>
  </si>
  <si>
    <t>9980252559</t>
  </si>
  <si>
    <t>ashok.kulkarni134@gmail.com</t>
  </si>
  <si>
    <t>YIEAN3095H</t>
  </si>
  <si>
    <t>171960917201</t>
  </si>
  <si>
    <t>Naveen Bhatt</t>
  </si>
  <si>
    <t>9825884663</t>
  </si>
  <si>
    <t>naveen.bhatt803@yahoo.com</t>
  </si>
  <si>
    <t>963, Park Street</t>
  </si>
  <si>
    <t>9591230524</t>
  </si>
  <si>
    <t>swati.sharma394@gmail.com</t>
  </si>
  <si>
    <t>460, MG Road</t>
  </si>
  <si>
    <t>Ramesh Agarwal</t>
  </si>
  <si>
    <t>9439900355</t>
  </si>
  <si>
    <t>ramesh.agarwal775@gmail.com</t>
  </si>
  <si>
    <t>559, Nehru Nagar</t>
  </si>
  <si>
    <t>Sanjay Iyer</t>
  </si>
  <si>
    <t>9551746321</t>
  </si>
  <si>
    <t>sanjay.iyer570@yahoo.com</t>
  </si>
  <si>
    <t>994, Church Street</t>
  </si>
  <si>
    <t>Divya Naidu</t>
  </si>
  <si>
    <t>9840787367</t>
  </si>
  <si>
    <t>divya.naidu902@gmail.com</t>
  </si>
  <si>
    <t>745, FC Road</t>
  </si>
  <si>
    <t>9959137116</t>
  </si>
  <si>
    <t>manisha.menon113@yahoo.com</t>
  </si>
  <si>
    <t>436, Nehru Nagar</t>
  </si>
  <si>
    <t>Kavita Dutta</t>
  </si>
  <si>
    <t>9050293392</t>
  </si>
  <si>
    <t>kavita.dutta495@gmail.com</t>
  </si>
  <si>
    <t>395, Church Street</t>
  </si>
  <si>
    <t>Ajay Saxena</t>
  </si>
  <si>
    <t>9204364535</t>
  </si>
  <si>
    <t>ajay.saxena261@gmail.com</t>
  </si>
  <si>
    <t>945, Church Street</t>
  </si>
  <si>
    <t>Ajay Bhatt</t>
  </si>
  <si>
    <t>9246450530</t>
  </si>
  <si>
    <t>ajay.bhatt422@gmail.com</t>
  </si>
  <si>
    <t>212, Church Street</t>
  </si>
  <si>
    <t>Yogesh Naidu</t>
  </si>
  <si>
    <t>9779944237</t>
  </si>
  <si>
    <t>yogesh.naidu461@gmail.com</t>
  </si>
  <si>
    <t>Varun Dutta</t>
  </si>
  <si>
    <t>9733168887</t>
  </si>
  <si>
    <t>varun.dutta7@gmail.com</t>
  </si>
  <si>
    <t>869, MG Road</t>
  </si>
  <si>
    <t>Mahesh Bansal</t>
  </si>
  <si>
    <t>9151746156</t>
  </si>
  <si>
    <t>mahesh.bansal842@yahoo.com</t>
  </si>
  <si>
    <t>177, Ring Road</t>
  </si>
  <si>
    <t>Kavita Chowdhury</t>
  </si>
  <si>
    <t>9861259263</t>
  </si>
  <si>
    <t>kavita.chowdhury285@gmail.com</t>
  </si>
  <si>
    <t>674, Church Street</t>
  </si>
  <si>
    <t>Kirti Bhatt</t>
  </si>
  <si>
    <t>9260815257</t>
  </si>
  <si>
    <t>kirti.bhatt351@yahoo.com</t>
  </si>
  <si>
    <t>824, MG Road</t>
  </si>
  <si>
    <t>Deepa Shah</t>
  </si>
  <si>
    <t>9472993768</t>
  </si>
  <si>
    <t>deepa.shah945@yahoo.com</t>
  </si>
  <si>
    <t>415, Park Street</t>
  </si>
  <si>
    <t>Shreya Bansal</t>
  </si>
  <si>
    <t>9963020531</t>
  </si>
  <si>
    <t>shreya.bansal667@gmail.com</t>
  </si>
  <si>
    <t>968, Park Street</t>
  </si>
  <si>
    <t>9240580571</t>
  </si>
  <si>
    <t>vikram.chopra367@yahoo.com</t>
  </si>
  <si>
    <t>596, Nehru Nagar</t>
  </si>
  <si>
    <t>Sneha Chowduhry</t>
  </si>
  <si>
    <t>9284744739</t>
  </si>
  <si>
    <t>362, Ring Road</t>
  </si>
  <si>
    <t>CUST00969</t>
  </si>
  <si>
    <t>Amit Joshi</t>
  </si>
  <si>
    <t>9358558165</t>
  </si>
  <si>
    <t>amit.joshi969@gmail.com</t>
  </si>
  <si>
    <t>881, Church Street</t>
  </si>
  <si>
    <t>XGURT2240E</t>
  </si>
  <si>
    <t>100640271138</t>
  </si>
  <si>
    <t>Divya Singh</t>
  </si>
  <si>
    <t>9829410537</t>
  </si>
  <si>
    <t>divya.singh263@gmail.com</t>
  </si>
  <si>
    <t>493, Nehru Nagar</t>
  </si>
  <si>
    <t>9431677484</t>
  </si>
  <si>
    <t>sarita.nair198@gmail.com</t>
  </si>
  <si>
    <t>912, Ring Road</t>
  </si>
  <si>
    <t>Vivek Kumar</t>
  </si>
  <si>
    <t>9820320815</t>
  </si>
  <si>
    <t>vivek.kumar512@yahoo.com</t>
  </si>
  <si>
    <t>943, FC Road</t>
  </si>
  <si>
    <t>sarita.ghosh595@yahoo.com</t>
  </si>
  <si>
    <t>329, Ring Road</t>
  </si>
  <si>
    <t>9109989950</t>
  </si>
  <si>
    <t>yogesh.iyer592@yahoo.com</t>
  </si>
  <si>
    <t>995, Park Street</t>
  </si>
  <si>
    <t>Suresh Bansal</t>
  </si>
  <si>
    <t>suresh.bansal4@gmail.com</t>
  </si>
  <si>
    <t>760, Ring Road</t>
  </si>
  <si>
    <t>Vandana Bansal</t>
  </si>
  <si>
    <t>9512821692</t>
  </si>
  <si>
    <t>vandana.bansal805@yahoo.com</t>
  </si>
  <si>
    <t>119, Church Street</t>
  </si>
  <si>
    <t>Vijay Pillai</t>
  </si>
  <si>
    <t>9076826516</t>
  </si>
  <si>
    <t>vijay.pillai300@gmail.com</t>
  </si>
  <si>
    <t>146, FC Road</t>
  </si>
  <si>
    <t>9500666315</t>
  </si>
  <si>
    <t>geeta.bansal368@gmail.com</t>
  </si>
  <si>
    <t>869, Nehru Nagar</t>
  </si>
  <si>
    <t>9373513477</t>
  </si>
  <si>
    <t>Nisha Kulkarni</t>
  </si>
  <si>
    <t>9834281061</t>
  </si>
  <si>
    <t>nisha.kulkarni98@gmail.com</t>
  </si>
  <si>
    <t>426, Ring Road</t>
  </si>
  <si>
    <t>9817634132</t>
  </si>
  <si>
    <t>ajay.arora228@yahoo.com</t>
  </si>
  <si>
    <t>773, Park Street</t>
  </si>
  <si>
    <t>Shalini Nair</t>
  </si>
  <si>
    <t>9406106233</t>
  </si>
  <si>
    <t>shalini.nair110@yahoo.com</t>
  </si>
  <si>
    <t>786, FC Road</t>
  </si>
  <si>
    <t>Maehsh Tiwari</t>
  </si>
  <si>
    <t>9766503422</t>
  </si>
  <si>
    <t>mahesh.tiwari561@gmail.com</t>
  </si>
  <si>
    <t>219, Nehru Nagar</t>
  </si>
  <si>
    <t>9702514630</t>
  </si>
  <si>
    <t>geeta.dutta112@gmail.com</t>
  </si>
  <si>
    <t>959, MG Road</t>
  </si>
  <si>
    <t>Naveen Dutta</t>
  </si>
  <si>
    <t>9918993457</t>
  </si>
  <si>
    <t>naveen.dutta195@gmail.com</t>
  </si>
  <si>
    <t>740, MG Road</t>
  </si>
  <si>
    <t>Harish Verma</t>
  </si>
  <si>
    <t>9941392735</t>
  </si>
  <si>
    <t>harish.verma635@yahoo.com</t>
  </si>
  <si>
    <t>396, Nehru Nagar</t>
  </si>
  <si>
    <t>Ramesh Pandey</t>
  </si>
  <si>
    <t>9979820988</t>
  </si>
  <si>
    <t>ramesh.pandey371@yahoo.com</t>
  </si>
  <si>
    <t>810, Church Street</t>
  </si>
  <si>
    <t>Payal Agarwal</t>
  </si>
  <si>
    <t>9449072275</t>
  </si>
  <si>
    <t>payal.agarwal303@gmail.com</t>
  </si>
  <si>
    <t>Kavita Shah</t>
  </si>
  <si>
    <t>9405631551</t>
  </si>
  <si>
    <t>kavita.shah309@gmail.com</t>
  </si>
  <si>
    <t>925, Nehru Nagar</t>
  </si>
  <si>
    <t>9706972489</t>
  </si>
  <si>
    <t>Rakesh Tiwari</t>
  </si>
  <si>
    <t>9424234151</t>
  </si>
  <si>
    <t>rakesh.tiwari699@gmail.com</t>
  </si>
  <si>
    <t>479, Nehru Nagar</t>
  </si>
  <si>
    <t>9290297721</t>
  </si>
  <si>
    <t>ashok.menon21@gmail.com</t>
  </si>
  <si>
    <t>Geeta Nair</t>
  </si>
  <si>
    <t>9787038272</t>
  </si>
  <si>
    <t>geeta.nair359@gmail.com</t>
  </si>
  <si>
    <t>412, Park Street</t>
  </si>
  <si>
    <t>Sunil Rao</t>
  </si>
  <si>
    <t>sunil.rao853@gmail.com</t>
  </si>
  <si>
    <t>Ajay Goel</t>
  </si>
  <si>
    <t>9386950687</t>
  </si>
  <si>
    <t>ajay.goel548@yahoo.com</t>
  </si>
  <si>
    <t>978, Park Street</t>
  </si>
  <si>
    <t>Rajesh Chauhan</t>
  </si>
  <si>
    <t>9872180400</t>
  </si>
  <si>
    <t>rajesh.chauhan507@gmail.com</t>
  </si>
  <si>
    <t>829, FC Road</t>
  </si>
  <si>
    <t>Radha Mishra</t>
  </si>
  <si>
    <t>9398344098</t>
  </si>
  <si>
    <t>radha.mishra551@yahoo.com</t>
  </si>
  <si>
    <t>980, Park Street</t>
  </si>
  <si>
    <t>9021143652</t>
  </si>
  <si>
    <t>mahesh.singh580@yahoo.com</t>
  </si>
  <si>
    <t>457, MG Road</t>
  </si>
  <si>
    <t>Girish Goel</t>
  </si>
  <si>
    <t>9487129613</t>
  </si>
  <si>
    <t>girish.goel965@gmail.com</t>
  </si>
  <si>
    <t>9064983150</t>
  </si>
  <si>
    <t>anil.saxena668@gmail.com</t>
  </si>
  <si>
    <t>38, Ring Road</t>
  </si>
  <si>
    <t>9321372363</t>
  </si>
  <si>
    <t>swati.reddy17@yahoo.com</t>
  </si>
  <si>
    <t>336, Church Street</t>
  </si>
  <si>
    <t>Karan Dutta</t>
  </si>
  <si>
    <t>9027223202</t>
  </si>
  <si>
    <t>karan.dutta466@gmail.com</t>
  </si>
  <si>
    <t>Komal Bhatt</t>
  </si>
  <si>
    <t>9988062639</t>
  </si>
  <si>
    <t>komal.bhatt748@yahoo.com</t>
  </si>
  <si>
    <t>930, FC Road</t>
  </si>
  <si>
    <t>Meera Rane</t>
  </si>
  <si>
    <t>9383327781</t>
  </si>
  <si>
    <t>meera.rane781@yahoo.com</t>
  </si>
  <si>
    <t>848, MG Road</t>
  </si>
  <si>
    <t>Manoj Chowdhury</t>
  </si>
  <si>
    <t>9527783574</t>
  </si>
  <si>
    <t>manoj.chowdhury396@gmail.com</t>
  </si>
  <si>
    <t>538, Park Street</t>
  </si>
  <si>
    <t>Deepa Tiwari</t>
  </si>
  <si>
    <t>9652104061</t>
  </si>
  <si>
    <t>deepa.tiwari709@yahoo.com</t>
  </si>
  <si>
    <t>446, Park Street</t>
  </si>
  <si>
    <t>Vinod Chowdhury</t>
  </si>
  <si>
    <t>9796980444</t>
  </si>
  <si>
    <t>vinod.chowdhury538@gmail.com</t>
  </si>
  <si>
    <t>919, Park Street</t>
  </si>
  <si>
    <t>THZGS2301G</t>
  </si>
  <si>
    <t>9483780842</t>
  </si>
  <si>
    <t>ajay.chowdhury73@gmail.com</t>
  </si>
  <si>
    <t>617, Nehru Nagar</t>
  </si>
  <si>
    <t>9054201190</t>
  </si>
  <si>
    <t>namrata.mishra852@yahoo.com</t>
  </si>
  <si>
    <t>634, Park Street</t>
  </si>
  <si>
    <t>XNWGL4526B</t>
  </si>
  <si>
    <t>281536361353</t>
  </si>
  <si>
    <t>Sneha Sharma</t>
  </si>
  <si>
    <t>9168186733</t>
  </si>
  <si>
    <t>sneha.sharma790@gmail.com</t>
  </si>
  <si>
    <t>510, FC Road</t>
  </si>
  <si>
    <t>Kajal Chopra</t>
  </si>
  <si>
    <t>9499887522</t>
  </si>
  <si>
    <t>kajal.chopra215@gmail.com</t>
  </si>
  <si>
    <t>278, Church Street</t>
  </si>
  <si>
    <t>Ravi Chauhan</t>
  </si>
  <si>
    <t>9253503272</t>
  </si>
  <si>
    <t>ravi.chauhan405@gmail.com</t>
  </si>
  <si>
    <t>472, MG Road</t>
  </si>
  <si>
    <t>Sunita Patel</t>
  </si>
  <si>
    <t>9508789995</t>
  </si>
  <si>
    <t>960, Church Street</t>
  </si>
  <si>
    <t>KEQFP4417F</t>
  </si>
  <si>
    <t>204421741486</t>
  </si>
  <si>
    <t>Ravi Iyer</t>
  </si>
  <si>
    <t>9030791762</t>
  </si>
  <si>
    <t>ravi.iyer670@yahoo.com</t>
  </si>
  <si>
    <t>769, Park Street</t>
  </si>
  <si>
    <t>Bhavna Chatterjee</t>
  </si>
  <si>
    <t>bhavna.chatterjee662@yahoo.com</t>
  </si>
  <si>
    <t>Rohan Dutta</t>
  </si>
  <si>
    <t>9200031343</t>
  </si>
  <si>
    <t>rohan.dutta59@gmail.com</t>
  </si>
  <si>
    <t>182, Ring Road</t>
  </si>
  <si>
    <t>9876797022</t>
  </si>
  <si>
    <t>dinesh.bhatt755@gmail.com</t>
  </si>
  <si>
    <t>381, FC Road</t>
  </si>
  <si>
    <t>Siddharth Verma</t>
  </si>
  <si>
    <t>9659782916</t>
  </si>
  <si>
    <t>siddharth.verma939@gmail.com</t>
  </si>
  <si>
    <t>889, MG Road</t>
  </si>
  <si>
    <t>Sanjay Tiwari</t>
  </si>
  <si>
    <t>0202667537</t>
  </si>
  <si>
    <t>sanjay.tiwari794@gmail.com</t>
  </si>
  <si>
    <t>644, Ring Road</t>
  </si>
  <si>
    <t>Vijay Rane</t>
  </si>
  <si>
    <t>9336742495</t>
  </si>
  <si>
    <t>vijay.rane141@gmail.com</t>
  </si>
  <si>
    <t>224, FC Road</t>
  </si>
  <si>
    <t>Ashok Mishra</t>
  </si>
  <si>
    <t>9767628229</t>
  </si>
  <si>
    <t>ashok.mishra454@gmail.com</t>
  </si>
  <si>
    <t>25, Nehru Nagar</t>
  </si>
  <si>
    <t>Rakesh Reddy</t>
  </si>
  <si>
    <t>9108727653</t>
  </si>
  <si>
    <t>rakesh.reddy84@gmail.com</t>
  </si>
  <si>
    <t>420, Nehru Nagar</t>
  </si>
  <si>
    <t>Vikram Ghosh</t>
  </si>
  <si>
    <t>9031968390</t>
  </si>
  <si>
    <t>vikram.ghosh210@gmail.com</t>
  </si>
  <si>
    <t>765, FC Road</t>
  </si>
  <si>
    <t>9705304444</t>
  </si>
  <si>
    <t>Preeti Desai</t>
  </si>
  <si>
    <t>9834980183</t>
  </si>
  <si>
    <t>preeti.desai977@yahoo.com</t>
  </si>
  <si>
    <t>200, FC Road</t>
  </si>
  <si>
    <t>Archana Chowdhury</t>
  </si>
  <si>
    <t>9981827389</t>
  </si>
  <si>
    <t>archana.chowdhury948@gmail.com</t>
  </si>
  <si>
    <t>308, Ring Road</t>
  </si>
  <si>
    <t>PUXNT4491B</t>
  </si>
  <si>
    <t>193625976390</t>
  </si>
  <si>
    <t>Shreya Shah</t>
  </si>
  <si>
    <t>9869116826</t>
  </si>
  <si>
    <t>shreya.shah333@gmail.com</t>
  </si>
  <si>
    <t>874, Ring Road</t>
  </si>
  <si>
    <t>Radha Rane</t>
  </si>
  <si>
    <t>9964200154</t>
  </si>
  <si>
    <t>radha.rane63@gmail.com</t>
  </si>
  <si>
    <t>263, Nehru Nagar</t>
  </si>
  <si>
    <t>1378328714</t>
  </si>
  <si>
    <t>Kirti Verma</t>
  </si>
  <si>
    <t>9757981435</t>
  </si>
  <si>
    <t>kirti.verma782@yahoo.com</t>
  </si>
  <si>
    <t>961, FC Road</t>
  </si>
  <si>
    <t>Sneha Bhatt</t>
  </si>
  <si>
    <t>9714395627</t>
  </si>
  <si>
    <t>sneha.bhatt578@yahoo.com</t>
  </si>
  <si>
    <t>282, MG Road</t>
  </si>
  <si>
    <t>Kirti Saxena</t>
  </si>
  <si>
    <t>9865153194</t>
  </si>
  <si>
    <t>kirti.saxena628@gmail.com</t>
  </si>
  <si>
    <t>833, MG Road</t>
  </si>
  <si>
    <t>Yogesh Joshi</t>
  </si>
  <si>
    <t>9983356172</t>
  </si>
  <si>
    <t>yogesh.joshi521@yahoo.com</t>
  </si>
  <si>
    <t>987, Ring Road</t>
  </si>
  <si>
    <t>Deepa Verma</t>
  </si>
  <si>
    <t>9575754945</t>
  </si>
  <si>
    <t>deepa.verma928@gmail.com</t>
  </si>
  <si>
    <t>509, MG Road</t>
  </si>
  <si>
    <t>Harish Chatterjee</t>
  </si>
  <si>
    <t>9553690812</t>
  </si>
  <si>
    <t>harish.chatterjee208@yahoo.com</t>
  </si>
  <si>
    <t>937, MG Road</t>
  </si>
  <si>
    <t>LSEOU0105K</t>
  </si>
  <si>
    <t>243429339332</t>
  </si>
  <si>
    <t>Rajesh Kulkarni</t>
  </si>
  <si>
    <t>9425571650</t>
  </si>
  <si>
    <t>rajesh.kulkarni37@gmail.com</t>
  </si>
  <si>
    <t>153, FC Road</t>
  </si>
  <si>
    <t>Gaurav Shah</t>
  </si>
  <si>
    <t>9563188419</t>
  </si>
  <si>
    <t>gaurav.shah246@gmail.com</t>
  </si>
  <si>
    <t>54, Nehru Nagar</t>
  </si>
  <si>
    <t>311, MG Road</t>
  </si>
  <si>
    <t>VRWQL6186E</t>
  </si>
  <si>
    <t>754269463614</t>
  </si>
  <si>
    <t>Archana Agarwal</t>
  </si>
  <si>
    <t>9562907192</t>
  </si>
  <si>
    <t>698, Nehru Nagar</t>
  </si>
  <si>
    <t>Sarita Kulkarni</t>
  </si>
  <si>
    <t>9984572847</t>
  </si>
  <si>
    <t>sarita.kulkarni144@yahoo.com</t>
  </si>
  <si>
    <t>180, Ring Road</t>
  </si>
  <si>
    <t>Nisha Naidu</t>
  </si>
  <si>
    <t>03470235</t>
  </si>
  <si>
    <t>nisha.naidu639@yahoo.com</t>
  </si>
  <si>
    <t>Amit Mehta</t>
  </si>
  <si>
    <t>9599699001</t>
  </si>
  <si>
    <t>amit.mehta375@gmail.com</t>
  </si>
  <si>
    <t>951, MG Road</t>
  </si>
  <si>
    <t>Calcutta</t>
  </si>
  <si>
    <t>Bhavna Reddy</t>
  </si>
  <si>
    <t>9751977916</t>
  </si>
  <si>
    <t>bhavna.reddy463@gmail.com</t>
  </si>
  <si>
    <t>66, MG Road</t>
  </si>
  <si>
    <t>Mahesh Goel</t>
  </si>
  <si>
    <t>mahesh.goel349@gmail.com</t>
  </si>
  <si>
    <t>273, Park Street</t>
  </si>
  <si>
    <t>Rohan Sharma</t>
  </si>
  <si>
    <t>9747374080</t>
  </si>
  <si>
    <t>rohan.sharma899@gmail.com</t>
  </si>
  <si>
    <t>627, MG Road</t>
  </si>
  <si>
    <t>Arjun Patel</t>
  </si>
  <si>
    <t>9069372352</t>
  </si>
  <si>
    <t>arjun.patel862@yahoo.com</t>
  </si>
  <si>
    <t>796, Nehru Nagar</t>
  </si>
  <si>
    <t>Meera Reddy</t>
  </si>
  <si>
    <t>9804259056</t>
  </si>
  <si>
    <t>meera.reddy801@gmail.com</t>
  </si>
  <si>
    <t>651, MG Road</t>
  </si>
  <si>
    <t>Varun Yadav</t>
  </si>
  <si>
    <t>9515430562</t>
  </si>
  <si>
    <t>varun.yadav486@gmail.com</t>
  </si>
  <si>
    <t>440, FC Road</t>
  </si>
  <si>
    <t>Rajesh Bhatt</t>
  </si>
  <si>
    <t>9580448743</t>
  </si>
  <si>
    <t>rajesh.bhatt714@gmail.com</t>
  </si>
  <si>
    <t>713, Nehru Nagar</t>
  </si>
  <si>
    <t>Kajal Rane</t>
  </si>
  <si>
    <t>9165265604</t>
  </si>
  <si>
    <t>564, Park Street</t>
  </si>
  <si>
    <t>Priya Kumar</t>
  </si>
  <si>
    <t>9777385403</t>
  </si>
  <si>
    <t>priya.kumar108@gmail.com</t>
  </si>
  <si>
    <t>545, Nehru Nagar</t>
  </si>
  <si>
    <t>Vijay Chopra</t>
  </si>
  <si>
    <t>9247815735</t>
  </si>
  <si>
    <t>vijay.chopra724@yahoo.com</t>
  </si>
  <si>
    <t>590, FC Road</t>
  </si>
  <si>
    <t>Amit Dutta</t>
  </si>
  <si>
    <t>9032045740</t>
  </si>
  <si>
    <t>amit.dutta509@gmail.com</t>
  </si>
  <si>
    <t>442, MG Road</t>
  </si>
  <si>
    <t>9928489060</t>
  </si>
  <si>
    <t>vivek.kulkarni178@yahoo.com</t>
  </si>
  <si>
    <t>410, MG Road</t>
  </si>
  <si>
    <t>9847033173</t>
  </si>
  <si>
    <t>Usha Agarwal</t>
  </si>
  <si>
    <t>9616589412</t>
  </si>
  <si>
    <t>usha.agarwal683@gmail.com</t>
  </si>
  <si>
    <t>9006879825</t>
  </si>
  <si>
    <t>rajesh.goel135@yahoo.com</t>
  </si>
  <si>
    <t>280, Park Street</t>
  </si>
  <si>
    <t>9142507211</t>
  </si>
  <si>
    <t>sandeep.bhatt710@yahoo.com</t>
  </si>
  <si>
    <t>996, Church Street</t>
  </si>
  <si>
    <t>Aarti Kulkarni</t>
  </si>
  <si>
    <t>9511480880</t>
  </si>
  <si>
    <t>aarti.kulkarni2@yahoo.com</t>
  </si>
  <si>
    <t>Anita Dutta</t>
  </si>
  <si>
    <t>anita.dutta903@yahoo.com</t>
  </si>
  <si>
    <t>755, FC Road</t>
  </si>
  <si>
    <t>Prakash Verma</t>
  </si>
  <si>
    <t>9488706465</t>
  </si>
  <si>
    <t>prakash.verma596@gmail.com</t>
  </si>
  <si>
    <t>Lata Shah</t>
  </si>
  <si>
    <t>1352803977</t>
  </si>
  <si>
    <t>lata.shah86@gmail.com</t>
  </si>
  <si>
    <t>591, MG Road</t>
  </si>
  <si>
    <t>Sanjay Khanna</t>
  </si>
  <si>
    <t>9296813370</t>
  </si>
  <si>
    <t>800, Nehru Nagar</t>
  </si>
  <si>
    <t>UJORM4287V</t>
  </si>
  <si>
    <t>080208116755</t>
  </si>
  <si>
    <t>Gaurav Saxena</t>
  </si>
  <si>
    <t>gaurav.saxena953@yahoo.com</t>
  </si>
  <si>
    <t>Sunil Reddy</t>
  </si>
  <si>
    <t>9595454018</t>
  </si>
  <si>
    <t>sunil.reddy305@gmail.com</t>
  </si>
  <si>
    <t>96, Park Street</t>
  </si>
  <si>
    <t>Priya Shah</t>
  </si>
  <si>
    <t>9977950901</t>
  </si>
  <si>
    <t>priya.shah840@gmail.com</t>
  </si>
  <si>
    <t>826, Ring Road</t>
  </si>
  <si>
    <t>Amit Trivedi</t>
  </si>
  <si>
    <t>78820317</t>
  </si>
  <si>
    <t>526, Nehru Nagar</t>
  </si>
  <si>
    <t>Anjali Shah</t>
  </si>
  <si>
    <t>anjali.shah69@gmail.com</t>
  </si>
  <si>
    <t>668, Park Street</t>
  </si>
  <si>
    <t>Anand Rane</t>
  </si>
  <si>
    <t>9045318192</t>
  </si>
  <si>
    <t>anand.rane795@gmail.com</t>
  </si>
  <si>
    <t>Prakash Chauhan</t>
  </si>
  <si>
    <t>9871536588</t>
  </si>
  <si>
    <t>prakash.chauhan753@gmail.com</t>
  </si>
  <si>
    <t>652, Park Street</t>
  </si>
  <si>
    <t>Bhavna Yadav</t>
  </si>
  <si>
    <t>9821656794</t>
  </si>
  <si>
    <t>bhavna.yadav129@gmail.com</t>
  </si>
  <si>
    <t>879, MG Road</t>
  </si>
  <si>
    <t>Sunita Saxena</t>
  </si>
  <si>
    <t>9063101315</t>
  </si>
  <si>
    <t>sunita.saxena807@gmail.com</t>
  </si>
  <si>
    <t>168, Park Street</t>
  </si>
  <si>
    <t>Ashok Arora</t>
  </si>
  <si>
    <t>9977769958</t>
  </si>
  <si>
    <t>ashok.arora565@gmail.com</t>
  </si>
  <si>
    <t>113, MG Road</t>
  </si>
  <si>
    <t>Banglore</t>
  </si>
  <si>
    <t>Meera Chowdhury</t>
  </si>
  <si>
    <t>9000532400</t>
  </si>
  <si>
    <t>meera.chowdhury884@gmail.com</t>
  </si>
  <si>
    <t>120, Park Street</t>
  </si>
  <si>
    <t>Geeta Arora</t>
  </si>
  <si>
    <t>9919620992</t>
  </si>
  <si>
    <t>geeta.arora156@gmail.com</t>
  </si>
  <si>
    <t>933, FC Road</t>
  </si>
  <si>
    <t>Ramesh Rane</t>
  </si>
  <si>
    <t>9061722443</t>
  </si>
  <si>
    <t>ramesh.rane783@gmail.com</t>
  </si>
  <si>
    <t>762, Park Street</t>
  </si>
  <si>
    <t>Archana Rane</t>
  </si>
  <si>
    <t>9209579707</t>
  </si>
  <si>
    <t>archana.rane342@gmail.com</t>
  </si>
  <si>
    <t>450, Nehru Nagar</t>
  </si>
  <si>
    <t>Sanjay Joshi</t>
  </si>
  <si>
    <t>9499811564</t>
  </si>
  <si>
    <t>sanjay.joshi253@gmail.com</t>
  </si>
  <si>
    <t>809, Nehru Nagar</t>
  </si>
  <si>
    <t>Pooja Agrawal</t>
  </si>
  <si>
    <t>9232085340</t>
  </si>
  <si>
    <t>pooja.agarwal273@gmail.com</t>
  </si>
  <si>
    <t>251, Nehru Nagar</t>
  </si>
  <si>
    <t>9257145894</t>
  </si>
  <si>
    <t>kajal.reddy352@yahoo.com</t>
  </si>
  <si>
    <t>670, MG Road</t>
  </si>
  <si>
    <t>Payal Bhatt</t>
  </si>
  <si>
    <t>9575982337</t>
  </si>
  <si>
    <t>payal.bhatt11@gmail.com</t>
  </si>
  <si>
    <t>130, Nehru Nagar</t>
  </si>
  <si>
    <t>Gaurav Bansal</t>
  </si>
  <si>
    <t>9588813706</t>
  </si>
  <si>
    <t>gaurav.bansal625@gmail.com</t>
  </si>
  <si>
    <t>524, FC Road</t>
  </si>
  <si>
    <t>Vikram Tiwari</t>
  </si>
  <si>
    <t>9000460990</t>
  </si>
  <si>
    <t>vikram.tiwari428@gmail.com</t>
  </si>
  <si>
    <t>674, MG Road</t>
  </si>
  <si>
    <t>Vinod Ghosh</t>
  </si>
  <si>
    <t>9775532089</t>
  </si>
  <si>
    <t>vinod.ghosh494@gmail.com</t>
  </si>
  <si>
    <t>306, Park Street</t>
  </si>
  <si>
    <t>Usha Joshi</t>
  </si>
  <si>
    <t>9963661448</t>
  </si>
  <si>
    <t>usha.joshi787@yahoo.com</t>
  </si>
  <si>
    <t>9504059852</t>
  </si>
  <si>
    <t>Divya Menon</t>
  </si>
  <si>
    <t>6315666395</t>
  </si>
  <si>
    <t>divya.menon414@gmail.com</t>
  </si>
  <si>
    <t>798, Park Street</t>
  </si>
  <si>
    <t>ritu.mehta99@gmail.com</t>
  </si>
  <si>
    <t>984, FC Road</t>
  </si>
  <si>
    <t>Ramesh Iyer</t>
  </si>
  <si>
    <t>0200796670</t>
  </si>
  <si>
    <t>ramesh.iyer797@gmail.com</t>
  </si>
  <si>
    <t>64, Nehru Nagar</t>
  </si>
  <si>
    <t>CUST00071</t>
  </si>
  <si>
    <t>Vikram Gupat</t>
  </si>
  <si>
    <t>9934635533</t>
  </si>
  <si>
    <t>vikram.gupta71@gmail.com</t>
  </si>
  <si>
    <t>758, Nehru Nagar</t>
  </si>
  <si>
    <t>QNEFV1178W</t>
  </si>
  <si>
    <t>994520074316</t>
  </si>
  <si>
    <t>Kirti Khanna</t>
  </si>
  <si>
    <t>9014274362</t>
  </si>
  <si>
    <t>kirti.khanna655@gmail.com</t>
  </si>
  <si>
    <t>306, MG Road</t>
  </si>
  <si>
    <t>Trivandrum</t>
  </si>
  <si>
    <t>VWGZQ8338A</t>
  </si>
  <si>
    <t>Divya Bose</t>
  </si>
  <si>
    <t>9195286675</t>
  </si>
  <si>
    <t>divya.bose384@gmail.com</t>
  </si>
  <si>
    <t>505, MG Road</t>
  </si>
  <si>
    <t>9296450811</t>
  </si>
  <si>
    <t>karan.bansal50@gmail.com</t>
  </si>
  <si>
    <t>46, MG Road</t>
  </si>
  <si>
    <t>Sneha Trivedi</t>
  </si>
  <si>
    <t>5319723856</t>
  </si>
  <si>
    <t>sneha.trivedi400@gmail.com</t>
  </si>
  <si>
    <t>887335992971</t>
  </si>
  <si>
    <t>Arun Aptel</t>
  </si>
  <si>
    <t>9554619471</t>
  </si>
  <si>
    <t>arun.patel62@yahoo.com</t>
  </si>
  <si>
    <t>135, Park Street</t>
  </si>
  <si>
    <t>Deepa Reddy</t>
  </si>
  <si>
    <t>9866003857</t>
  </si>
  <si>
    <t>deepa.reddy892@yahoo.com</t>
  </si>
  <si>
    <t>219, Church Street</t>
  </si>
  <si>
    <t>TDLDG2548V</t>
  </si>
  <si>
    <t>610432450929</t>
  </si>
  <si>
    <t>80277991</t>
  </si>
  <si>
    <t>payal.patel268@yahoo.com</t>
  </si>
  <si>
    <t>477, Church Street</t>
  </si>
  <si>
    <t>Harish Bose</t>
  </si>
  <si>
    <t>9062798247</t>
  </si>
  <si>
    <t>harish.bose664@gmail.com</t>
  </si>
  <si>
    <t>255, Nehru Nagar</t>
  </si>
  <si>
    <t>YOBCN9711T</t>
  </si>
  <si>
    <t>422804249604</t>
  </si>
  <si>
    <t>9682751893</t>
  </si>
  <si>
    <t>Lata Naidu</t>
  </si>
  <si>
    <t>9790141415</t>
  </si>
  <si>
    <t>lata.naidu416@yahoo.com</t>
  </si>
  <si>
    <t>524, Nehru Nagar</t>
  </si>
  <si>
    <t>9450196503</t>
  </si>
  <si>
    <t>nisha.goel777@gmail.com</t>
  </si>
  <si>
    <t>178, Church Street</t>
  </si>
  <si>
    <t>9265802719</t>
  </si>
  <si>
    <t>Arun Kapoor</t>
  </si>
  <si>
    <t>9367965240</t>
  </si>
  <si>
    <t>arun.kapoor120@yahoo.com</t>
  </si>
  <si>
    <t>Rekha Singh</t>
  </si>
  <si>
    <t>9701663272</t>
  </si>
  <si>
    <t>rekha.singh961@gmail.com</t>
  </si>
  <si>
    <t>654, Church Street</t>
  </si>
  <si>
    <t>Pooja Reddy</t>
  </si>
  <si>
    <t>9323192691</t>
  </si>
  <si>
    <t>pooja.reddy219@yahoo.com</t>
  </si>
  <si>
    <t>852, Church Street</t>
  </si>
  <si>
    <t>ZTVWP5543O</t>
  </si>
  <si>
    <t>658617867937</t>
  </si>
  <si>
    <t>CUST01042</t>
  </si>
  <si>
    <t>9347322778</t>
  </si>
  <si>
    <t>9879937635</t>
  </si>
  <si>
    <t>sneha.bhatt425@yahoo.com</t>
  </si>
  <si>
    <t>591, Church Street</t>
  </si>
  <si>
    <t>Siddharth Chauhan</t>
  </si>
  <si>
    <t>9238026483</t>
  </si>
  <si>
    <t>siddharth.chauhan191@gmail.com</t>
  </si>
  <si>
    <t>Kavita Patel</t>
  </si>
  <si>
    <t>9860706090</t>
  </si>
  <si>
    <t>kavita.patel747@yahoo.com</t>
  </si>
  <si>
    <t>608, FC Road</t>
  </si>
  <si>
    <t>Sneha Chowdhury</t>
  </si>
  <si>
    <t>9389070418</t>
  </si>
  <si>
    <t>sneha.chowdhury82@yahoo.com</t>
  </si>
  <si>
    <t>395, Ring Road</t>
  </si>
  <si>
    <t>Sarita Rane</t>
  </si>
  <si>
    <t>9582189448</t>
  </si>
  <si>
    <t>sarita.rane844@yahoo.com</t>
  </si>
  <si>
    <t>Kirti Joshi</t>
  </si>
  <si>
    <t>9470920900</t>
  </si>
  <si>
    <t>kirti.joshi9@gmail.com</t>
  </si>
  <si>
    <t>686, MG Road</t>
  </si>
  <si>
    <t>Priya Trivedi</t>
  </si>
  <si>
    <t>9363306091</t>
  </si>
  <si>
    <t>priya.trivedi468@gmail.com</t>
  </si>
  <si>
    <t>9491218458</t>
  </si>
  <si>
    <t>vandana.bhatt607@yahoo.com</t>
  </si>
  <si>
    <t>177, Park Street</t>
  </si>
  <si>
    <t>9136241826</t>
  </si>
  <si>
    <t>Nikhil Tiwari</t>
  </si>
  <si>
    <t>9974519878</t>
  </si>
  <si>
    <t>nikhil.tiwari854@yahoo.com</t>
  </si>
  <si>
    <t>973, Nehru Nagar</t>
  </si>
  <si>
    <t>DMURS4118Z</t>
  </si>
  <si>
    <t>237381859207</t>
  </si>
  <si>
    <t>Anand Patel</t>
  </si>
  <si>
    <t>anand.patel449@gmail.com</t>
  </si>
  <si>
    <t>440, Church Street</t>
  </si>
  <si>
    <t>9064199447</t>
  </si>
  <si>
    <t>preeti.pillai515@yahoo.com</t>
  </si>
  <si>
    <t>610, Park Street</t>
  </si>
  <si>
    <t>Girish Yadav</t>
  </si>
  <si>
    <t>9681515328</t>
  </si>
  <si>
    <t>girish.yadav752@yahoo.com</t>
  </si>
  <si>
    <t>464, Nehru Nagar</t>
  </si>
  <si>
    <t>Namrata Kulkarni</t>
  </si>
  <si>
    <t>9695031059</t>
  </si>
  <si>
    <t>namrata.kulkarni74@gmail.com</t>
  </si>
  <si>
    <t>630, Church Street</t>
  </si>
  <si>
    <t>Suresh Agarwal</t>
  </si>
  <si>
    <t>9024180824</t>
  </si>
  <si>
    <t>suresh.agarwal500@gmail.com</t>
  </si>
  <si>
    <t>416, Nehru Nagar</t>
  </si>
  <si>
    <t>Asha Bose</t>
  </si>
  <si>
    <t>9450984591</t>
  </si>
  <si>
    <t>asha.bose66@gmail.com</t>
  </si>
  <si>
    <t>904, FC Road</t>
  </si>
  <si>
    <t>Suresh Menon</t>
  </si>
  <si>
    <t>9660655169</t>
  </si>
  <si>
    <t>suresh.menon29@gmail.com</t>
  </si>
  <si>
    <t>47, Nehru Nagar</t>
  </si>
  <si>
    <t>mahesh.khanna623@gmail.com</t>
  </si>
  <si>
    <t>48, Nehru Nagar</t>
  </si>
  <si>
    <t>Kiran Chopra</t>
  </si>
  <si>
    <t>9117351233</t>
  </si>
  <si>
    <t>kiran.chopra971@gmail.com</t>
  </si>
  <si>
    <t>Neha Sharma</t>
  </si>
  <si>
    <t>9227772672</t>
  </si>
  <si>
    <t>neha.sharma569@gmail.com</t>
  </si>
  <si>
    <t>929, Park Street</t>
  </si>
  <si>
    <t>9337824555</t>
  </si>
  <si>
    <t>Deepak Desai</t>
  </si>
  <si>
    <t>9543641656</t>
  </si>
  <si>
    <t>deepak.desai89@yahoo.com</t>
  </si>
  <si>
    <t>932, Park Street</t>
  </si>
  <si>
    <t>0209126043</t>
  </si>
  <si>
    <t>466, Ring Road</t>
  </si>
  <si>
    <t>Harish Arora</t>
  </si>
  <si>
    <t>9425413630</t>
  </si>
  <si>
    <t>harish.arora907@yahoo.com</t>
  </si>
  <si>
    <t>364, Church Street</t>
  </si>
  <si>
    <t>Manisha Verma</t>
  </si>
  <si>
    <t>9945438284</t>
  </si>
  <si>
    <t>manisha.verma391@yahoo.com</t>
  </si>
  <si>
    <t>626, FC Road</t>
  </si>
  <si>
    <t>9248831242</t>
  </si>
  <si>
    <t>nikhil.yadav894@yahoo.com</t>
  </si>
  <si>
    <t>249, Nehru Nagar</t>
  </si>
  <si>
    <t>Priya Khanna</t>
  </si>
  <si>
    <t>9962524897</t>
  </si>
  <si>
    <t>priya.khanna621@yahoo.com</t>
  </si>
  <si>
    <t>574, Nehru Nagar</t>
  </si>
  <si>
    <t>Sneha Iyer</t>
  </si>
  <si>
    <t>9362974856</t>
  </si>
  <si>
    <t>sneha.iyer774@gmail.com</t>
  </si>
  <si>
    <t>pankaj.tiwari997@yahoo.com</t>
  </si>
  <si>
    <t>857, Church Street</t>
  </si>
  <si>
    <t>Kajal Shah</t>
  </si>
  <si>
    <t>9306506872</t>
  </si>
  <si>
    <t>kajal.shah412@gmail.com</t>
  </si>
  <si>
    <t>844, Church Street</t>
  </si>
  <si>
    <t>Radh Anaidu</t>
  </si>
  <si>
    <t>9676483041</t>
  </si>
  <si>
    <t>radha.naidu534@gmail.com</t>
  </si>
  <si>
    <t>435, Church Street</t>
  </si>
  <si>
    <t>Rani Triveid</t>
  </si>
  <si>
    <t>9739417401</t>
  </si>
  <si>
    <t>rani.trivedi576@gmail.com</t>
  </si>
  <si>
    <t>512, Park Street</t>
  </si>
  <si>
    <t>Namrata Bhatt</t>
  </si>
  <si>
    <t>9783570747</t>
  </si>
  <si>
    <t>namrata.bhatt126@yahoo.com</t>
  </si>
  <si>
    <t>322, Church Street</t>
  </si>
  <si>
    <t>9048756744</t>
  </si>
  <si>
    <t>0207086529</t>
  </si>
  <si>
    <t>Vivek Kapoor</t>
  </si>
  <si>
    <t>74614923</t>
  </si>
  <si>
    <t>vivek.kapoor584@yahoo.com</t>
  </si>
  <si>
    <t>Pallavi Trivedi</t>
  </si>
  <si>
    <t>9589868864</t>
  </si>
  <si>
    <t>pallavi.trivedi826@gmail.com</t>
  </si>
  <si>
    <t>Rekha Kumar</t>
  </si>
  <si>
    <t>57737589</t>
  </si>
  <si>
    <t>rekha.kumar307@gmail.com</t>
  </si>
  <si>
    <t>418, MG Road</t>
  </si>
  <si>
    <t>Abhishek Chopra</t>
  </si>
  <si>
    <t>9290188693</t>
  </si>
  <si>
    <t>abhishek.chopra506@yahoo.com</t>
  </si>
  <si>
    <t>877, MG Road</t>
  </si>
  <si>
    <t>Rakesh Mehta</t>
  </si>
  <si>
    <t>9121868941</t>
  </si>
  <si>
    <t>rakesh.mehta45@gmail.com</t>
  </si>
  <si>
    <t>KCJLE6895R</t>
  </si>
  <si>
    <t>321313554459</t>
  </si>
  <si>
    <t>Vinod Patel</t>
  </si>
  <si>
    <t>9462736711</t>
  </si>
  <si>
    <t>vinod.patel100@yahoo.com</t>
  </si>
  <si>
    <t>546, Park Street</t>
  </si>
  <si>
    <t>Anand Shah</t>
  </si>
  <si>
    <t>0206407350</t>
  </si>
  <si>
    <t>anand.shah823@gmail.com</t>
  </si>
  <si>
    <t>427, Nehru Nagar</t>
  </si>
  <si>
    <t>Kiran Tiwari</t>
  </si>
  <si>
    <t>9869002929</t>
  </si>
  <si>
    <t>kiran.tiwari373@gmail.com</t>
  </si>
  <si>
    <t>766, MG Road</t>
  </si>
  <si>
    <t>Sanjay Mishra</t>
  </si>
  <si>
    <t>9379908820</t>
  </si>
  <si>
    <t>sanjay.mishra362@gmail.com</t>
  </si>
  <si>
    <t>777, FC Road</t>
  </si>
  <si>
    <t>Manoj Khanna</t>
  </si>
  <si>
    <t>9042813760</t>
  </si>
  <si>
    <t>manoj.khanna791@gmail.com</t>
  </si>
  <si>
    <t>655, Church Street</t>
  </si>
  <si>
    <t>Arun Mehta</t>
  </si>
  <si>
    <t>9290550005</t>
  </si>
  <si>
    <t>928, Park Street</t>
  </si>
  <si>
    <t>Arun Agarwal</t>
  </si>
  <si>
    <t>0206834547</t>
  </si>
  <si>
    <t>arun.agarwal734@yahoo.com</t>
  </si>
  <si>
    <t>94, FC Road</t>
  </si>
  <si>
    <t>Yogesh Bhatt</t>
  </si>
  <si>
    <t>9461420077</t>
  </si>
  <si>
    <t>yogesh.bhatt102@gmail.com</t>
  </si>
  <si>
    <t>39, Nehru Nagar</t>
  </si>
  <si>
    <t>namrata.chatterjee81@gmail.com</t>
  </si>
  <si>
    <t>575, Ring Road</t>
  </si>
  <si>
    <t>QQONQ3358L</t>
  </si>
  <si>
    <t>323088340994</t>
  </si>
  <si>
    <t>Nidhi Kulkarni</t>
  </si>
  <si>
    <t>9626294215</t>
  </si>
  <si>
    <t>nidhi.kulkarni406@yahoo.com</t>
  </si>
  <si>
    <t>918, Ring Road</t>
  </si>
  <si>
    <t>CUST00325</t>
  </si>
  <si>
    <t>0208619188</t>
  </si>
  <si>
    <t>Namrata Desai</t>
  </si>
  <si>
    <t>9023073109</t>
  </si>
  <si>
    <t>namrata.desai25@gmail.com</t>
  </si>
  <si>
    <t>82, MG Road</t>
  </si>
  <si>
    <t>Anand Goel</t>
  </si>
  <si>
    <t>9714676680</t>
  </si>
  <si>
    <t>anand.goel321@yahoo.com</t>
  </si>
  <si>
    <t>98, Church Street</t>
  </si>
  <si>
    <t>Vivek Bose</t>
  </si>
  <si>
    <t>0205339627</t>
  </si>
  <si>
    <t>vivek.bose472@yahoo.com</t>
  </si>
  <si>
    <t>726, Ring Road</t>
  </si>
  <si>
    <t>Yogesh Kumar</t>
  </si>
  <si>
    <t>9331515937</t>
  </si>
  <si>
    <t>yogesh.kumar22@gmail.com</t>
  </si>
  <si>
    <t>9030472987</t>
  </si>
  <si>
    <t>rahul.bose640@yahoo.com</t>
  </si>
  <si>
    <t>879, Ring Road</t>
  </si>
  <si>
    <t>MEEQZ2755D</t>
  </si>
  <si>
    <t>6913018241</t>
  </si>
  <si>
    <t>Gaurav Agarwal</t>
  </si>
  <si>
    <t>9268899702</t>
  </si>
  <si>
    <t>gaurav.agarwal118@yahoo.com</t>
  </si>
  <si>
    <t>865, Ring Road</t>
  </si>
  <si>
    <t>Pallavi Dutta</t>
  </si>
  <si>
    <t>9344013321</t>
  </si>
  <si>
    <t>pallavi.dutta420@yahoo.com</t>
  </si>
  <si>
    <t>137, Nehru Nagar</t>
  </si>
  <si>
    <t>9516174189</t>
  </si>
  <si>
    <t>manoj.khanna479@gmail.com</t>
  </si>
  <si>
    <t>Sunita Kapoor</t>
  </si>
  <si>
    <t>9083221808</t>
  </si>
  <si>
    <t>sunita.kapoor545@gmail.com</t>
  </si>
  <si>
    <t>9320629910</t>
  </si>
  <si>
    <t>varun.tiwari419@gmail.com</t>
  </si>
  <si>
    <t>681, MG Road</t>
  </si>
  <si>
    <t>Deepak Nair</t>
  </si>
  <si>
    <t>9468935148</t>
  </si>
  <si>
    <t>deepak.nair205@gmail.com</t>
  </si>
  <si>
    <t>9778519428</t>
  </si>
  <si>
    <t>meera.saxena728@gmail.com</t>
  </si>
  <si>
    <t>4, MG Road</t>
  </si>
  <si>
    <t>Rekha Patel</t>
  </si>
  <si>
    <t>9020920907</t>
  </si>
  <si>
    <t>rekha.patel875@gmail.com</t>
  </si>
  <si>
    <t>631, Park Street</t>
  </si>
  <si>
    <t>9606712958</t>
  </si>
  <si>
    <t>neha.chauhan537@gmail.com</t>
  </si>
  <si>
    <t>159, FC Road</t>
  </si>
  <si>
    <t>Kiran Yadav</t>
  </si>
  <si>
    <t>9688645618</t>
  </si>
  <si>
    <t>kiran.yadav581@yahoo.com</t>
  </si>
  <si>
    <t>823, FC Road</t>
  </si>
  <si>
    <t>Naveen Joshi</t>
  </si>
  <si>
    <t>9947750347</t>
  </si>
  <si>
    <t>naveen.joshi130@gmail.com</t>
  </si>
  <si>
    <t>925, Church Street</t>
  </si>
  <si>
    <t>Vikram Kumar</t>
  </si>
  <si>
    <t>9410807823</t>
  </si>
  <si>
    <t>vikram.kumar885@yahoo.com</t>
  </si>
  <si>
    <t>724, FC Road</t>
  </si>
  <si>
    <t>Usha Bose</t>
  </si>
  <si>
    <t>9675720018</t>
  </si>
  <si>
    <t>usha.bose987@gmail.com</t>
  </si>
  <si>
    <t>321, Nehru Nagar</t>
  </si>
  <si>
    <t>9646082873</t>
  </si>
  <si>
    <t>varun.arora320@gmail.com</t>
  </si>
  <si>
    <t>543, MG Road</t>
  </si>
  <si>
    <t>Varun Naidu</t>
  </si>
  <si>
    <t>9267284898</t>
  </si>
  <si>
    <t>varun.naidu658@gmail.com</t>
  </si>
  <si>
    <t>641, FC Road</t>
  </si>
  <si>
    <t>Asha Patel</t>
  </si>
  <si>
    <t>9797886882</t>
  </si>
  <si>
    <t>asha.patel898@gmail.com</t>
  </si>
  <si>
    <t>98, MG Road</t>
  </si>
  <si>
    <t>9241810121</t>
  </si>
  <si>
    <t>sunita.joshi711@yahoo.com</t>
  </si>
  <si>
    <t>Deepak Kumar</t>
  </si>
  <si>
    <t>9349386863</t>
  </si>
  <si>
    <t>deepak.kumar988@gmail.com</t>
  </si>
  <si>
    <t>586, Ring Road</t>
  </si>
  <si>
    <t>9195052217</t>
  </si>
  <si>
    <t>Shalini Malhotra</t>
  </si>
  <si>
    <t>9570734269</t>
  </si>
  <si>
    <t>shalini.malhotra686@gmail.com</t>
  </si>
  <si>
    <t>585, Ring Road</t>
  </si>
  <si>
    <t>Ajay Yadav</t>
  </si>
  <si>
    <t>9334600602</t>
  </si>
  <si>
    <t>ajay.yadav275@yahoo.com</t>
  </si>
  <si>
    <t>201, Park Street</t>
  </si>
  <si>
    <t>Deepa Goel</t>
  </si>
  <si>
    <t>9939344860</t>
  </si>
  <si>
    <t>deepa.goel942@gmail.com</t>
  </si>
  <si>
    <t>892, Nehru Nagar</t>
  </si>
  <si>
    <t>9819431769</t>
  </si>
  <si>
    <t>abhishek.ghosh106@gmail.com</t>
  </si>
  <si>
    <t>140, MG Road</t>
  </si>
  <si>
    <t>Manisha Saxena</t>
  </si>
  <si>
    <t>9662471782</t>
  </si>
  <si>
    <t>manisha.saxena954@gmail.com</t>
  </si>
  <si>
    <t>483, Ring Road</t>
  </si>
  <si>
    <t>Sarita Singh</t>
  </si>
  <si>
    <t>9584771792</t>
  </si>
  <si>
    <t>sarita.singh541@gmail.com</t>
  </si>
  <si>
    <t>807, Ring Road</t>
  </si>
  <si>
    <t>Vandana Sharma</t>
  </si>
  <si>
    <t>9797653258</t>
  </si>
  <si>
    <t>vandana.sharma329@gmail.com</t>
  </si>
  <si>
    <t>Suman Pillai</t>
  </si>
  <si>
    <t>9016039955</t>
  </si>
  <si>
    <t>557, MG Road</t>
  </si>
  <si>
    <t>Vandana Kapoor</t>
  </si>
  <si>
    <t>9096686148</t>
  </si>
  <si>
    <t>vandana.kapoor523@yahoo.com</t>
  </si>
  <si>
    <t>31, Church Street</t>
  </si>
  <si>
    <t>Archana Reddy</t>
  </si>
  <si>
    <t>9514058511</t>
  </si>
  <si>
    <t>archana.reddy772@gmail.com</t>
  </si>
  <si>
    <t>879, Park Street</t>
  </si>
  <si>
    <t>Payal Chopra</t>
  </si>
  <si>
    <t>9152777669</t>
  </si>
  <si>
    <t>payal.chopra504@gmail.com</t>
  </si>
  <si>
    <t>610, MG Road</t>
  </si>
  <si>
    <t>Sneha Menon</t>
  </si>
  <si>
    <t>9286672435</t>
  </si>
  <si>
    <t>sneha.menon730@yahoo.com</t>
  </si>
  <si>
    <t>9696569432</t>
  </si>
  <si>
    <t>bhavna.reddy251@gmail.com</t>
  </si>
  <si>
    <t>602, Church Street</t>
  </si>
  <si>
    <t>Pankaj Chowdhury</t>
  </si>
  <si>
    <t>9174709643</t>
  </si>
  <si>
    <t>pankaj.chowdhury656@gmail.com</t>
  </si>
  <si>
    <t>VCORD9856L</t>
  </si>
  <si>
    <t>875599651660</t>
  </si>
  <si>
    <t>Namrata Malhotra</t>
  </si>
  <si>
    <t>9023628135</t>
  </si>
  <si>
    <t>namrata.malhotra30@gmail.com</t>
  </si>
  <si>
    <t>901, FC Road</t>
  </si>
  <si>
    <t>Ravi Malhotra</t>
  </si>
  <si>
    <t>9840505893</t>
  </si>
  <si>
    <t>ravi.malhotra651@yahoo.com</t>
  </si>
  <si>
    <t>370, Church Street</t>
  </si>
  <si>
    <t>Nikhil Verma</t>
  </si>
  <si>
    <t>nikhil.verma225@yahoo.com</t>
  </si>
  <si>
    <t>609, MG Road</t>
  </si>
  <si>
    <t>9424330920</t>
  </si>
  <si>
    <t>anand.reddy502@gmail.com</t>
  </si>
  <si>
    <t>947, Nehru Nagar</t>
  </si>
  <si>
    <t>9336728500</t>
  </si>
  <si>
    <t>Nisha Gupta</t>
  </si>
  <si>
    <t>9461314460</t>
  </si>
  <si>
    <t>nisha.gupta568@gmail.com</t>
  </si>
  <si>
    <t>735, Park Street</t>
  </si>
  <si>
    <t>9030430964</t>
  </si>
  <si>
    <t>Yogesh Dutta</t>
  </si>
  <si>
    <t>9309390346</t>
  </si>
  <si>
    <t>yogesh.dutta653@gmail.com</t>
  </si>
  <si>
    <t>574, Church Street</t>
  </si>
  <si>
    <t>9095511952</t>
  </si>
  <si>
    <t>Arjun Pillai</t>
  </si>
  <si>
    <t>9426765733</t>
  </si>
  <si>
    <t>arjun.pillai354@gmail.com</t>
  </si>
  <si>
    <t>Suresh Kulkarni</t>
  </si>
  <si>
    <t>9835266293</t>
  </si>
  <si>
    <t>suresh.kulkarni70@gmail.com</t>
  </si>
  <si>
    <t>765, Ring Road</t>
  </si>
  <si>
    <t>CUST00601</t>
  </si>
  <si>
    <t>Vivek Agarwal</t>
  </si>
  <si>
    <t>9067701213</t>
  </si>
  <si>
    <t>vivek.agarwal601@gmail.com</t>
  </si>
  <si>
    <t>260, Nehru Nagar</t>
  </si>
  <si>
    <t>TGHHJ0963Y</t>
  </si>
  <si>
    <t>406472580493</t>
  </si>
  <si>
    <t>9522894302</t>
  </si>
  <si>
    <t>anand.goel637@gmail.com</t>
  </si>
  <si>
    <t>642, MG Road</t>
  </si>
  <si>
    <t>9274877011</t>
  </si>
  <si>
    <t>seema.chowdhury931@gmail.com</t>
  </si>
  <si>
    <t>983, FC Road</t>
  </si>
  <si>
    <t>Kavita Gupta</t>
  </si>
  <si>
    <t>9822283029</t>
  </si>
  <si>
    <t>kavita.gupta991@yahoo.com</t>
  </si>
  <si>
    <t>910, MG Road</t>
  </si>
  <si>
    <t>Aditya Iyer</t>
  </si>
  <si>
    <t>9167886077</t>
  </si>
  <si>
    <t>aditya.iyer877@gmail.com</t>
  </si>
  <si>
    <t>233, MG Road</t>
  </si>
  <si>
    <t>CUST00398</t>
  </si>
  <si>
    <t>Swati Arora</t>
  </si>
  <si>
    <t>9680041149</t>
  </si>
  <si>
    <t>swati.arora398@yahoo.com</t>
  </si>
  <si>
    <t>184, MG Road</t>
  </si>
  <si>
    <t>MJQAQ4943M</t>
  </si>
  <si>
    <t>7679283732</t>
  </si>
  <si>
    <t>Seema Chatterjee</t>
  </si>
  <si>
    <t>13151836</t>
  </si>
  <si>
    <t>seema.chatterjee815@gmail.com</t>
  </si>
  <si>
    <t>896, Nehru Nagar</t>
  </si>
  <si>
    <t>11071402</t>
  </si>
  <si>
    <t>radha.mishra645@yahoo.com</t>
  </si>
  <si>
    <t>555, Ring Road</t>
  </si>
  <si>
    <t>Preeti Mehta</t>
  </si>
  <si>
    <t>9678097478</t>
  </si>
  <si>
    <t>preeti.mehta831@gmail.com</t>
  </si>
  <si>
    <t>554, FC Road</t>
  </si>
  <si>
    <t>9137239369</t>
  </si>
  <si>
    <t>divya.chauhan946@yahoo.com</t>
  </si>
  <si>
    <t>956, Park Street</t>
  </si>
  <si>
    <t>0025978696</t>
  </si>
  <si>
    <t>kiran.kapoor308@gmail.com</t>
  </si>
  <si>
    <t>825, Park Street</t>
  </si>
  <si>
    <t>9672691135</t>
  </si>
  <si>
    <t>Kajal Bansal</t>
  </si>
  <si>
    <t>9993898082</t>
  </si>
  <si>
    <t>kajal.bansal442@yahoo.com</t>
  </si>
  <si>
    <t>658, MG Road</t>
  </si>
  <si>
    <t>Sarita Menon</t>
  </si>
  <si>
    <t>9974306601</t>
  </si>
  <si>
    <t>sarita.menon824@gmail.com</t>
  </si>
  <si>
    <t>JSPTP9401Q</t>
  </si>
  <si>
    <t>183824201942</t>
  </si>
  <si>
    <t>Nikhil Trivedi</t>
  </si>
  <si>
    <t>9975724633</t>
  </si>
  <si>
    <t>nikhil.trivedi904@gmail.com</t>
  </si>
  <si>
    <t>211, MG Road</t>
  </si>
  <si>
    <t>Prakash Reddy</t>
  </si>
  <si>
    <t>9483570682</t>
  </si>
  <si>
    <t>prakash.reddy465@gmail.com</t>
  </si>
  <si>
    <t>796, FC Road</t>
  </si>
  <si>
    <t>9142362794</t>
  </si>
  <si>
    <t>payal.ghosh147@yahoo.com</t>
  </si>
  <si>
    <t>41, Church Street</t>
  </si>
  <si>
    <t>Jyoti Reddy</t>
  </si>
  <si>
    <t>9231406851</t>
  </si>
  <si>
    <t>jyoti.reddy522@gmail.com</t>
  </si>
  <si>
    <t>9321466359</t>
  </si>
  <si>
    <t>abhishek.sharma365@gmail.com</t>
  </si>
  <si>
    <t>Vinod Pandey</t>
  </si>
  <si>
    <t>9138540250</t>
  </si>
  <si>
    <t>vinod.pandey550@gmail.com</t>
  </si>
  <si>
    <t>183, Church Street</t>
  </si>
  <si>
    <t>FSFWV1950S</t>
  </si>
  <si>
    <t>445482447027</t>
  </si>
  <si>
    <t>9669860804</t>
  </si>
  <si>
    <t>pooja.rane1000@yahoo.com</t>
  </si>
  <si>
    <t>633, Ring Road</t>
  </si>
  <si>
    <t>9783790533</t>
  </si>
  <si>
    <t>manish.trivedi328@gmail.com</t>
  </si>
  <si>
    <t>989, Ring Road</t>
  </si>
  <si>
    <t>Swati Chowdhury</t>
  </si>
  <si>
    <t>9040087216</t>
  </si>
  <si>
    <t>swati.chowdhury445@gmail.com</t>
  </si>
  <si>
    <t>842, Nehru Nagar</t>
  </si>
  <si>
    <t>9432277869</t>
  </si>
  <si>
    <t>pallavi.kapoor978@yahoo.com</t>
  </si>
  <si>
    <t>940, MG Road</t>
  </si>
  <si>
    <t>Aditya Bansal</t>
  </si>
  <si>
    <t>9195644102</t>
  </si>
  <si>
    <t>816, Ring Road</t>
  </si>
  <si>
    <t>9007082015</t>
  </si>
  <si>
    <t>mahesh.singh793@yahoo.com</t>
  </si>
  <si>
    <t>SFEIJ9751R</t>
  </si>
  <si>
    <t>Kirti Patel</t>
  </si>
  <si>
    <t>9257000619</t>
  </si>
  <si>
    <t>kirti.patel895@gmail.com</t>
  </si>
  <si>
    <t>607, Park Street</t>
  </si>
  <si>
    <t>JNJDC0543W</t>
  </si>
  <si>
    <t>172217060725</t>
  </si>
  <si>
    <t>9467688784</t>
  </si>
  <si>
    <t>268, Nehru Nagar</t>
  </si>
  <si>
    <t>Abhishek Gupta</t>
  </si>
  <si>
    <t>9581677262</t>
  </si>
  <si>
    <t>abhishek.gupta223@gmail.com</t>
  </si>
  <si>
    <t>605, Church Street</t>
  </si>
  <si>
    <t>Rohan Pillai</t>
  </si>
  <si>
    <t>9185574103</t>
  </si>
  <si>
    <t>rohan.pillai443@gmail.com</t>
  </si>
  <si>
    <t>583, Church Street</t>
  </si>
  <si>
    <t>Deepak Arora</t>
  </si>
  <si>
    <t>9541680957</t>
  </si>
  <si>
    <t>deepak.arora666@yahoo.com</t>
  </si>
  <si>
    <t>516, Church Street</t>
  </si>
  <si>
    <t>Aarti Arora</t>
  </si>
  <si>
    <t>9398809993</t>
  </si>
  <si>
    <t>aarti.arora480@gmail.com</t>
  </si>
  <si>
    <t>958, Park Street</t>
  </si>
  <si>
    <t>9826131448</t>
  </si>
  <si>
    <t>9855962562</t>
  </si>
  <si>
    <t>Aarti Saxena</t>
  </si>
  <si>
    <t>9954362618</t>
  </si>
  <si>
    <t>aarti.saxena610@yahoo.com</t>
  </si>
  <si>
    <t>109, Church Street</t>
  </si>
  <si>
    <t>Aarti Menon</t>
  </si>
  <si>
    <t>9530762644</t>
  </si>
  <si>
    <t>aarti.menon410@yahoo.com</t>
  </si>
  <si>
    <t>401, MG Road</t>
  </si>
  <si>
    <t>Suman Saxena</t>
  </si>
  <si>
    <t>9763370185</t>
  </si>
  <si>
    <t>suman.saxena957@gmail.com</t>
  </si>
  <si>
    <t>977, Park Street</t>
  </si>
  <si>
    <t>Vijay Kumar</t>
  </si>
  <si>
    <t>9154022854</t>
  </si>
  <si>
    <t>vijay.kumar447@gmail.com</t>
  </si>
  <si>
    <t>213, MG Road</t>
  </si>
  <si>
    <t>Radha Trivedi</t>
  </si>
  <si>
    <t>9984898021</t>
  </si>
  <si>
    <t>radha.trivedi418@gmail.com</t>
  </si>
  <si>
    <t>122, FC Road</t>
  </si>
  <si>
    <t>Lata Reddy</t>
  </si>
  <si>
    <t>9664720704</t>
  </si>
  <si>
    <t>lata.reddy720@yahoo.com</t>
  </si>
  <si>
    <t>Radha Iyer</t>
  </si>
  <si>
    <t>9186911931</t>
  </si>
  <si>
    <t>radha.iyer693@gmail.com</t>
  </si>
  <si>
    <t>296, FC Road</t>
  </si>
  <si>
    <t>9347159904</t>
  </si>
  <si>
    <t>Amit Chopra</t>
  </si>
  <si>
    <t>9168324331</t>
  </si>
  <si>
    <t>amit.chopra140@gmail.com</t>
  </si>
  <si>
    <t>148, Park Street</t>
  </si>
  <si>
    <t>Deepa Kapoor</t>
  </si>
  <si>
    <t>9259222766</t>
  </si>
  <si>
    <t>deepa.kapoor470@gmail.com</t>
  </si>
  <si>
    <t>594, FC Road</t>
  </si>
  <si>
    <t>Swati Kulkarni</t>
  </si>
  <si>
    <t>9216944963</t>
  </si>
  <si>
    <t>swati.kulkarni301@gmail.com</t>
  </si>
  <si>
    <t>694, FC Road</t>
  </si>
  <si>
    <t>Amit Verma</t>
  </si>
  <si>
    <t>9915907814</t>
  </si>
  <si>
    <t>amit.verma769@yahoo.com</t>
  </si>
  <si>
    <t>593, Park Street</t>
  </si>
  <si>
    <t>9270364772</t>
  </si>
  <si>
    <t>jyoti.reddy437@gmail.com</t>
  </si>
  <si>
    <t>9619565407</t>
  </si>
  <si>
    <t>archana.patel785@gmail.com</t>
  </si>
  <si>
    <t>Pankaj Desai</t>
  </si>
  <si>
    <t>pankaj.desai503@yahoo.com</t>
  </si>
  <si>
    <t>416, Ring Road</t>
  </si>
  <si>
    <t>Amit Arora</t>
  </si>
  <si>
    <t>0209265079</t>
  </si>
  <si>
    <t>amit.arora594@gmail.com</t>
  </si>
  <si>
    <t>Sunita Gupta</t>
  </si>
  <si>
    <t>9023874165</t>
  </si>
  <si>
    <t>sunita.gupta104@gmail.com</t>
  </si>
  <si>
    <t>124, FC Road</t>
  </si>
  <si>
    <t>Rani Reddy</t>
  </si>
  <si>
    <t>0200375667</t>
  </si>
  <si>
    <t>rani.reddy520@yahoo.com</t>
  </si>
  <si>
    <t>54, Park Street</t>
  </si>
  <si>
    <t>Meera Arora</t>
  </si>
  <si>
    <t>9418013462</t>
  </si>
  <si>
    <t>meera.arora363@gmail.com</t>
  </si>
  <si>
    <t>174, MG Road</t>
  </si>
  <si>
    <t>9206654108</t>
  </si>
  <si>
    <t>varun.shah247@yahoo.com</t>
  </si>
  <si>
    <t>306, Nehru Nagar</t>
  </si>
  <si>
    <t>Kavita Iyer</t>
  </si>
  <si>
    <t>9750183063</t>
  </si>
  <si>
    <t>kavita.iyer452@yahoo.com</t>
  </si>
  <si>
    <t>Deepa Gupta</t>
  </si>
  <si>
    <t>deepa.gupta921@gmail.com</t>
  </si>
  <si>
    <t>373, MG Road</t>
  </si>
  <si>
    <t>9996731779</t>
  </si>
  <si>
    <t>Rohan Reddy</t>
  </si>
  <si>
    <t>9581924873</t>
  </si>
  <si>
    <t>rohan.reddy935@gmail.com</t>
  </si>
  <si>
    <t>643, Church Street</t>
  </si>
  <si>
    <t>Komal Goel</t>
  </si>
  <si>
    <t>9005753083</t>
  </si>
  <si>
    <t>komal.goel652@gmail.com</t>
  </si>
  <si>
    <t>502, Park Street</t>
  </si>
  <si>
    <t>Shalini Verma</t>
  </si>
  <si>
    <t>9366694451</t>
  </si>
  <si>
    <t>shalini.verma456@gmail.com</t>
  </si>
  <si>
    <t>864, Park Street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</si>
</sst>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4">
    <font>
      <sz val="11.0"/>
      <color theme="1"/>
      <name val="Calibri"/>
      <scheme val="minor"/>
    </font>
    <font>
      <b/>
      <sz val="12.0"/>
      <color rgb="FF1F3864"/>
      <name val="Calibri"/>
    </font>
    <font>
      <b/>
      <sz val="11.0"/>
      <color rgb="FFFFFFFF"/>
      <name val="Calibri"/>
    </font>
    <font>
      <sz val="10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</fills>
  <borders count="2">
    <border/>
    <border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0" fontId="3" numFmtId="3" xfId="0" applyAlignment="1" applyBorder="1" applyFont="1" applyNumberFormat="1">
      <alignment shrinkToFit="0" vertical="bottom" wrapText="0"/>
    </xf>
    <xf borderId="1" fillId="2" fontId="2" numFmtId="0" xfId="0" applyAlignment="1" applyBorder="1" applyFont="1">
      <alignment horizontal="center" shrinkToFit="0" vertical="center" wrapText="0"/>
    </xf>
    <xf borderId="1" fillId="0" fontId="3" numFmtId="49" xfId="0" applyAlignment="1" applyBorder="1" applyFont="1" applyNumberFormat="1">
      <alignment shrinkToFit="0" vertical="bottom" wrapText="0"/>
    </xf>
    <xf borderId="1" fillId="0" fontId="3" numFmtId="164" xfId="0" applyAlignment="1" applyBorder="1" applyFont="1" applyNumberFormat="1">
      <alignment shrinkToFit="0" vertical="bottom" wrapText="0"/>
    </xf>
    <xf borderId="1" fillId="0" fontId="3" numFmtId="4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0.0"/>
    <col customWidth="1" min="2" max="2" width="16.0"/>
    <col customWidth="1" min="3" max="3" width="18.0"/>
    <col customWidth="1" min="4" max="26" width="8.7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</row>
    <row r="3">
      <c r="A3" s="3" t="s">
        <v>4</v>
      </c>
      <c r="B3" s="4">
        <f>COUNTIF(Loan_Data!$H$2:$H$601,"Active")</f>
        <v>325</v>
      </c>
      <c r="C3" s="4">
        <f>SUMIF(Loan_Data!$H$2:$H$601,"Active",Loan_Data!$D$2:$D$601)</f>
        <v>621868432</v>
      </c>
    </row>
    <row r="4">
      <c r="A4" s="3" t="s">
        <v>5</v>
      </c>
      <c r="B4" s="4">
        <f>COUNTIF(Loan_Data!$H$2:$H$601,"Closed")</f>
        <v>183</v>
      </c>
      <c r="C4" s="4">
        <f>SUMIF(Loan_Data!$H$2:$H$601,"Closed",Loan_Data!$D$2:$D$601)</f>
        <v>357081564</v>
      </c>
    </row>
    <row r="5">
      <c r="A5" s="3" t="s">
        <v>6</v>
      </c>
      <c r="B5" s="4">
        <f>COUNTIF(Loan_Data!$H$2:$H$601,"Default")</f>
        <v>26</v>
      </c>
      <c r="C5" s="4">
        <f>SUMIF(Loan_Data!$H$2:$H$601,"Default",Loan_Data!$D$2:$D$601)</f>
        <v>52683519</v>
      </c>
    </row>
    <row r="6">
      <c r="A6" s="3" t="s">
        <v>7</v>
      </c>
      <c r="B6" s="4">
        <f>COUNTIF(Loan_Data!$H$2:$H$601,"NPA")</f>
        <v>66</v>
      </c>
      <c r="C6" s="4">
        <f>SUMIF(Loan_Data!$H$2:$H$601,"NPA",Loan_Data!$D$2:$D$601)</f>
        <v>115164473</v>
      </c>
    </row>
    <row r="9">
      <c r="A9" s="1" t="s">
        <v>8</v>
      </c>
    </row>
    <row r="10">
      <c r="A10" s="2" t="s">
        <v>9</v>
      </c>
      <c r="B10" s="2" t="s">
        <v>3</v>
      </c>
    </row>
    <row r="11">
      <c r="A11" s="3" t="s">
        <v>10</v>
      </c>
      <c r="B11" s="4">
        <f>SUMIF(Loan_Data!$C$2:$C$601,"Auto Loan",Loan_Data!$D$2:$D$601)</f>
        <v>67147978</v>
      </c>
    </row>
    <row r="12">
      <c r="A12" s="3" t="s">
        <v>11</v>
      </c>
      <c r="B12" s="4">
        <f>SUMIF(Loan_Data!$C$2:$C$601,"Business Loan",Loan_Data!$D$2:$D$601)</f>
        <v>252361965</v>
      </c>
    </row>
    <row r="13">
      <c r="A13" s="3" t="s">
        <v>12</v>
      </c>
      <c r="B13" s="4">
        <f>SUMIF(Loan_Data!$C$2:$C$601,"Education Loan",Loan_Data!$D$2:$D$601)</f>
        <v>125694348</v>
      </c>
    </row>
    <row r="14">
      <c r="A14" s="3" t="s">
        <v>13</v>
      </c>
      <c r="B14" s="4">
        <f>SUMIF(Loan_Data!$C$2:$C$601,"Gold Loan",Loan_Data!$D$2:$D$601)</f>
        <v>28138418</v>
      </c>
    </row>
    <row r="15">
      <c r="A15" s="3" t="s">
        <v>15</v>
      </c>
      <c r="B15" s="4">
        <f>SUMIF(Loan_Data!$C$2:$C$601,"Home Loan",Loan_Data!$D$2:$D$601)</f>
        <v>630356049</v>
      </c>
    </row>
    <row r="16">
      <c r="A16" s="3" t="s">
        <v>22</v>
      </c>
      <c r="B16" s="4">
        <f>SUMIF(Loan_Data!$C$2:$C$601,"Personal Loan",Loan_Data!$D$2:$D$601)</f>
        <v>43099230</v>
      </c>
    </row>
    <row r="19">
      <c r="A19" s="1" t="s">
        <v>30</v>
      </c>
    </row>
    <row r="20">
      <c r="A20" s="2" t="s">
        <v>33</v>
      </c>
      <c r="B20" s="2" t="s">
        <v>2</v>
      </c>
    </row>
    <row r="21" ht="15.75" customHeight="1">
      <c r="A21" s="3" t="s">
        <v>38</v>
      </c>
      <c r="B21" s="4">
        <f>COUNTIF(KYC_Data!$E$2:$E$946,"Pending")</f>
        <v>139</v>
      </c>
    </row>
    <row r="22" ht="15.75" customHeight="1">
      <c r="A22" s="3" t="s">
        <v>47</v>
      </c>
      <c r="B22" s="4">
        <f>COUNTIF(KYC_Data!$E$2:$E$946,"Rejected")</f>
        <v>63</v>
      </c>
    </row>
    <row r="23" ht="15.75" customHeight="1">
      <c r="A23" s="3" t="s">
        <v>54</v>
      </c>
      <c r="B23" s="4">
        <f>COUNTIF(KYC_Data!$E$2:$E$946,"Verified")</f>
        <v>743</v>
      </c>
    </row>
    <row r="24" ht="15.75" customHeight="1"/>
    <row r="25" ht="15.75" customHeight="1"/>
    <row r="26" ht="15.75" customHeight="1">
      <c r="A26" s="1" t="s">
        <v>66</v>
      </c>
    </row>
    <row r="27" ht="15.75" customHeight="1">
      <c r="A27" s="2" t="s">
        <v>68</v>
      </c>
      <c r="B27" s="2" t="s">
        <v>2</v>
      </c>
      <c r="C27" s="2" t="s">
        <v>74</v>
      </c>
    </row>
    <row r="28" ht="15.75" customHeight="1">
      <c r="A28" s="3" t="s">
        <v>77</v>
      </c>
      <c r="B28" s="4">
        <f>COUNTIF(Creditcard_Data!$C$2:$C$501,"Business")</f>
        <v>106</v>
      </c>
      <c r="C28" s="4">
        <f>SUMIF(Creditcard_Data!$C$2:$C$501,"Business",Creditcard_Data!$D$2:$D$501)</f>
        <v>84800000</v>
      </c>
    </row>
    <row r="29" ht="15.75" customHeight="1">
      <c r="A29" s="3" t="s">
        <v>99</v>
      </c>
      <c r="B29" s="4">
        <f>COUNTIF(Creditcard_Data!$C$2:$C$501,"Classic")</f>
        <v>91</v>
      </c>
      <c r="C29" s="4">
        <f>SUMIF(Creditcard_Data!$C$2:$C$501,"Classic",Creditcard_Data!$D$2:$D$501)</f>
        <v>6825000</v>
      </c>
    </row>
    <row r="30" ht="15.75" customHeight="1">
      <c r="A30" s="3" t="s">
        <v>124</v>
      </c>
      <c r="B30" s="4">
        <f>COUNTIF(Creditcard_Data!$C$2:$C$501,"Gold")</f>
        <v>104</v>
      </c>
      <c r="C30" s="4">
        <f>SUMIF(Creditcard_Data!$C$2:$C$501,"Gold",Creditcard_Data!$D$2:$D$501)</f>
        <v>15600000</v>
      </c>
    </row>
    <row r="31" ht="15.75" customHeight="1">
      <c r="A31" s="3" t="s">
        <v>141</v>
      </c>
      <c r="B31" s="4">
        <f>COUNTIF(Creditcard_Data!$C$2:$C$501,"Platinum")</f>
        <v>95</v>
      </c>
      <c r="C31" s="4">
        <f>SUMIF(Creditcard_Data!$C$2:$C$501,"Platinum",Creditcard_Data!$D$2:$D$501)</f>
        <v>28500000</v>
      </c>
    </row>
    <row r="32" ht="15.75" customHeight="1">
      <c r="A32" s="3" t="s">
        <v>162</v>
      </c>
      <c r="B32" s="4">
        <f>COUNTIF(Creditcard_Data!$C$2:$C$501,"Signature")</f>
        <v>104</v>
      </c>
      <c r="C32" s="4">
        <f>SUMIF(Creditcard_Data!$C$2:$C$501,"Signature",Creditcard_Data!$D$2:$D$501)</f>
        <v>52000000</v>
      </c>
    </row>
    <row r="33" ht="15.75" customHeight="1"/>
    <row r="34" ht="15.75" customHeight="1"/>
    <row r="35" ht="15.75" customHeight="1">
      <c r="A35" s="1" t="s">
        <v>173</v>
      </c>
    </row>
    <row r="36" ht="15.75" customHeight="1">
      <c r="A36" s="2" t="s">
        <v>175</v>
      </c>
      <c r="B36" s="2" t="s">
        <v>2</v>
      </c>
    </row>
    <row r="37" ht="15.75" customHeight="1">
      <c r="A37" s="3" t="s">
        <v>4</v>
      </c>
      <c r="B37" s="4">
        <f>COUNTIF(Creditcard_Data!$G$2:$G$501,"Active")</f>
        <v>391</v>
      </c>
    </row>
    <row r="38" ht="15.75" customHeight="1">
      <c r="A38" s="3" t="s">
        <v>194</v>
      </c>
      <c r="B38" s="4">
        <f>COUNTIF(Creditcard_Data!$G$2:$G$501,"Blocked")</f>
        <v>54</v>
      </c>
    </row>
    <row r="39" ht="15.75" customHeight="1">
      <c r="A39" s="3" t="s">
        <v>5</v>
      </c>
      <c r="B39" s="4">
        <f>COUNTIF(Creditcard_Data!$G$2:$G$501,"Closed")</f>
        <v>55</v>
      </c>
    </row>
    <row r="40" ht="15.75" customHeight="1"/>
    <row r="41" ht="15.75" customHeight="1"/>
    <row r="42" ht="15.75" customHeight="1">
      <c r="A42" s="1" t="s">
        <v>209</v>
      </c>
    </row>
    <row r="43" ht="15.75" customHeight="1">
      <c r="A43" s="2" t="s">
        <v>29</v>
      </c>
      <c r="B43" s="2" t="s">
        <v>215</v>
      </c>
    </row>
    <row r="44" ht="15.75" customHeight="1">
      <c r="A44" s="3" t="s">
        <v>50</v>
      </c>
      <c r="B44" s="4">
        <f t="array" ref="B44">SUMPRODUCT((COUNTIFS(Branches_Data!$A$2:$A$31,Customer_Data!$U$2:$U$1051,Branches_Data!$E$2:$E$31,"Central")&gt;0)*1)</f>
        <v>55</v>
      </c>
    </row>
    <row r="45" ht="15.75" customHeight="1">
      <c r="A45" s="3" t="s">
        <v>189</v>
      </c>
      <c r="B45" s="4">
        <f t="array" ref="B45">SUMPRODUCT((COUNTIFS(Branches_Data!$A$2:$A$31,Customer_Data!$U$2:$U$1051,Branches_Data!$E$2:$E$31,"East")&gt;0)*1)</f>
        <v>180</v>
      </c>
    </row>
    <row r="46" ht="15.75" customHeight="1">
      <c r="A46" s="3" t="s">
        <v>156</v>
      </c>
      <c r="B46" s="4">
        <f t="array" ref="B46">SUMPRODUCT((COUNTIFS(Branches_Data!$A$2:$A$31,Customer_Data!$U$2:$U$1051,Branches_Data!$E$2:$E$31,"North")&gt;0)*1)</f>
        <v>269</v>
      </c>
    </row>
    <row r="47" ht="15.75" customHeight="1">
      <c r="A47" s="3" t="s">
        <v>104</v>
      </c>
      <c r="B47" s="4">
        <f t="array" ref="B47">SUMPRODUCT((COUNTIFS(Branches_Data!$A$2:$A$31,Customer_Data!$U$2:$U$1051,Branches_Data!$E$2:$E$31,"South")&gt;0)*1)</f>
        <v>309</v>
      </c>
    </row>
    <row r="48" ht="15.75" customHeight="1">
      <c r="A48" s="3" t="s">
        <v>71</v>
      </c>
      <c r="B48" s="4">
        <f t="array" ref="B48">SUMPRODUCT((COUNTIFS(Branches_Data!$A$2:$A$31,Customer_Data!$U$2:$U$1051,Branches_Data!$E$2:$E$31,"West")&gt;0)*1)</f>
        <v>237</v>
      </c>
    </row>
    <row r="49" ht="15.75" customHeight="1"/>
    <row r="50" ht="15.75" customHeight="1"/>
    <row r="51" ht="15.75" customHeight="1">
      <c r="A51" s="1" t="s">
        <v>446</v>
      </c>
    </row>
    <row r="52" ht="15.75" customHeight="1">
      <c r="A52" s="2" t="s">
        <v>53</v>
      </c>
      <c r="B52" s="2" t="s">
        <v>2</v>
      </c>
    </row>
    <row r="53" ht="15.75" customHeight="1">
      <c r="A53" s="3" t="s">
        <v>4</v>
      </c>
      <c r="B53" s="4">
        <f>COUNTIF(Customer_Data!$V$2:$V$1051,"Active")</f>
        <v>866</v>
      </c>
    </row>
    <row r="54" ht="15.75" customHeight="1">
      <c r="A54" s="3" t="s">
        <v>237</v>
      </c>
      <c r="B54" s="4">
        <f>COUNTIF(Customer_Data!$V$2:$V$1051,"Inactive")</f>
        <v>184</v>
      </c>
    </row>
    <row r="55" ht="15.75" customHeight="1"/>
    <row r="56" ht="15.75" customHeight="1"/>
    <row r="57" ht="15.75" customHeight="1">
      <c r="A57" s="1" t="s">
        <v>460</v>
      </c>
    </row>
    <row r="58" ht="15.75" customHeight="1">
      <c r="A58" s="2" t="s">
        <v>23</v>
      </c>
      <c r="B58" s="2" t="s">
        <v>2</v>
      </c>
    </row>
    <row r="59" ht="15.75" customHeight="1">
      <c r="A59" s="3" t="s">
        <v>183</v>
      </c>
      <c r="B59" s="4">
        <f>COUNTIF(Customer_Data!$F$2:$F$1051,"Female")</f>
        <v>515</v>
      </c>
    </row>
    <row r="60" ht="15.75" customHeight="1">
      <c r="A60" s="3" t="s">
        <v>70</v>
      </c>
      <c r="B60" s="4">
        <f>COUNTIF(Customer_Data!$F$2:$F$1051,"Male")</f>
        <v>535</v>
      </c>
    </row>
    <row r="61" ht="15.75" customHeight="1"/>
    <row r="62" ht="15.75" customHeight="1"/>
    <row r="63" ht="15.75" customHeight="1">
      <c r="A63" s="1" t="s">
        <v>474</v>
      </c>
    </row>
    <row r="64" ht="15.75" customHeight="1">
      <c r="A64" s="2" t="s">
        <v>18</v>
      </c>
      <c r="B64" s="2" t="s">
        <v>3</v>
      </c>
    </row>
    <row r="65" ht="15.75" customHeight="1">
      <c r="A65" s="3" t="s">
        <v>36</v>
      </c>
      <c r="B65" s="4">
        <f>SUMIF(Loan_Data!$J$2:$J$601,"BR001",Loan_Data!$D$2:$D$601)</f>
        <v>26514734</v>
      </c>
    </row>
    <row r="66" ht="15.75" customHeight="1">
      <c r="A66" s="3" t="s">
        <v>60</v>
      </c>
      <c r="B66" s="4">
        <f>SUMIF(Loan_Data!$J$2:$J$601,"BR002",Loan_Data!$D$2:$D$601)</f>
        <v>40656254</v>
      </c>
    </row>
    <row r="67" ht="15.75" customHeight="1">
      <c r="A67" s="3" t="s">
        <v>80</v>
      </c>
      <c r="B67" s="4">
        <f>SUMIF(Loan_Data!$J$2:$J$601,"BR003",Loan_Data!$D$2:$D$601)</f>
        <v>26638804</v>
      </c>
    </row>
    <row r="68" ht="15.75" customHeight="1">
      <c r="A68" s="3" t="s">
        <v>92</v>
      </c>
      <c r="B68" s="4">
        <f>SUMIF(Loan_Data!$J$2:$J$601,"BR004",Loan_Data!$D$2:$D$601)</f>
        <v>36645325</v>
      </c>
    </row>
    <row r="69" ht="15.75" customHeight="1">
      <c r="A69" s="3" t="s">
        <v>109</v>
      </c>
      <c r="B69" s="4">
        <f>SUMIF(Loan_Data!$J$2:$J$601,"BR005",Loan_Data!$D$2:$D$601)</f>
        <v>57075678</v>
      </c>
    </row>
    <row r="70" ht="15.75" customHeight="1">
      <c r="A70" s="3" t="s">
        <v>129</v>
      </c>
      <c r="B70" s="4">
        <f>SUMIF(Loan_Data!$J$2:$J$601,"BR006",Loan_Data!$D$2:$D$601)</f>
        <v>37022169</v>
      </c>
    </row>
    <row r="71" ht="15.75" customHeight="1">
      <c r="A71" s="3" t="s">
        <v>146</v>
      </c>
      <c r="B71" s="4">
        <f>SUMIF(Loan_Data!$J$2:$J$601,"BR007",Loan_Data!$D$2:$D$601)</f>
        <v>67542422</v>
      </c>
    </row>
    <row r="72" ht="15.75" customHeight="1">
      <c r="A72" s="3" t="s">
        <v>163</v>
      </c>
      <c r="B72" s="4">
        <f>SUMIF(Loan_Data!$J$2:$J$601,"BR008",Loan_Data!$D$2:$D$601)</f>
        <v>34297028</v>
      </c>
    </row>
    <row r="73" ht="15.75" customHeight="1">
      <c r="A73" s="3" t="s">
        <v>179</v>
      </c>
      <c r="B73" s="4">
        <f>SUMIF(Loan_Data!$J$2:$J$601,"BR009",Loan_Data!$D$2:$D$601)</f>
        <v>44874651</v>
      </c>
    </row>
    <row r="74" ht="15.75" customHeight="1">
      <c r="A74" s="3" t="s">
        <v>197</v>
      </c>
      <c r="B74" s="4">
        <f>SUMIF(Loan_Data!$J$2:$J$601,"BR010",Loan_Data!$D$2:$D$601)</f>
        <v>48209086</v>
      </c>
    </row>
    <row r="75" ht="15.75" customHeight="1">
      <c r="A75" s="3" t="s">
        <v>208</v>
      </c>
      <c r="B75" s="4">
        <f>SUMIF(Loan_Data!$J$2:$J$601,"BR011",Loan_Data!$D$2:$D$601)</f>
        <v>28343185</v>
      </c>
    </row>
    <row r="76" ht="15.75" customHeight="1">
      <c r="A76" s="3" t="s">
        <v>221</v>
      </c>
      <c r="B76" s="4">
        <f>SUMIF(Loan_Data!$J$2:$J$601,"BR012",Loan_Data!$D$2:$D$601)</f>
        <v>42114648</v>
      </c>
    </row>
    <row r="77" ht="15.75" customHeight="1">
      <c r="A77" s="3" t="s">
        <v>234</v>
      </c>
      <c r="B77" s="4">
        <f>SUMIF(Loan_Data!$J$2:$J$601,"BR013",Loan_Data!$D$2:$D$601)</f>
        <v>39319677</v>
      </c>
    </row>
    <row r="78" ht="15.75" customHeight="1">
      <c r="A78" s="3" t="s">
        <v>245</v>
      </c>
      <c r="B78" s="4">
        <f>SUMIF(Loan_Data!$J$2:$J$601,"BR014",Loan_Data!$D$2:$D$601)</f>
        <v>26072753</v>
      </c>
    </row>
    <row r="79" ht="15.75" customHeight="1">
      <c r="A79" s="3" t="s">
        <v>171</v>
      </c>
      <c r="B79" s="4">
        <f>SUMIF(Loan_Data!$J$2:$J$601,"BR015",Loan_Data!$D$2:$D$601)</f>
        <v>16674869</v>
      </c>
    </row>
    <row r="80" ht="15.75" customHeight="1">
      <c r="A80" s="3" t="s">
        <v>266</v>
      </c>
      <c r="B80" s="4">
        <f>SUMIF(Loan_Data!$J$2:$J$601,"BR016",Loan_Data!$D$2:$D$601)</f>
        <v>30852503</v>
      </c>
    </row>
    <row r="81" ht="15.75" customHeight="1">
      <c r="A81" s="3" t="s">
        <v>277</v>
      </c>
      <c r="B81" s="4">
        <f>SUMIF(Loan_Data!$J$2:$J$601,"BR017",Loan_Data!$D$2:$D$601)</f>
        <v>37531134</v>
      </c>
    </row>
    <row r="82" ht="15.75" customHeight="1">
      <c r="A82" s="3" t="s">
        <v>288</v>
      </c>
      <c r="B82" s="4">
        <f>SUMIF(Loan_Data!$J$2:$J$601,"BR018",Loan_Data!$D$2:$D$601)</f>
        <v>39877399</v>
      </c>
    </row>
    <row r="83" ht="15.75" customHeight="1">
      <c r="A83" s="3" t="s">
        <v>301</v>
      </c>
      <c r="B83" s="4">
        <f>SUMIF(Loan_Data!$J$2:$J$601,"BR019",Loan_Data!$D$2:$D$601)</f>
        <v>23063096</v>
      </c>
    </row>
    <row r="84" ht="15.75" customHeight="1">
      <c r="A84" s="3" t="s">
        <v>311</v>
      </c>
      <c r="B84" s="4">
        <f>SUMIF(Loan_Data!$J$2:$J$601,"BR020",Loan_Data!$D$2:$D$601)</f>
        <v>55699160</v>
      </c>
    </row>
    <row r="85" ht="15.75" customHeight="1">
      <c r="A85" s="3" t="s">
        <v>323</v>
      </c>
      <c r="B85" s="4">
        <f>SUMIF(Loan_Data!$J$2:$J$601,"BR021",Loan_Data!$D$2:$D$601)</f>
        <v>35623433</v>
      </c>
    </row>
    <row r="86" ht="15.75" customHeight="1">
      <c r="A86" s="3" t="s">
        <v>333</v>
      </c>
      <c r="B86" s="4">
        <f>SUMIF(Loan_Data!$J$2:$J$601,"BR022",Loan_Data!$D$2:$D$601)</f>
        <v>38899781</v>
      </c>
    </row>
    <row r="87" ht="15.75" customHeight="1">
      <c r="A87" s="3" t="s">
        <v>97</v>
      </c>
      <c r="B87" s="4">
        <f>SUMIF(Loan_Data!$J$2:$J$601,"BR023",Loan_Data!$D$2:$D$601)</f>
        <v>51447843</v>
      </c>
    </row>
    <row r="88" ht="15.75" customHeight="1">
      <c r="A88" s="3" t="s">
        <v>284</v>
      </c>
      <c r="B88" s="4">
        <f>SUMIF(Loan_Data!$J$2:$J$601,"BR024",Loan_Data!$D$2:$D$601)</f>
        <v>23152052</v>
      </c>
    </row>
    <row r="89" ht="15.75" customHeight="1">
      <c r="A89" s="3" t="s">
        <v>136</v>
      </c>
      <c r="B89" s="4">
        <f>SUMIF(Loan_Data!$J$2:$J$601,"BR025",Loan_Data!$D$2:$D$601)</f>
        <v>27947134</v>
      </c>
    </row>
    <row r="90" ht="15.75" customHeight="1">
      <c r="A90" s="3" t="s">
        <v>352</v>
      </c>
      <c r="B90" s="4">
        <f>SUMIF(Loan_Data!$J$2:$J$601,"BR026",Loan_Data!$D$2:$D$601)</f>
        <v>58273145</v>
      </c>
    </row>
    <row r="91" ht="15.75" customHeight="1">
      <c r="A91" s="3" t="s">
        <v>385</v>
      </c>
      <c r="B91" s="4">
        <f>SUMIF(Loan_Data!$J$2:$J$601,"BR027",Loan_Data!$D$2:$D$601)</f>
        <v>43981147</v>
      </c>
    </row>
    <row r="92" ht="15.75" customHeight="1">
      <c r="A92" s="3" t="s">
        <v>397</v>
      </c>
      <c r="B92" s="4">
        <f>SUMIF(Loan_Data!$J$2:$J$601,"BR028",Loan_Data!$D$2:$D$601)</f>
        <v>32684168</v>
      </c>
    </row>
    <row r="93" ht="15.75" customHeight="1">
      <c r="A93" s="3" t="s">
        <v>262</v>
      </c>
      <c r="B93" s="4">
        <f>SUMIF(Loan_Data!$J$2:$J$601,"BR029",Loan_Data!$D$2:$D$601)</f>
        <v>43542130</v>
      </c>
    </row>
    <row r="94" ht="15.75" customHeight="1">
      <c r="A94" s="3" t="s">
        <v>401</v>
      </c>
      <c r="B94" s="4">
        <f>SUMIF(Loan_Data!$J$2:$J$601,"BR030",Loan_Data!$D$2:$D$601)</f>
        <v>32222580</v>
      </c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2" width="16.0"/>
    <col customWidth="1" min="3" max="3" width="11.0"/>
    <col customWidth="1" min="4" max="4" width="13.0"/>
    <col customWidth="1" min="5" max="15" width="11.0"/>
    <col customWidth="1" min="16" max="16" width="14.0"/>
    <col customWidth="1" min="17" max="17" width="11.0"/>
    <col customWidth="1" min="18" max="18" width="15.0"/>
    <col customWidth="1" min="19" max="19" width="12.0"/>
    <col customWidth="1" min="20" max="20" width="17.0"/>
    <col customWidth="1" min="21" max="22" width="11.0"/>
    <col customWidth="1" min="23" max="23" width="17.0"/>
    <col customWidth="1" min="24" max="26" width="8.71"/>
  </cols>
  <sheetData>
    <row r="1">
      <c r="A1" s="5" t="s">
        <v>14</v>
      </c>
      <c r="B1" s="5" t="s">
        <v>16</v>
      </c>
      <c r="C1" s="5" t="s">
        <v>17</v>
      </c>
      <c r="D1" s="5" t="s">
        <v>19</v>
      </c>
      <c r="E1" s="5" t="s">
        <v>20</v>
      </c>
      <c r="F1" s="5" t="s">
        <v>23</v>
      </c>
      <c r="G1" s="5" t="s">
        <v>25</v>
      </c>
      <c r="H1" s="5" t="s">
        <v>26</v>
      </c>
      <c r="I1" s="5" t="s">
        <v>28</v>
      </c>
      <c r="J1" s="5" t="s">
        <v>24</v>
      </c>
      <c r="K1" s="5" t="s">
        <v>27</v>
      </c>
      <c r="L1" s="5" t="s">
        <v>35</v>
      </c>
      <c r="M1" s="5" t="s">
        <v>37</v>
      </c>
      <c r="N1" s="5" t="s">
        <v>39</v>
      </c>
      <c r="O1" s="5" t="s">
        <v>40</v>
      </c>
      <c r="P1" s="5" t="s">
        <v>42</v>
      </c>
      <c r="Q1" s="5" t="s">
        <v>44</v>
      </c>
      <c r="R1" s="5" t="s">
        <v>46</v>
      </c>
      <c r="S1" s="5" t="s">
        <v>48</v>
      </c>
      <c r="T1" s="5" t="s">
        <v>49</v>
      </c>
      <c r="U1" s="5" t="s">
        <v>18</v>
      </c>
      <c r="V1" s="5" t="s">
        <v>53</v>
      </c>
      <c r="W1" s="5" t="s">
        <v>56</v>
      </c>
    </row>
    <row r="2">
      <c r="A2" s="6" t="s">
        <v>57</v>
      </c>
      <c r="B2" s="3" t="s">
        <v>59</v>
      </c>
      <c r="C2" s="7">
        <v>29116.0</v>
      </c>
      <c r="D2" s="3" t="s">
        <v>63</v>
      </c>
      <c r="E2" s="3">
        <v>46.0</v>
      </c>
      <c r="F2" s="3" t="s">
        <v>70</v>
      </c>
      <c r="G2" s="6" t="s">
        <v>72</v>
      </c>
      <c r="H2" s="3" t="s">
        <v>75</v>
      </c>
      <c r="I2" s="3" t="s">
        <v>76</v>
      </c>
      <c r="J2" s="3" t="s">
        <v>79</v>
      </c>
      <c r="K2" s="3" t="s">
        <v>81</v>
      </c>
      <c r="L2" s="6" t="s">
        <v>84</v>
      </c>
      <c r="M2" s="3" t="s">
        <v>63</v>
      </c>
      <c r="N2" s="3"/>
      <c r="O2" s="3" t="s">
        <v>88</v>
      </c>
      <c r="P2" s="3" t="s">
        <v>90</v>
      </c>
      <c r="Q2" s="8">
        <v>1137861.0</v>
      </c>
      <c r="R2" s="3" t="s">
        <v>93</v>
      </c>
      <c r="S2" s="7">
        <v>44548.0</v>
      </c>
      <c r="T2" s="3" t="s">
        <v>63</v>
      </c>
      <c r="U2" s="6" t="s">
        <v>97</v>
      </c>
      <c r="V2" s="3" t="s">
        <v>4</v>
      </c>
      <c r="W2" s="3" t="s">
        <v>102</v>
      </c>
    </row>
    <row r="3">
      <c r="A3" s="6" t="s">
        <v>105</v>
      </c>
      <c r="B3" s="3" t="s">
        <v>108</v>
      </c>
      <c r="C3" s="7">
        <v>34273.0</v>
      </c>
      <c r="D3" s="3" t="s">
        <v>63</v>
      </c>
      <c r="E3" s="3">
        <v>32.0</v>
      </c>
      <c r="F3" s="3" t="s">
        <v>70</v>
      </c>
      <c r="G3" s="6" t="s">
        <v>112</v>
      </c>
      <c r="H3" s="3" t="s">
        <v>115</v>
      </c>
      <c r="I3" s="3" t="s">
        <v>117</v>
      </c>
      <c r="J3" s="3" t="s">
        <v>119</v>
      </c>
      <c r="K3" s="3" t="s">
        <v>121</v>
      </c>
      <c r="L3" s="6" t="s">
        <v>123</v>
      </c>
      <c r="M3" s="3" t="s">
        <v>63</v>
      </c>
      <c r="N3" s="6" t="s">
        <v>126</v>
      </c>
      <c r="O3" s="3" t="s">
        <v>63</v>
      </c>
      <c r="P3" s="3" t="s">
        <v>127</v>
      </c>
      <c r="Q3" s="8">
        <v>1084986.0</v>
      </c>
      <c r="R3" s="3" t="s">
        <v>93</v>
      </c>
      <c r="S3" s="7">
        <v>41072.0</v>
      </c>
      <c r="T3" s="3" t="s">
        <v>63</v>
      </c>
      <c r="U3" s="6" t="s">
        <v>136</v>
      </c>
      <c r="V3" s="3" t="s">
        <v>4</v>
      </c>
      <c r="W3" s="3" t="s">
        <v>102</v>
      </c>
    </row>
    <row r="4">
      <c r="A4" s="6" t="s">
        <v>139</v>
      </c>
      <c r="B4" s="3" t="s">
        <v>142</v>
      </c>
      <c r="C4" s="7">
        <v>33788.0</v>
      </c>
      <c r="D4" s="3" t="s">
        <v>63</v>
      </c>
      <c r="E4" s="3">
        <v>34.0</v>
      </c>
      <c r="F4" s="3" t="s">
        <v>70</v>
      </c>
      <c r="G4" s="6" t="s">
        <v>147</v>
      </c>
      <c r="H4" s="3" t="s">
        <v>149</v>
      </c>
      <c r="I4" s="3" t="s">
        <v>150</v>
      </c>
      <c r="J4" s="3" t="s">
        <v>153</v>
      </c>
      <c r="K4" s="3" t="s">
        <v>67</v>
      </c>
      <c r="L4" s="6" t="s">
        <v>155</v>
      </c>
      <c r="M4" s="3" t="s">
        <v>63</v>
      </c>
      <c r="N4" s="6" t="s">
        <v>158</v>
      </c>
      <c r="O4" s="3" t="s">
        <v>63</v>
      </c>
      <c r="P4" s="3" t="s">
        <v>160</v>
      </c>
      <c r="Q4" s="8">
        <v>1184996.0</v>
      </c>
      <c r="R4" s="3" t="s">
        <v>93</v>
      </c>
      <c r="S4" s="7">
        <v>38932.0</v>
      </c>
      <c r="T4" s="3" t="s">
        <v>63</v>
      </c>
      <c r="U4" s="6" t="s">
        <v>171</v>
      </c>
      <c r="V4" s="3" t="s">
        <v>4</v>
      </c>
      <c r="W4" s="3" t="s">
        <v>102</v>
      </c>
    </row>
    <row r="5">
      <c r="A5" s="6" t="s">
        <v>174</v>
      </c>
      <c r="B5" s="3" t="s">
        <v>177</v>
      </c>
      <c r="C5" s="7">
        <v>35631.0</v>
      </c>
      <c r="D5" s="3" t="s">
        <v>63</v>
      </c>
      <c r="E5" s="3">
        <v>29.0</v>
      </c>
      <c r="F5" s="3" t="s">
        <v>183</v>
      </c>
      <c r="G5" s="6" t="s">
        <v>185</v>
      </c>
      <c r="H5" s="3" t="s">
        <v>186</v>
      </c>
      <c r="I5" s="3" t="s">
        <v>188</v>
      </c>
      <c r="J5" s="3" t="s">
        <v>190</v>
      </c>
      <c r="K5" s="3" t="s">
        <v>193</v>
      </c>
      <c r="L5" s="6" t="s">
        <v>195</v>
      </c>
      <c r="M5" s="3" t="s">
        <v>63</v>
      </c>
      <c r="N5" s="6" t="s">
        <v>200</v>
      </c>
      <c r="O5" s="3" t="s">
        <v>63</v>
      </c>
      <c r="P5" s="3" t="s">
        <v>202</v>
      </c>
      <c r="Q5" s="8">
        <v>162469.0</v>
      </c>
      <c r="R5" s="3" t="s">
        <v>93</v>
      </c>
      <c r="S5" s="7">
        <v>43520.0</v>
      </c>
      <c r="T5" s="3" t="s">
        <v>63</v>
      </c>
      <c r="U5" s="6" t="s">
        <v>60</v>
      </c>
      <c r="V5" s="3" t="s">
        <v>4</v>
      </c>
      <c r="W5" s="3" t="s">
        <v>102</v>
      </c>
    </row>
    <row r="6">
      <c r="A6" s="6" t="s">
        <v>212</v>
      </c>
      <c r="B6" s="3" t="s">
        <v>214</v>
      </c>
      <c r="C6" s="7">
        <v>27687.0</v>
      </c>
      <c r="D6" s="3" t="s">
        <v>63</v>
      </c>
      <c r="E6" s="3">
        <v>50.0</v>
      </c>
      <c r="F6" s="3" t="s">
        <v>183</v>
      </c>
      <c r="G6" s="6" t="s">
        <v>218</v>
      </c>
      <c r="H6" s="3" t="s">
        <v>220</v>
      </c>
      <c r="I6" s="3" t="s">
        <v>223</v>
      </c>
      <c r="J6" s="3" t="s">
        <v>225</v>
      </c>
      <c r="K6" s="3" t="s">
        <v>101</v>
      </c>
      <c r="L6" s="6" t="s">
        <v>228</v>
      </c>
      <c r="M6" s="3" t="s">
        <v>63</v>
      </c>
      <c r="N6" s="6" t="s">
        <v>230</v>
      </c>
      <c r="O6" s="3" t="s">
        <v>63</v>
      </c>
      <c r="P6" s="3" t="s">
        <v>160</v>
      </c>
      <c r="Q6" s="8">
        <v>1918084.0</v>
      </c>
      <c r="R6" s="3" t="s">
        <v>93</v>
      </c>
      <c r="S6" s="7">
        <v>42877.0</v>
      </c>
      <c r="T6" s="3" t="s">
        <v>63</v>
      </c>
      <c r="U6" s="6" t="s">
        <v>136</v>
      </c>
      <c r="V6" s="3" t="s">
        <v>237</v>
      </c>
      <c r="W6" s="3" t="s">
        <v>102</v>
      </c>
    </row>
    <row r="7">
      <c r="A7" s="6" t="s">
        <v>238</v>
      </c>
      <c r="B7" s="3" t="s">
        <v>239</v>
      </c>
      <c r="C7" s="7">
        <v>31112.0</v>
      </c>
      <c r="D7" s="3" t="s">
        <v>63</v>
      </c>
      <c r="E7" s="3">
        <v>41.0</v>
      </c>
      <c r="F7" s="3" t="s">
        <v>70</v>
      </c>
      <c r="G7" s="6" t="s">
        <v>242</v>
      </c>
      <c r="H7" s="3" t="s">
        <v>244</v>
      </c>
      <c r="I7" s="3" t="s">
        <v>247</v>
      </c>
      <c r="J7" s="3" t="s">
        <v>251</v>
      </c>
      <c r="K7" s="3" t="s">
        <v>251</v>
      </c>
      <c r="L7" s="6" t="s">
        <v>253</v>
      </c>
      <c r="M7" s="3" t="s">
        <v>63</v>
      </c>
      <c r="N7" s="6" t="s">
        <v>255</v>
      </c>
      <c r="O7" s="3" t="s">
        <v>63</v>
      </c>
      <c r="P7" s="3" t="s">
        <v>202</v>
      </c>
      <c r="Q7" s="3"/>
      <c r="R7" s="3" t="s">
        <v>258</v>
      </c>
      <c r="S7" s="7">
        <v>42641.0</v>
      </c>
      <c r="T7" s="3" t="s">
        <v>63</v>
      </c>
      <c r="U7" s="6" t="s">
        <v>262</v>
      </c>
      <c r="V7" s="3" t="s">
        <v>4</v>
      </c>
      <c r="W7" s="3" t="s">
        <v>102</v>
      </c>
    </row>
    <row r="8">
      <c r="A8" s="6" t="s">
        <v>264</v>
      </c>
      <c r="B8" s="3" t="s">
        <v>265</v>
      </c>
      <c r="C8" s="7">
        <v>29695.0</v>
      </c>
      <c r="D8" s="3" t="s">
        <v>63</v>
      </c>
      <c r="E8" s="3">
        <v>45.0</v>
      </c>
      <c r="F8" s="3" t="s">
        <v>183</v>
      </c>
      <c r="G8" s="6" t="s">
        <v>270</v>
      </c>
      <c r="H8" s="3" t="s">
        <v>275</v>
      </c>
      <c r="I8" s="3" t="s">
        <v>276</v>
      </c>
      <c r="J8" s="3" t="s">
        <v>43</v>
      </c>
      <c r="K8" s="3" t="s">
        <v>45</v>
      </c>
      <c r="L8" s="6" t="s">
        <v>279</v>
      </c>
      <c r="M8" s="3" t="s">
        <v>63</v>
      </c>
      <c r="N8" s="3"/>
      <c r="O8" s="3" t="s">
        <v>88</v>
      </c>
      <c r="P8" s="3" t="s">
        <v>127</v>
      </c>
      <c r="Q8" s="8">
        <v>162938.0</v>
      </c>
      <c r="R8" s="3" t="s">
        <v>93</v>
      </c>
      <c r="S8" s="7">
        <v>45603.0</v>
      </c>
      <c r="T8" s="3" t="s">
        <v>63</v>
      </c>
      <c r="U8" s="6" t="s">
        <v>284</v>
      </c>
      <c r="V8" s="3" t="s">
        <v>4</v>
      </c>
      <c r="W8" s="3" t="s">
        <v>102</v>
      </c>
    </row>
    <row r="9">
      <c r="A9" s="6" t="s">
        <v>286</v>
      </c>
      <c r="B9" s="3" t="s">
        <v>287</v>
      </c>
      <c r="C9" s="7">
        <v>31525.0</v>
      </c>
      <c r="D9" s="3" t="s">
        <v>63</v>
      </c>
      <c r="E9" s="3">
        <v>40.0</v>
      </c>
      <c r="F9" s="3" t="s">
        <v>183</v>
      </c>
      <c r="G9" s="6" t="s">
        <v>292</v>
      </c>
      <c r="H9" s="3" t="s">
        <v>293</v>
      </c>
      <c r="I9" s="3" t="s">
        <v>295</v>
      </c>
      <c r="J9" s="3" t="s">
        <v>184</v>
      </c>
      <c r="K9" s="3" t="s">
        <v>187</v>
      </c>
      <c r="L9" s="6" t="s">
        <v>297</v>
      </c>
      <c r="M9" s="3" t="s">
        <v>63</v>
      </c>
      <c r="N9" s="6" t="s">
        <v>299</v>
      </c>
      <c r="O9" s="3" t="s">
        <v>63</v>
      </c>
      <c r="P9" s="3" t="s">
        <v>300</v>
      </c>
      <c r="Q9" s="8">
        <v>1391390.0</v>
      </c>
      <c r="R9" s="3" t="s">
        <v>93</v>
      </c>
      <c r="S9" s="7">
        <v>41307.0</v>
      </c>
      <c r="T9" s="3" t="s">
        <v>63</v>
      </c>
      <c r="U9" s="6" t="s">
        <v>36</v>
      </c>
      <c r="V9" s="3" t="s">
        <v>4</v>
      </c>
      <c r="W9" s="3" t="s">
        <v>102</v>
      </c>
    </row>
    <row r="10">
      <c r="A10" s="6" t="s">
        <v>308</v>
      </c>
      <c r="B10" s="3" t="s">
        <v>309</v>
      </c>
      <c r="C10" s="7">
        <v>32696.0</v>
      </c>
      <c r="D10" s="3" t="s">
        <v>63</v>
      </c>
      <c r="E10" s="3">
        <v>37.0</v>
      </c>
      <c r="F10" s="3" t="s">
        <v>183</v>
      </c>
      <c r="G10" s="6" t="s">
        <v>312</v>
      </c>
      <c r="H10" s="3" t="s">
        <v>314</v>
      </c>
      <c r="I10" s="3" t="s">
        <v>316</v>
      </c>
      <c r="J10" s="3" t="s">
        <v>184</v>
      </c>
      <c r="K10" s="3" t="s">
        <v>187</v>
      </c>
      <c r="L10" s="6" t="s">
        <v>320</v>
      </c>
      <c r="M10" s="3" t="s">
        <v>63</v>
      </c>
      <c r="N10" s="6" t="s">
        <v>322</v>
      </c>
      <c r="O10" s="3" t="s">
        <v>63</v>
      </c>
      <c r="P10" s="3" t="s">
        <v>324</v>
      </c>
      <c r="Q10" s="3"/>
      <c r="R10" s="3" t="s">
        <v>258</v>
      </c>
      <c r="S10" s="7">
        <v>39182.0</v>
      </c>
      <c r="T10" s="3" t="s">
        <v>63</v>
      </c>
      <c r="U10" s="6" t="s">
        <v>179</v>
      </c>
      <c r="V10" s="3" t="s">
        <v>237</v>
      </c>
      <c r="W10" s="3" t="s">
        <v>102</v>
      </c>
    </row>
    <row r="11">
      <c r="A11" s="6" t="s">
        <v>332</v>
      </c>
      <c r="B11" s="3" t="s">
        <v>334</v>
      </c>
      <c r="C11" s="7">
        <v>27783.0</v>
      </c>
      <c r="D11" s="3" t="s">
        <v>63</v>
      </c>
      <c r="E11" s="3">
        <v>50.0</v>
      </c>
      <c r="F11" s="3" t="s">
        <v>70</v>
      </c>
      <c r="G11" s="6" t="s">
        <v>339</v>
      </c>
      <c r="H11" s="3" t="s">
        <v>341</v>
      </c>
      <c r="I11" s="3" t="s">
        <v>342</v>
      </c>
      <c r="J11" s="3" t="s">
        <v>305</v>
      </c>
      <c r="K11" s="3" t="s">
        <v>193</v>
      </c>
      <c r="L11" s="6" t="s">
        <v>345</v>
      </c>
      <c r="M11" s="3" t="s">
        <v>63</v>
      </c>
      <c r="N11" s="6" t="s">
        <v>346</v>
      </c>
      <c r="O11" s="3" t="s">
        <v>63</v>
      </c>
      <c r="P11" s="3" t="s">
        <v>300</v>
      </c>
      <c r="Q11" s="3"/>
      <c r="R11" s="3" t="s">
        <v>258</v>
      </c>
      <c r="S11" s="7">
        <v>42778.0</v>
      </c>
      <c r="T11" s="3" t="s">
        <v>63</v>
      </c>
      <c r="U11" s="6" t="s">
        <v>352</v>
      </c>
      <c r="V11" s="3" t="s">
        <v>4</v>
      </c>
      <c r="W11" s="3" t="s">
        <v>102</v>
      </c>
    </row>
    <row r="12">
      <c r="A12" s="6" t="s">
        <v>355</v>
      </c>
      <c r="B12" s="3" t="s">
        <v>356</v>
      </c>
      <c r="C12" s="7">
        <v>20353.0</v>
      </c>
      <c r="D12" s="3" t="s">
        <v>63</v>
      </c>
      <c r="E12" s="3">
        <v>70.0</v>
      </c>
      <c r="F12" s="3" t="s">
        <v>70</v>
      </c>
      <c r="G12" s="6" t="s">
        <v>362</v>
      </c>
      <c r="H12" s="3" t="s">
        <v>363</v>
      </c>
      <c r="I12" s="3" t="s">
        <v>366</v>
      </c>
      <c r="J12" s="3" t="s">
        <v>79</v>
      </c>
      <c r="K12" s="3" t="s">
        <v>81</v>
      </c>
      <c r="L12" s="6" t="s">
        <v>368</v>
      </c>
      <c r="M12" s="3" t="s">
        <v>63</v>
      </c>
      <c r="N12" s="6" t="s">
        <v>370</v>
      </c>
      <c r="O12" s="3" t="s">
        <v>63</v>
      </c>
      <c r="P12" s="3" t="s">
        <v>372</v>
      </c>
      <c r="Q12" s="3"/>
      <c r="R12" s="3" t="s">
        <v>258</v>
      </c>
      <c r="S12" s="7">
        <v>38687.0</v>
      </c>
      <c r="T12" s="3" t="s">
        <v>63</v>
      </c>
      <c r="U12" s="6" t="s">
        <v>60</v>
      </c>
      <c r="V12" s="3" t="s">
        <v>4</v>
      </c>
      <c r="W12" s="3" t="s">
        <v>378</v>
      </c>
    </row>
    <row r="13">
      <c r="A13" s="6" t="s">
        <v>380</v>
      </c>
      <c r="B13" s="3" t="s">
        <v>381</v>
      </c>
      <c r="C13" s="7">
        <v>36747.0</v>
      </c>
      <c r="D13" s="3" t="s">
        <v>63</v>
      </c>
      <c r="E13" s="3">
        <v>25.0</v>
      </c>
      <c r="F13" s="3" t="s">
        <v>70</v>
      </c>
      <c r="G13" s="6" t="s">
        <v>388</v>
      </c>
      <c r="H13" s="3" t="s">
        <v>390</v>
      </c>
      <c r="I13" s="3" t="s">
        <v>391</v>
      </c>
      <c r="J13" s="3" t="s">
        <v>327</v>
      </c>
      <c r="K13" s="3" t="s">
        <v>169</v>
      </c>
      <c r="L13" s="6" t="s">
        <v>392</v>
      </c>
      <c r="M13" s="3" t="s">
        <v>63</v>
      </c>
      <c r="N13" s="6" t="s">
        <v>394</v>
      </c>
      <c r="O13" s="3" t="s">
        <v>63</v>
      </c>
      <c r="P13" s="3" t="s">
        <v>396</v>
      </c>
      <c r="Q13" s="3"/>
      <c r="R13" s="3" t="s">
        <v>258</v>
      </c>
      <c r="S13" s="7">
        <v>44117.0</v>
      </c>
      <c r="T13" s="3" t="s">
        <v>63</v>
      </c>
      <c r="U13" s="6" t="s">
        <v>401</v>
      </c>
      <c r="V13" s="3" t="s">
        <v>4</v>
      </c>
      <c r="W13" s="3" t="s">
        <v>102</v>
      </c>
    </row>
    <row r="14">
      <c r="A14" s="6" t="s">
        <v>403</v>
      </c>
      <c r="B14" s="3" t="s">
        <v>405</v>
      </c>
      <c r="C14" s="7">
        <v>38695.0</v>
      </c>
      <c r="D14" s="3" t="s">
        <v>63</v>
      </c>
      <c r="E14" s="3">
        <v>20.0</v>
      </c>
      <c r="F14" s="3" t="s">
        <v>183</v>
      </c>
      <c r="G14" s="6" t="s">
        <v>411</v>
      </c>
      <c r="H14" s="3" t="s">
        <v>413</v>
      </c>
      <c r="I14" s="3" t="s">
        <v>414</v>
      </c>
      <c r="J14" s="3" t="s">
        <v>167</v>
      </c>
      <c r="K14" s="3" t="s">
        <v>169</v>
      </c>
      <c r="L14" s="6" t="s">
        <v>415</v>
      </c>
      <c r="M14" s="3" t="s">
        <v>63</v>
      </c>
      <c r="N14" s="6" t="s">
        <v>418</v>
      </c>
      <c r="O14" s="3" t="s">
        <v>63</v>
      </c>
      <c r="P14" s="3" t="s">
        <v>202</v>
      </c>
      <c r="Q14" s="3"/>
      <c r="R14" s="3" t="s">
        <v>258</v>
      </c>
      <c r="S14" s="7">
        <v>40903.0</v>
      </c>
      <c r="T14" s="3" t="s">
        <v>63</v>
      </c>
      <c r="U14" s="6" t="s">
        <v>197</v>
      </c>
      <c r="V14" s="3" t="s">
        <v>4</v>
      </c>
      <c r="W14" s="3" t="s">
        <v>102</v>
      </c>
    </row>
    <row r="15">
      <c r="A15" s="6" t="s">
        <v>423</v>
      </c>
      <c r="B15" s="3" t="s">
        <v>424</v>
      </c>
      <c r="C15" s="7">
        <v>36201.0</v>
      </c>
      <c r="D15" s="3" t="s">
        <v>63</v>
      </c>
      <c r="E15" s="3">
        <v>27.0</v>
      </c>
      <c r="F15" s="3" t="s">
        <v>183</v>
      </c>
      <c r="G15" s="6" t="s">
        <v>428</v>
      </c>
      <c r="H15" s="3" t="s">
        <v>430</v>
      </c>
      <c r="I15" s="3" t="s">
        <v>431</v>
      </c>
      <c r="J15" s="3" t="s">
        <v>358</v>
      </c>
      <c r="K15" s="3" t="s">
        <v>360</v>
      </c>
      <c r="L15" s="6" t="s">
        <v>432</v>
      </c>
      <c r="M15" s="3" t="s">
        <v>63</v>
      </c>
      <c r="N15" s="6" t="s">
        <v>433</v>
      </c>
      <c r="O15" s="3" t="s">
        <v>63</v>
      </c>
      <c r="P15" s="3" t="s">
        <v>202</v>
      </c>
      <c r="Q15" s="3"/>
      <c r="R15" s="3" t="s">
        <v>258</v>
      </c>
      <c r="S15" s="7">
        <v>38541.0</v>
      </c>
      <c r="T15" s="3" t="s">
        <v>63</v>
      </c>
      <c r="U15" s="6" t="s">
        <v>323</v>
      </c>
      <c r="V15" s="3" t="s">
        <v>4</v>
      </c>
      <c r="W15" s="3" t="s">
        <v>378</v>
      </c>
    </row>
    <row r="16">
      <c r="A16" s="6" t="s">
        <v>132</v>
      </c>
      <c r="B16" s="3" t="s">
        <v>438</v>
      </c>
      <c r="C16" s="7">
        <v>36157.0</v>
      </c>
      <c r="D16" s="3" t="s">
        <v>63</v>
      </c>
      <c r="E16" s="3">
        <v>27.0</v>
      </c>
      <c r="F16" s="3" t="s">
        <v>183</v>
      </c>
      <c r="G16" s="6" t="s">
        <v>442</v>
      </c>
      <c r="H16" s="3" t="s">
        <v>444</v>
      </c>
      <c r="I16" s="3" t="s">
        <v>445</v>
      </c>
      <c r="J16" s="3" t="s">
        <v>337</v>
      </c>
      <c r="K16" s="3" t="s">
        <v>137</v>
      </c>
      <c r="L16" s="6" t="s">
        <v>133</v>
      </c>
      <c r="M16" s="3" t="s">
        <v>63</v>
      </c>
      <c r="N16" s="6" t="s">
        <v>135</v>
      </c>
      <c r="O16" s="3" t="s">
        <v>63</v>
      </c>
      <c r="P16" s="3" t="s">
        <v>202</v>
      </c>
      <c r="Q16" s="8">
        <v>760186.0</v>
      </c>
      <c r="R16" s="3" t="s">
        <v>93</v>
      </c>
      <c r="S16" s="7">
        <v>41179.0</v>
      </c>
      <c r="T16" s="3" t="s">
        <v>63</v>
      </c>
      <c r="U16" s="6" t="s">
        <v>277</v>
      </c>
      <c r="V16" s="3" t="s">
        <v>4</v>
      </c>
      <c r="W16" s="3" t="s">
        <v>102</v>
      </c>
    </row>
    <row r="17">
      <c r="A17" s="6" t="s">
        <v>450</v>
      </c>
      <c r="B17" s="3" t="s">
        <v>451</v>
      </c>
      <c r="C17" s="7">
        <v>32855.0</v>
      </c>
      <c r="D17" s="3" t="s">
        <v>63</v>
      </c>
      <c r="E17" s="3">
        <v>36.0</v>
      </c>
      <c r="F17" s="3" t="s">
        <v>183</v>
      </c>
      <c r="G17" s="6" t="s">
        <v>456</v>
      </c>
      <c r="H17" s="3" t="s">
        <v>457</v>
      </c>
      <c r="I17" s="3" t="s">
        <v>458</v>
      </c>
      <c r="J17" s="3" t="s">
        <v>153</v>
      </c>
      <c r="K17" s="3" t="s">
        <v>67</v>
      </c>
      <c r="L17" s="6" t="s">
        <v>459</v>
      </c>
      <c r="M17" s="3" t="s">
        <v>63</v>
      </c>
      <c r="N17" s="6" t="s">
        <v>462</v>
      </c>
      <c r="O17" s="3" t="s">
        <v>63</v>
      </c>
      <c r="P17" s="3" t="s">
        <v>464</v>
      </c>
      <c r="Q17" s="8">
        <v>194856.0</v>
      </c>
      <c r="R17" s="3" t="s">
        <v>93</v>
      </c>
      <c r="S17" s="7">
        <v>43899.0</v>
      </c>
      <c r="T17" s="3" t="s">
        <v>63</v>
      </c>
      <c r="U17" s="6" t="s">
        <v>401</v>
      </c>
      <c r="V17" s="3" t="s">
        <v>4</v>
      </c>
      <c r="W17" s="3" t="s">
        <v>102</v>
      </c>
    </row>
    <row r="18">
      <c r="A18" s="6" t="s">
        <v>467</v>
      </c>
      <c r="B18" s="3" t="s">
        <v>469</v>
      </c>
      <c r="C18" s="7">
        <v>30166.0</v>
      </c>
      <c r="D18" s="3" t="s">
        <v>63</v>
      </c>
      <c r="E18" s="3">
        <v>44.0</v>
      </c>
      <c r="F18" s="3" t="s">
        <v>183</v>
      </c>
      <c r="G18" s="6" t="s">
        <v>472</v>
      </c>
      <c r="H18" s="3" t="s">
        <v>473</v>
      </c>
      <c r="I18" s="3" t="s">
        <v>475</v>
      </c>
      <c r="J18" s="3" t="s">
        <v>282</v>
      </c>
      <c r="K18" s="3" t="s">
        <v>229</v>
      </c>
      <c r="L18" s="6" t="s">
        <v>477</v>
      </c>
      <c r="M18" s="3" t="s">
        <v>63</v>
      </c>
      <c r="N18" s="3"/>
      <c r="O18" s="3" t="s">
        <v>88</v>
      </c>
      <c r="P18" s="3" t="s">
        <v>300</v>
      </c>
      <c r="Q18" s="8">
        <v>281755.0</v>
      </c>
      <c r="R18" s="3" t="s">
        <v>93</v>
      </c>
      <c r="S18" s="7">
        <v>38933.0</v>
      </c>
      <c r="T18" s="3" t="s">
        <v>63</v>
      </c>
      <c r="U18" s="6" t="s">
        <v>163</v>
      </c>
      <c r="V18" s="3" t="s">
        <v>4</v>
      </c>
      <c r="W18" s="3" t="s">
        <v>102</v>
      </c>
    </row>
    <row r="19">
      <c r="A19" s="6" t="s">
        <v>483</v>
      </c>
      <c r="B19" s="3" t="s">
        <v>485</v>
      </c>
      <c r="C19" s="7">
        <v>27663.0</v>
      </c>
      <c r="D19" s="3" t="s">
        <v>63</v>
      </c>
      <c r="E19" s="3">
        <v>50.0</v>
      </c>
      <c r="F19" s="3" t="s">
        <v>183</v>
      </c>
      <c r="G19" s="6" t="s">
        <v>487</v>
      </c>
      <c r="H19" s="3" t="s">
        <v>488</v>
      </c>
      <c r="I19" s="3" t="s">
        <v>489</v>
      </c>
      <c r="J19" s="3" t="s">
        <v>153</v>
      </c>
      <c r="K19" s="3" t="s">
        <v>67</v>
      </c>
      <c r="L19" s="6" t="s">
        <v>492</v>
      </c>
      <c r="M19" s="3" t="s">
        <v>63</v>
      </c>
      <c r="N19" s="6" t="s">
        <v>494</v>
      </c>
      <c r="O19" s="3" t="s">
        <v>63</v>
      </c>
      <c r="P19" s="3" t="s">
        <v>202</v>
      </c>
      <c r="Q19" s="8">
        <v>1025219.0</v>
      </c>
      <c r="R19" s="3" t="s">
        <v>93</v>
      </c>
      <c r="S19" s="7">
        <v>45418.0</v>
      </c>
      <c r="T19" s="3" t="s">
        <v>63</v>
      </c>
      <c r="U19" s="6" t="s">
        <v>266</v>
      </c>
      <c r="V19" s="3" t="s">
        <v>4</v>
      </c>
      <c r="W19" s="3" t="s">
        <v>102</v>
      </c>
    </row>
    <row r="20">
      <c r="A20" s="6" t="s">
        <v>499</v>
      </c>
      <c r="B20" s="3" t="s">
        <v>500</v>
      </c>
      <c r="C20" s="7">
        <v>32032.0</v>
      </c>
      <c r="D20" s="3" t="s">
        <v>63</v>
      </c>
      <c r="E20" s="3">
        <v>38.0</v>
      </c>
      <c r="F20" s="3" t="s">
        <v>70</v>
      </c>
      <c r="G20" s="6" t="s">
        <v>502</v>
      </c>
      <c r="H20" s="3" t="s">
        <v>503</v>
      </c>
      <c r="I20" s="3" t="s">
        <v>505</v>
      </c>
      <c r="J20" s="3" t="s">
        <v>225</v>
      </c>
      <c r="K20" s="3" t="s">
        <v>101</v>
      </c>
      <c r="L20" s="6" t="s">
        <v>508</v>
      </c>
      <c r="M20" s="3" t="s">
        <v>63</v>
      </c>
      <c r="N20" s="6" t="s">
        <v>510</v>
      </c>
      <c r="O20" s="3" t="s">
        <v>63</v>
      </c>
      <c r="P20" s="3" t="s">
        <v>202</v>
      </c>
      <c r="Q20" s="3"/>
      <c r="R20" s="3" t="s">
        <v>258</v>
      </c>
      <c r="S20" s="7">
        <v>39417.0</v>
      </c>
      <c r="T20" s="3" t="s">
        <v>63</v>
      </c>
      <c r="U20" s="6" t="s">
        <v>323</v>
      </c>
      <c r="V20" s="3" t="s">
        <v>4</v>
      </c>
      <c r="W20" s="3" t="s">
        <v>102</v>
      </c>
    </row>
    <row r="21" ht="15.75" customHeight="1">
      <c r="A21" s="6" t="s">
        <v>515</v>
      </c>
      <c r="B21" s="3" t="s">
        <v>516</v>
      </c>
      <c r="C21" s="7">
        <v>37098.0</v>
      </c>
      <c r="D21" s="3" t="s">
        <v>63</v>
      </c>
      <c r="E21" s="3">
        <v>25.0</v>
      </c>
      <c r="F21" s="3" t="s">
        <v>70</v>
      </c>
      <c r="G21" s="6" t="s">
        <v>518</v>
      </c>
      <c r="H21" s="3" t="s">
        <v>520</v>
      </c>
      <c r="I21" s="3" t="s">
        <v>522</v>
      </c>
      <c r="J21" s="3" t="s">
        <v>153</v>
      </c>
      <c r="K21" s="3" t="s">
        <v>67</v>
      </c>
      <c r="L21" s="6" t="s">
        <v>524</v>
      </c>
      <c r="M21" s="3" t="s">
        <v>63</v>
      </c>
      <c r="N21" s="6" t="s">
        <v>525</v>
      </c>
      <c r="O21" s="3" t="s">
        <v>63</v>
      </c>
      <c r="P21" s="3" t="s">
        <v>127</v>
      </c>
      <c r="Q21" s="3"/>
      <c r="R21" s="3" t="s">
        <v>258</v>
      </c>
      <c r="S21" s="7">
        <v>44581.0</v>
      </c>
      <c r="T21" s="3" t="s">
        <v>63</v>
      </c>
      <c r="U21" s="6" t="s">
        <v>163</v>
      </c>
      <c r="V21" s="3" t="s">
        <v>4</v>
      </c>
      <c r="W21" s="3" t="s">
        <v>102</v>
      </c>
    </row>
    <row r="22" ht="15.75" customHeight="1">
      <c r="A22" s="6" t="s">
        <v>530</v>
      </c>
      <c r="B22" s="3" t="s">
        <v>532</v>
      </c>
      <c r="C22" s="7">
        <v>30591.0</v>
      </c>
      <c r="D22" s="3" t="s">
        <v>63</v>
      </c>
      <c r="E22" s="3">
        <v>42.0</v>
      </c>
      <c r="F22" s="3" t="s">
        <v>183</v>
      </c>
      <c r="G22" s="6" t="s">
        <v>537</v>
      </c>
      <c r="H22" s="3" t="s">
        <v>538</v>
      </c>
      <c r="I22" s="3" t="s">
        <v>539</v>
      </c>
      <c r="J22" s="3" t="s">
        <v>114</v>
      </c>
      <c r="K22" s="3" t="s">
        <v>118</v>
      </c>
      <c r="L22" s="6" t="s">
        <v>544</v>
      </c>
      <c r="M22" s="3" t="s">
        <v>63</v>
      </c>
      <c r="N22" s="6" t="s">
        <v>549</v>
      </c>
      <c r="O22" s="3" t="s">
        <v>63</v>
      </c>
      <c r="P22" s="3" t="s">
        <v>160</v>
      </c>
      <c r="Q22" s="3"/>
      <c r="R22" s="3" t="s">
        <v>258</v>
      </c>
      <c r="S22" s="7">
        <v>45665.0</v>
      </c>
      <c r="T22" s="3" t="s">
        <v>63</v>
      </c>
      <c r="U22" s="6" t="s">
        <v>333</v>
      </c>
      <c r="V22" s="3" t="s">
        <v>4</v>
      </c>
      <c r="W22" s="3" t="s">
        <v>102</v>
      </c>
    </row>
    <row r="23" ht="15.75" customHeight="1">
      <c r="A23" s="6" t="s">
        <v>558</v>
      </c>
      <c r="B23" s="3" t="s">
        <v>559</v>
      </c>
      <c r="C23" s="7">
        <v>34042.0</v>
      </c>
      <c r="D23" s="3" t="s">
        <v>63</v>
      </c>
      <c r="E23" s="3">
        <v>33.0</v>
      </c>
      <c r="F23" s="3" t="s">
        <v>70</v>
      </c>
      <c r="G23" s="6" t="s">
        <v>562</v>
      </c>
      <c r="H23" s="3" t="s">
        <v>564</v>
      </c>
      <c r="I23" s="3" t="s">
        <v>565</v>
      </c>
      <c r="J23" s="3" t="s">
        <v>379</v>
      </c>
      <c r="K23" s="3" t="s">
        <v>229</v>
      </c>
      <c r="L23" s="6" t="s">
        <v>567</v>
      </c>
      <c r="M23" s="3" t="s">
        <v>63</v>
      </c>
      <c r="N23" s="6" t="s">
        <v>569</v>
      </c>
      <c r="O23" s="3" t="s">
        <v>63</v>
      </c>
      <c r="P23" s="3" t="s">
        <v>160</v>
      </c>
      <c r="Q23" s="8">
        <v>496885.0</v>
      </c>
      <c r="R23" s="3" t="s">
        <v>93</v>
      </c>
      <c r="S23" s="7">
        <v>43635.0</v>
      </c>
      <c r="T23" s="3" t="s">
        <v>63</v>
      </c>
      <c r="U23" s="6" t="s">
        <v>277</v>
      </c>
      <c r="V23" s="3" t="s">
        <v>4</v>
      </c>
      <c r="W23" s="3" t="s">
        <v>102</v>
      </c>
    </row>
    <row r="24" ht="15.75" customHeight="1">
      <c r="A24" s="6" t="s">
        <v>577</v>
      </c>
      <c r="B24" s="3" t="s">
        <v>578</v>
      </c>
      <c r="C24" s="7">
        <v>34229.0</v>
      </c>
      <c r="D24" s="3" t="s">
        <v>63</v>
      </c>
      <c r="E24" s="3">
        <v>32.0</v>
      </c>
      <c r="F24" s="3" t="s">
        <v>70</v>
      </c>
      <c r="G24" s="6" t="s">
        <v>582</v>
      </c>
      <c r="H24" s="3" t="s">
        <v>583</v>
      </c>
      <c r="I24" s="3" t="s">
        <v>584</v>
      </c>
      <c r="J24" s="3" t="s">
        <v>225</v>
      </c>
      <c r="K24" s="3" t="s">
        <v>101</v>
      </c>
      <c r="L24" s="6" t="s">
        <v>587</v>
      </c>
      <c r="M24" s="3" t="s">
        <v>63</v>
      </c>
      <c r="N24" s="6" t="s">
        <v>589</v>
      </c>
      <c r="O24" s="3" t="s">
        <v>63</v>
      </c>
      <c r="P24" s="3" t="s">
        <v>90</v>
      </c>
      <c r="Q24" s="8">
        <v>1594335.0</v>
      </c>
      <c r="R24" s="3" t="s">
        <v>93</v>
      </c>
      <c r="S24" s="7">
        <v>44380.0</v>
      </c>
      <c r="T24" s="3" t="s">
        <v>63</v>
      </c>
      <c r="U24" s="6" t="s">
        <v>397</v>
      </c>
      <c r="V24" s="3" t="s">
        <v>4</v>
      </c>
      <c r="W24" s="3" t="s">
        <v>102</v>
      </c>
    </row>
    <row r="25" ht="15.75" customHeight="1">
      <c r="A25" s="6" t="s">
        <v>593</v>
      </c>
      <c r="B25" s="3" t="s">
        <v>594</v>
      </c>
      <c r="C25" s="7">
        <v>24735.0</v>
      </c>
      <c r="D25" s="3" t="s">
        <v>63</v>
      </c>
      <c r="E25" s="3">
        <v>58.0</v>
      </c>
      <c r="F25" s="3" t="s">
        <v>183</v>
      </c>
      <c r="G25" s="6" t="s">
        <v>598</v>
      </c>
      <c r="H25" s="3" t="s">
        <v>601</v>
      </c>
      <c r="I25" s="3" t="s">
        <v>602</v>
      </c>
      <c r="J25" s="3" t="s">
        <v>227</v>
      </c>
      <c r="K25" s="3" t="s">
        <v>229</v>
      </c>
      <c r="L25" s="6" t="s">
        <v>604</v>
      </c>
      <c r="M25" s="3" t="s">
        <v>63</v>
      </c>
      <c r="N25" s="6" t="s">
        <v>605</v>
      </c>
      <c r="O25" s="3" t="s">
        <v>63</v>
      </c>
      <c r="P25" s="3" t="s">
        <v>464</v>
      </c>
      <c r="Q25" s="3"/>
      <c r="R25" s="3" t="s">
        <v>258</v>
      </c>
      <c r="S25" s="7">
        <v>40784.0</v>
      </c>
      <c r="T25" s="3" t="s">
        <v>63</v>
      </c>
      <c r="U25" s="6" t="s">
        <v>80</v>
      </c>
      <c r="V25" s="3" t="s">
        <v>4</v>
      </c>
      <c r="W25" s="3" t="s">
        <v>102</v>
      </c>
    </row>
    <row r="26" ht="15.75" customHeight="1">
      <c r="A26" s="6" t="s">
        <v>609</v>
      </c>
      <c r="B26" s="3" t="s">
        <v>610</v>
      </c>
      <c r="C26" s="7">
        <v>22124.0</v>
      </c>
      <c r="D26" s="3" t="s">
        <v>63</v>
      </c>
      <c r="E26" s="3">
        <v>66.0</v>
      </c>
      <c r="F26" s="3" t="s">
        <v>183</v>
      </c>
      <c r="G26" s="6" t="s">
        <v>613</v>
      </c>
      <c r="H26" s="3" t="s">
        <v>615</v>
      </c>
      <c r="I26" s="3" t="s">
        <v>616</v>
      </c>
      <c r="J26" s="3" t="s">
        <v>134</v>
      </c>
      <c r="K26" s="3" t="s">
        <v>137</v>
      </c>
      <c r="L26" s="6" t="s">
        <v>618</v>
      </c>
      <c r="M26" s="3" t="s">
        <v>620</v>
      </c>
      <c r="N26" s="6" t="s">
        <v>622</v>
      </c>
      <c r="O26" s="3" t="s">
        <v>63</v>
      </c>
      <c r="P26" s="3" t="s">
        <v>396</v>
      </c>
      <c r="Q26" s="8">
        <v>1833341.0</v>
      </c>
      <c r="R26" s="3" t="s">
        <v>93</v>
      </c>
      <c r="S26" s="7">
        <v>40250.0</v>
      </c>
      <c r="T26" s="3" t="s">
        <v>63</v>
      </c>
      <c r="U26" s="6" t="s">
        <v>245</v>
      </c>
      <c r="V26" s="3" t="s">
        <v>4</v>
      </c>
      <c r="W26" s="3" t="s">
        <v>102</v>
      </c>
    </row>
    <row r="27" ht="15.75" customHeight="1">
      <c r="A27" s="6" t="s">
        <v>626</v>
      </c>
      <c r="B27" s="3" t="s">
        <v>629</v>
      </c>
      <c r="C27" s="7">
        <v>27714.0</v>
      </c>
      <c r="D27" s="3" t="s">
        <v>63</v>
      </c>
      <c r="E27" s="3">
        <v>50.0</v>
      </c>
      <c r="F27" s="3" t="s">
        <v>70</v>
      </c>
      <c r="G27" s="6" t="s">
        <v>631</v>
      </c>
      <c r="H27" s="3" t="s">
        <v>632</v>
      </c>
      <c r="I27" s="3" t="s">
        <v>633</v>
      </c>
      <c r="J27" s="3" t="s">
        <v>379</v>
      </c>
      <c r="K27" s="3" t="s">
        <v>229</v>
      </c>
      <c r="L27" s="6" t="s">
        <v>635</v>
      </c>
      <c r="M27" s="3" t="s">
        <v>63</v>
      </c>
      <c r="N27" s="6" t="s">
        <v>637</v>
      </c>
      <c r="O27" s="3" t="s">
        <v>63</v>
      </c>
      <c r="P27" s="3" t="s">
        <v>464</v>
      </c>
      <c r="Q27" s="8">
        <v>1318688.0</v>
      </c>
      <c r="R27" s="3" t="s">
        <v>93</v>
      </c>
      <c r="S27" s="7">
        <v>41902.0</v>
      </c>
      <c r="T27" s="3" t="s">
        <v>63</v>
      </c>
      <c r="U27" s="6" t="s">
        <v>401</v>
      </c>
      <c r="V27" s="3" t="s">
        <v>237</v>
      </c>
      <c r="W27" s="3" t="s">
        <v>102</v>
      </c>
    </row>
    <row r="28" ht="15.75" customHeight="1">
      <c r="A28" s="6" t="s">
        <v>643</v>
      </c>
      <c r="B28" s="3" t="s">
        <v>645</v>
      </c>
      <c r="C28" s="7">
        <v>34155.0</v>
      </c>
      <c r="D28" s="3" t="s">
        <v>63</v>
      </c>
      <c r="E28" s="3">
        <v>33.0</v>
      </c>
      <c r="F28" s="3" t="s">
        <v>183</v>
      </c>
      <c r="G28" s="3"/>
      <c r="H28" s="3" t="s">
        <v>648</v>
      </c>
      <c r="I28" s="3" t="s">
        <v>649</v>
      </c>
      <c r="J28" s="3" t="s">
        <v>119</v>
      </c>
      <c r="K28" s="3" t="s">
        <v>121</v>
      </c>
      <c r="L28" s="3"/>
      <c r="M28" s="3" t="s">
        <v>88</v>
      </c>
      <c r="N28" s="6" t="s">
        <v>651</v>
      </c>
      <c r="O28" s="3" t="s">
        <v>63</v>
      </c>
      <c r="P28" s="3" t="s">
        <v>127</v>
      </c>
      <c r="Q28" s="3"/>
      <c r="R28" s="3" t="s">
        <v>258</v>
      </c>
      <c r="S28" s="7">
        <v>45988.0</v>
      </c>
      <c r="T28" s="3" t="s">
        <v>63</v>
      </c>
      <c r="U28" s="6" t="s">
        <v>266</v>
      </c>
      <c r="V28" s="3" t="s">
        <v>4</v>
      </c>
      <c r="W28" s="3" t="s">
        <v>102</v>
      </c>
    </row>
    <row r="29" ht="15.75" customHeight="1">
      <c r="A29" s="6" t="s">
        <v>657</v>
      </c>
      <c r="B29" s="3" t="s">
        <v>658</v>
      </c>
      <c r="C29" s="7">
        <v>28713.0</v>
      </c>
      <c r="D29" s="3" t="s">
        <v>63</v>
      </c>
      <c r="E29" s="3">
        <v>47.0</v>
      </c>
      <c r="F29" s="3" t="s">
        <v>70</v>
      </c>
      <c r="G29" s="6" t="s">
        <v>662</v>
      </c>
      <c r="H29" s="3" t="s">
        <v>664</v>
      </c>
      <c r="I29" s="3" t="s">
        <v>666</v>
      </c>
      <c r="J29" s="3" t="s">
        <v>201</v>
      </c>
      <c r="K29" s="3" t="s">
        <v>203</v>
      </c>
      <c r="L29" s="6" t="s">
        <v>668</v>
      </c>
      <c r="M29" s="3" t="s">
        <v>63</v>
      </c>
      <c r="N29" s="6" t="s">
        <v>669</v>
      </c>
      <c r="O29" s="3" t="s">
        <v>63</v>
      </c>
      <c r="P29" s="3" t="s">
        <v>464</v>
      </c>
      <c r="Q29" s="3"/>
      <c r="R29" s="3" t="s">
        <v>258</v>
      </c>
      <c r="S29" s="7">
        <v>44899.0</v>
      </c>
      <c r="T29" s="3" t="s">
        <v>63</v>
      </c>
      <c r="U29" s="6" t="s">
        <v>262</v>
      </c>
      <c r="V29" s="3" t="s">
        <v>237</v>
      </c>
      <c r="W29" s="3" t="s">
        <v>102</v>
      </c>
    </row>
    <row r="30" ht="15.75" customHeight="1">
      <c r="A30" s="6" t="s">
        <v>373</v>
      </c>
      <c r="B30" s="3" t="s">
        <v>677</v>
      </c>
      <c r="C30" s="7">
        <v>35209.0</v>
      </c>
      <c r="D30" s="3" t="s">
        <v>63</v>
      </c>
      <c r="E30" s="3">
        <v>30.0</v>
      </c>
      <c r="F30" s="3" t="s">
        <v>70</v>
      </c>
      <c r="G30" s="6" t="s">
        <v>681</v>
      </c>
      <c r="H30" s="3" t="s">
        <v>682</v>
      </c>
      <c r="I30" s="3" t="s">
        <v>683</v>
      </c>
      <c r="J30" s="3" t="s">
        <v>225</v>
      </c>
      <c r="K30" s="3" t="s">
        <v>101</v>
      </c>
      <c r="L30" s="6" t="s">
        <v>375</v>
      </c>
      <c r="M30" s="3" t="s">
        <v>63</v>
      </c>
      <c r="N30" s="6" t="s">
        <v>376</v>
      </c>
      <c r="O30" s="3" t="s">
        <v>63</v>
      </c>
      <c r="P30" s="3" t="s">
        <v>300</v>
      </c>
      <c r="Q30" s="3"/>
      <c r="R30" s="3" t="s">
        <v>258</v>
      </c>
      <c r="S30" s="7">
        <v>39882.0</v>
      </c>
      <c r="T30" s="3" t="s">
        <v>63</v>
      </c>
      <c r="U30" s="6" t="s">
        <v>80</v>
      </c>
      <c r="V30" s="3" t="s">
        <v>4</v>
      </c>
      <c r="W30" s="3" t="s">
        <v>102</v>
      </c>
    </row>
    <row r="31" ht="15.75" customHeight="1">
      <c r="A31" s="6" t="s">
        <v>599</v>
      </c>
      <c r="B31" s="3" t="s">
        <v>694</v>
      </c>
      <c r="C31" s="7">
        <v>33304.0</v>
      </c>
      <c r="D31" s="3" t="s">
        <v>63</v>
      </c>
      <c r="E31" s="3">
        <v>35.0</v>
      </c>
      <c r="F31" s="3" t="s">
        <v>183</v>
      </c>
      <c r="G31" s="6" t="s">
        <v>697</v>
      </c>
      <c r="H31" s="3" t="s">
        <v>698</v>
      </c>
      <c r="I31" s="3" t="s">
        <v>701</v>
      </c>
      <c r="J31" s="3" t="s">
        <v>65</v>
      </c>
      <c r="K31" s="3" t="s">
        <v>67</v>
      </c>
      <c r="L31" s="6" t="s">
        <v>703</v>
      </c>
      <c r="M31" s="3" t="s">
        <v>63</v>
      </c>
      <c r="N31" s="6" t="s">
        <v>704</v>
      </c>
      <c r="O31" s="3" t="s">
        <v>63</v>
      </c>
      <c r="P31" s="3" t="s">
        <v>324</v>
      </c>
      <c r="Q31" s="3"/>
      <c r="R31" s="3" t="s">
        <v>258</v>
      </c>
      <c r="S31" s="7">
        <v>39415.0</v>
      </c>
      <c r="T31" s="3" t="s">
        <v>63</v>
      </c>
      <c r="U31" s="6" t="s">
        <v>266</v>
      </c>
      <c r="V31" s="3" t="s">
        <v>4</v>
      </c>
      <c r="W31" s="3" t="s">
        <v>102</v>
      </c>
    </row>
    <row r="32" ht="15.75" customHeight="1">
      <c r="A32" s="6" t="s">
        <v>710</v>
      </c>
      <c r="B32" s="3" t="s">
        <v>712</v>
      </c>
      <c r="C32" s="7">
        <v>34432.0</v>
      </c>
      <c r="D32" s="3" t="s">
        <v>63</v>
      </c>
      <c r="E32" s="3">
        <v>32.0</v>
      </c>
      <c r="F32" s="3" t="s">
        <v>183</v>
      </c>
      <c r="G32" s="6" t="s">
        <v>716</v>
      </c>
      <c r="H32" s="3" t="s">
        <v>718</v>
      </c>
      <c r="I32" s="3" t="s">
        <v>719</v>
      </c>
      <c r="J32" s="3" t="s">
        <v>98</v>
      </c>
      <c r="K32" s="3" t="s">
        <v>101</v>
      </c>
      <c r="L32" s="6" t="s">
        <v>722</v>
      </c>
      <c r="M32" s="3" t="s">
        <v>63</v>
      </c>
      <c r="N32" s="3"/>
      <c r="O32" s="3" t="s">
        <v>88</v>
      </c>
      <c r="P32" s="3" t="s">
        <v>90</v>
      </c>
      <c r="Q32" s="8">
        <v>1090848.0</v>
      </c>
      <c r="R32" s="3" t="s">
        <v>93</v>
      </c>
      <c r="S32" s="7">
        <v>39154.0</v>
      </c>
      <c r="T32" s="3" t="s">
        <v>63</v>
      </c>
      <c r="U32" s="6" t="s">
        <v>311</v>
      </c>
      <c r="V32" s="3" t="s">
        <v>237</v>
      </c>
      <c r="W32" s="3" t="s">
        <v>102</v>
      </c>
    </row>
    <row r="33" ht="15.75" customHeight="1">
      <c r="A33" s="6" t="s">
        <v>732</v>
      </c>
      <c r="B33" s="3" t="s">
        <v>733</v>
      </c>
      <c r="C33" s="7">
        <v>32005.0</v>
      </c>
      <c r="D33" s="3" t="s">
        <v>63</v>
      </c>
      <c r="E33" s="3">
        <v>38.0</v>
      </c>
      <c r="F33" s="3" t="s">
        <v>183</v>
      </c>
      <c r="G33" s="6" t="s">
        <v>738</v>
      </c>
      <c r="H33" s="3" t="s">
        <v>740</v>
      </c>
      <c r="I33" s="3" t="s">
        <v>743</v>
      </c>
      <c r="J33" s="3" t="s">
        <v>349</v>
      </c>
      <c r="K33" s="3" t="s">
        <v>45</v>
      </c>
      <c r="L33" s="6" t="s">
        <v>747</v>
      </c>
      <c r="M33" s="3" t="s">
        <v>63</v>
      </c>
      <c r="N33" s="6" t="s">
        <v>749</v>
      </c>
      <c r="O33" s="3" t="s">
        <v>63</v>
      </c>
      <c r="P33" s="3" t="s">
        <v>202</v>
      </c>
      <c r="Q33" s="8">
        <v>2397230.0</v>
      </c>
      <c r="R33" s="3" t="s">
        <v>93</v>
      </c>
      <c r="S33" s="7">
        <v>43412.0</v>
      </c>
      <c r="T33" s="3" t="s">
        <v>63</v>
      </c>
      <c r="U33" s="6" t="s">
        <v>92</v>
      </c>
      <c r="V33" s="3" t="s">
        <v>4</v>
      </c>
      <c r="W33" s="3" t="s">
        <v>102</v>
      </c>
    </row>
    <row r="34" ht="15.75" customHeight="1">
      <c r="A34" s="6" t="s">
        <v>758</v>
      </c>
      <c r="B34" s="3" t="s">
        <v>761</v>
      </c>
      <c r="C34" s="7">
        <v>21902.0</v>
      </c>
      <c r="D34" s="3" t="s">
        <v>63</v>
      </c>
      <c r="E34" s="3">
        <v>66.0</v>
      </c>
      <c r="F34" s="3" t="s">
        <v>183</v>
      </c>
      <c r="G34" s="6" t="s">
        <v>764</v>
      </c>
      <c r="H34" s="3"/>
      <c r="I34" s="3" t="s">
        <v>765</v>
      </c>
      <c r="J34" s="3" t="s">
        <v>134</v>
      </c>
      <c r="K34" s="3" t="s">
        <v>137</v>
      </c>
      <c r="L34" s="6" t="s">
        <v>778</v>
      </c>
      <c r="M34" s="3" t="s">
        <v>63</v>
      </c>
      <c r="N34" s="6" t="s">
        <v>780</v>
      </c>
      <c r="O34" s="3" t="s">
        <v>63</v>
      </c>
      <c r="P34" s="3" t="s">
        <v>464</v>
      </c>
      <c r="Q34" s="8">
        <v>1516937.0</v>
      </c>
      <c r="R34" s="3" t="s">
        <v>93</v>
      </c>
      <c r="S34" s="7">
        <v>38444.0</v>
      </c>
      <c r="T34" s="3" t="s">
        <v>63</v>
      </c>
      <c r="U34" s="6" t="s">
        <v>333</v>
      </c>
      <c r="V34" s="3" t="s">
        <v>237</v>
      </c>
      <c r="W34" s="3" t="s">
        <v>102</v>
      </c>
    </row>
    <row r="35" ht="15.75" customHeight="1">
      <c r="A35" s="6" t="s">
        <v>786</v>
      </c>
      <c r="B35" s="3" t="s">
        <v>789</v>
      </c>
      <c r="C35" s="7">
        <v>20310.0</v>
      </c>
      <c r="D35" s="3" t="s">
        <v>63</v>
      </c>
      <c r="E35" s="3">
        <v>70.0</v>
      </c>
      <c r="F35" s="3" t="s">
        <v>183</v>
      </c>
      <c r="G35" s="6" t="s">
        <v>794</v>
      </c>
      <c r="H35" s="3" t="s">
        <v>796</v>
      </c>
      <c r="I35" s="3" t="s">
        <v>798</v>
      </c>
      <c r="J35" s="3" t="s">
        <v>190</v>
      </c>
      <c r="K35" s="3" t="s">
        <v>193</v>
      </c>
      <c r="L35" s="6" t="s">
        <v>800</v>
      </c>
      <c r="M35" s="3" t="s">
        <v>63</v>
      </c>
      <c r="N35" s="6" t="s">
        <v>801</v>
      </c>
      <c r="O35" s="3" t="s">
        <v>63</v>
      </c>
      <c r="P35" s="3" t="s">
        <v>300</v>
      </c>
      <c r="Q35" s="8">
        <v>1103551.0</v>
      </c>
      <c r="R35" s="3" t="s">
        <v>93</v>
      </c>
      <c r="S35" s="7">
        <v>42926.0</v>
      </c>
      <c r="T35" s="3" t="s">
        <v>63</v>
      </c>
      <c r="U35" s="6" t="s">
        <v>136</v>
      </c>
      <c r="V35" s="3" t="s">
        <v>4</v>
      </c>
      <c r="W35" s="3" t="s">
        <v>102</v>
      </c>
    </row>
    <row r="36" ht="15.75" customHeight="1">
      <c r="A36" s="6" t="s">
        <v>811</v>
      </c>
      <c r="B36" s="3" t="s">
        <v>813</v>
      </c>
      <c r="C36" s="7">
        <v>23762.0</v>
      </c>
      <c r="D36" s="3" t="s">
        <v>63</v>
      </c>
      <c r="E36" s="3">
        <v>61.0</v>
      </c>
      <c r="F36" s="3" t="s">
        <v>183</v>
      </c>
      <c r="G36" s="6" t="s">
        <v>820</v>
      </c>
      <c r="H36" s="3" t="s">
        <v>822</v>
      </c>
      <c r="I36" s="3" t="s">
        <v>823</v>
      </c>
      <c r="J36" s="3" t="s">
        <v>184</v>
      </c>
      <c r="K36" s="3" t="s">
        <v>187</v>
      </c>
      <c r="L36" s="6" t="s">
        <v>825</v>
      </c>
      <c r="M36" s="3" t="s">
        <v>63</v>
      </c>
      <c r="N36" s="6" t="s">
        <v>826</v>
      </c>
      <c r="O36" s="3" t="s">
        <v>63</v>
      </c>
      <c r="P36" s="3" t="s">
        <v>464</v>
      </c>
      <c r="Q36" s="8">
        <v>894253.0</v>
      </c>
      <c r="R36" s="3" t="s">
        <v>93</v>
      </c>
      <c r="S36" s="7">
        <v>39537.0</v>
      </c>
      <c r="T36" s="3" t="s">
        <v>63</v>
      </c>
      <c r="U36" s="6" t="s">
        <v>385</v>
      </c>
      <c r="V36" s="3" t="s">
        <v>237</v>
      </c>
      <c r="W36" s="3" t="s">
        <v>102</v>
      </c>
    </row>
    <row r="37" ht="15.75" customHeight="1">
      <c r="A37" s="6" t="s">
        <v>835</v>
      </c>
      <c r="B37" s="3" t="s">
        <v>836</v>
      </c>
      <c r="C37" s="7">
        <v>24054.0</v>
      </c>
      <c r="D37" s="3" t="s">
        <v>63</v>
      </c>
      <c r="E37" s="3">
        <v>60.0</v>
      </c>
      <c r="F37" s="3" t="s">
        <v>183</v>
      </c>
      <c r="G37" s="6" t="s">
        <v>838</v>
      </c>
      <c r="H37" s="3" t="s">
        <v>841</v>
      </c>
      <c r="I37" s="3" t="s">
        <v>842</v>
      </c>
      <c r="J37" s="3" t="s">
        <v>250</v>
      </c>
      <c r="K37" s="3" t="s">
        <v>252</v>
      </c>
      <c r="L37" s="3"/>
      <c r="M37" s="3" t="s">
        <v>88</v>
      </c>
      <c r="N37" s="6" t="s">
        <v>847</v>
      </c>
      <c r="O37" s="3" t="s">
        <v>63</v>
      </c>
      <c r="P37" s="3" t="s">
        <v>324</v>
      </c>
      <c r="Q37" s="8">
        <v>1153905.0</v>
      </c>
      <c r="R37" s="3" t="s">
        <v>93</v>
      </c>
      <c r="S37" s="7">
        <v>43137.0</v>
      </c>
      <c r="T37" s="3" t="s">
        <v>63</v>
      </c>
      <c r="U37" s="6" t="s">
        <v>284</v>
      </c>
      <c r="V37" s="3" t="s">
        <v>4</v>
      </c>
      <c r="W37" s="3" t="s">
        <v>378</v>
      </c>
    </row>
    <row r="38" ht="15.75" customHeight="1">
      <c r="A38" s="6" t="s">
        <v>854</v>
      </c>
      <c r="B38" s="3" t="s">
        <v>856</v>
      </c>
      <c r="C38" s="7">
        <v>28617.0</v>
      </c>
      <c r="D38" s="3" t="s">
        <v>63</v>
      </c>
      <c r="E38" s="3">
        <v>48.0</v>
      </c>
      <c r="F38" s="3" t="s">
        <v>70</v>
      </c>
      <c r="G38" s="6" t="s">
        <v>858</v>
      </c>
      <c r="H38" s="3" t="s">
        <v>859</v>
      </c>
      <c r="I38" s="3" t="s">
        <v>861</v>
      </c>
      <c r="J38" s="3" t="s">
        <v>184</v>
      </c>
      <c r="K38" s="3" t="s">
        <v>187</v>
      </c>
      <c r="L38" s="6" t="s">
        <v>864</v>
      </c>
      <c r="M38" s="3" t="s">
        <v>63</v>
      </c>
      <c r="N38" s="3"/>
      <c r="O38" s="3" t="s">
        <v>88</v>
      </c>
      <c r="P38" s="3" t="s">
        <v>324</v>
      </c>
      <c r="Q38" s="3"/>
      <c r="R38" s="3" t="s">
        <v>258</v>
      </c>
      <c r="S38" s="7">
        <v>39514.0</v>
      </c>
      <c r="T38" s="3" t="s">
        <v>63</v>
      </c>
      <c r="U38" s="6" t="s">
        <v>179</v>
      </c>
      <c r="V38" s="3" t="s">
        <v>4</v>
      </c>
      <c r="W38" s="3" t="s">
        <v>102</v>
      </c>
    </row>
    <row r="39" ht="15.75" customHeight="1">
      <c r="A39" s="6" t="s">
        <v>870</v>
      </c>
      <c r="B39" s="3" t="s">
        <v>872</v>
      </c>
      <c r="C39" s="7">
        <v>34625.0</v>
      </c>
      <c r="D39" s="3" t="s">
        <v>63</v>
      </c>
      <c r="E39" s="3">
        <v>31.0</v>
      </c>
      <c r="F39" s="3" t="s">
        <v>183</v>
      </c>
      <c r="G39" s="6" t="s">
        <v>877</v>
      </c>
      <c r="H39" s="3" t="s">
        <v>880</v>
      </c>
      <c r="I39" s="3" t="s">
        <v>881</v>
      </c>
      <c r="J39" s="3" t="s">
        <v>379</v>
      </c>
      <c r="K39" s="3" t="s">
        <v>229</v>
      </c>
      <c r="L39" s="6" t="s">
        <v>882</v>
      </c>
      <c r="M39" s="3" t="s">
        <v>63</v>
      </c>
      <c r="N39" s="6" t="s">
        <v>883</v>
      </c>
      <c r="O39" s="3" t="s">
        <v>63</v>
      </c>
      <c r="P39" s="3" t="s">
        <v>464</v>
      </c>
      <c r="Q39" s="3"/>
      <c r="R39" s="3" t="s">
        <v>258</v>
      </c>
      <c r="S39" s="7">
        <v>45447.0</v>
      </c>
      <c r="T39" s="3" t="s">
        <v>63</v>
      </c>
      <c r="U39" s="6" t="s">
        <v>146</v>
      </c>
      <c r="V39" s="3" t="s">
        <v>4</v>
      </c>
      <c r="W39" s="3" t="s">
        <v>102</v>
      </c>
    </row>
    <row r="40" ht="15.75" customHeight="1">
      <c r="A40" s="6" t="s">
        <v>890</v>
      </c>
      <c r="B40" s="3" t="s">
        <v>891</v>
      </c>
      <c r="C40" s="7">
        <v>33334.0</v>
      </c>
      <c r="D40" s="3" t="s">
        <v>63</v>
      </c>
      <c r="E40" s="3">
        <v>35.0</v>
      </c>
      <c r="F40" s="3" t="s">
        <v>70</v>
      </c>
      <c r="G40" s="6" t="s">
        <v>896</v>
      </c>
      <c r="H40" s="3" t="s">
        <v>898</v>
      </c>
      <c r="I40" s="3" t="s">
        <v>900</v>
      </c>
      <c r="J40" s="3" t="s">
        <v>79</v>
      </c>
      <c r="K40" s="3" t="s">
        <v>81</v>
      </c>
      <c r="L40" s="6" t="s">
        <v>207</v>
      </c>
      <c r="M40" s="3" t="s">
        <v>620</v>
      </c>
      <c r="N40" s="6" t="s">
        <v>210</v>
      </c>
      <c r="O40" s="3" t="s">
        <v>63</v>
      </c>
      <c r="P40" s="3" t="s">
        <v>396</v>
      </c>
      <c r="Q40" s="8">
        <v>160759.0</v>
      </c>
      <c r="R40" s="3" t="s">
        <v>93</v>
      </c>
      <c r="S40" s="7">
        <v>44300.0</v>
      </c>
      <c r="T40" s="3" t="s">
        <v>63</v>
      </c>
      <c r="U40" s="6" t="s">
        <v>385</v>
      </c>
      <c r="V40" s="3" t="s">
        <v>4</v>
      </c>
      <c r="W40" s="3" t="s">
        <v>378</v>
      </c>
    </row>
    <row r="41" ht="15.75" customHeight="1">
      <c r="A41" s="6" t="s">
        <v>384</v>
      </c>
      <c r="B41" s="3" t="s">
        <v>910</v>
      </c>
      <c r="C41" s="7">
        <v>36360.0</v>
      </c>
      <c r="D41" s="3" t="s">
        <v>63</v>
      </c>
      <c r="E41" s="3">
        <v>27.0</v>
      </c>
      <c r="F41" s="3" t="s">
        <v>70</v>
      </c>
      <c r="G41" s="6" t="s">
        <v>913</v>
      </c>
      <c r="H41" s="3" t="s">
        <v>915</v>
      </c>
      <c r="I41" s="3" t="s">
        <v>916</v>
      </c>
      <c r="J41" s="3" t="s">
        <v>119</v>
      </c>
      <c r="K41" s="3" t="s">
        <v>121</v>
      </c>
      <c r="L41" s="6" t="s">
        <v>386</v>
      </c>
      <c r="M41" s="3" t="s">
        <v>63</v>
      </c>
      <c r="N41" s="6" t="s">
        <v>389</v>
      </c>
      <c r="O41" s="3" t="s">
        <v>63</v>
      </c>
      <c r="P41" s="3" t="s">
        <v>300</v>
      </c>
      <c r="Q41" s="8">
        <v>2350224.0</v>
      </c>
      <c r="R41" s="3" t="s">
        <v>93</v>
      </c>
      <c r="S41" s="7">
        <v>39297.0</v>
      </c>
      <c r="T41" s="3" t="s">
        <v>63</v>
      </c>
      <c r="U41" s="6" t="s">
        <v>136</v>
      </c>
      <c r="V41" s="3" t="s">
        <v>4</v>
      </c>
      <c r="W41" s="3" t="s">
        <v>102</v>
      </c>
    </row>
    <row r="42" ht="15.75" customHeight="1">
      <c r="A42" s="6" t="s">
        <v>925</v>
      </c>
      <c r="B42" s="3" t="s">
        <v>927</v>
      </c>
      <c r="C42" s="7">
        <v>32299.0</v>
      </c>
      <c r="D42" s="3" t="s">
        <v>63</v>
      </c>
      <c r="E42" s="3">
        <v>38.0</v>
      </c>
      <c r="F42" s="3" t="s">
        <v>183</v>
      </c>
      <c r="G42" s="6" t="s">
        <v>932</v>
      </c>
      <c r="H42" s="3" t="s">
        <v>934</v>
      </c>
      <c r="I42" s="3" t="s">
        <v>935</v>
      </c>
      <c r="J42" s="3" t="s">
        <v>184</v>
      </c>
      <c r="K42" s="3" t="s">
        <v>187</v>
      </c>
      <c r="L42" s="6" t="s">
        <v>936</v>
      </c>
      <c r="M42" s="3" t="s">
        <v>63</v>
      </c>
      <c r="N42" s="6" t="s">
        <v>937</v>
      </c>
      <c r="O42" s="3" t="s">
        <v>63</v>
      </c>
      <c r="P42" s="3" t="s">
        <v>396</v>
      </c>
      <c r="Q42" s="8">
        <v>667414.0</v>
      </c>
      <c r="R42" s="3" t="s">
        <v>93</v>
      </c>
      <c r="S42" s="7">
        <v>39509.0</v>
      </c>
      <c r="T42" s="3" t="s">
        <v>63</v>
      </c>
      <c r="U42" s="6" t="s">
        <v>129</v>
      </c>
      <c r="V42" s="3" t="s">
        <v>4</v>
      </c>
      <c r="W42" s="3" t="s">
        <v>378</v>
      </c>
    </row>
    <row r="43" ht="15.75" customHeight="1">
      <c r="A43" s="6" t="s">
        <v>946</v>
      </c>
      <c r="B43" s="3" t="s">
        <v>947</v>
      </c>
      <c r="C43" s="7">
        <v>38063.0</v>
      </c>
      <c r="D43" s="3" t="s">
        <v>63</v>
      </c>
      <c r="E43" s="3">
        <v>22.0</v>
      </c>
      <c r="F43" s="3" t="s">
        <v>183</v>
      </c>
      <c r="G43" s="6" t="s">
        <v>953</v>
      </c>
      <c r="H43" s="3" t="s">
        <v>956</v>
      </c>
      <c r="I43" s="3" t="s">
        <v>957</v>
      </c>
      <c r="J43" s="3" t="s">
        <v>85</v>
      </c>
      <c r="K43" s="3" t="s">
        <v>67</v>
      </c>
      <c r="L43" s="6" t="s">
        <v>959</v>
      </c>
      <c r="M43" s="3" t="s">
        <v>63</v>
      </c>
      <c r="N43" s="6" t="s">
        <v>961</v>
      </c>
      <c r="O43" s="3" t="s">
        <v>63</v>
      </c>
      <c r="P43" s="3" t="s">
        <v>127</v>
      </c>
      <c r="Q43" s="3"/>
      <c r="R43" s="3" t="s">
        <v>258</v>
      </c>
      <c r="S43" s="7">
        <v>39134.0</v>
      </c>
      <c r="T43" s="3" t="s">
        <v>63</v>
      </c>
      <c r="U43" s="6" t="s">
        <v>245</v>
      </c>
      <c r="V43" s="3" t="s">
        <v>4</v>
      </c>
      <c r="W43" s="3" t="s">
        <v>102</v>
      </c>
    </row>
    <row r="44" ht="15.75" customHeight="1">
      <c r="A44" s="6" t="s">
        <v>969</v>
      </c>
      <c r="B44" s="3" t="s">
        <v>971</v>
      </c>
      <c r="C44" s="7">
        <v>22019.0</v>
      </c>
      <c r="D44" s="3" t="s">
        <v>63</v>
      </c>
      <c r="E44" s="3">
        <v>66.0</v>
      </c>
      <c r="F44" s="3" t="s">
        <v>183</v>
      </c>
      <c r="G44" s="6" t="s">
        <v>976</v>
      </c>
      <c r="H44" s="3" t="s">
        <v>978</v>
      </c>
      <c r="I44" s="3" t="s">
        <v>980</v>
      </c>
      <c r="J44" s="3" t="s">
        <v>327</v>
      </c>
      <c r="K44" s="3" t="s">
        <v>169</v>
      </c>
      <c r="L44" s="6" t="s">
        <v>983</v>
      </c>
      <c r="M44" s="3" t="s">
        <v>63</v>
      </c>
      <c r="N44" s="6" t="s">
        <v>987</v>
      </c>
      <c r="O44" s="3" t="s">
        <v>63</v>
      </c>
      <c r="P44" s="3" t="s">
        <v>324</v>
      </c>
      <c r="Q44" s="8">
        <v>1445958.0</v>
      </c>
      <c r="R44" s="3" t="s">
        <v>93</v>
      </c>
      <c r="S44" s="7">
        <v>40587.0</v>
      </c>
      <c r="T44" s="3" t="s">
        <v>63</v>
      </c>
      <c r="U44" s="6" t="s">
        <v>109</v>
      </c>
      <c r="V44" s="3" t="s">
        <v>4</v>
      </c>
      <c r="W44" s="3" t="s">
        <v>102</v>
      </c>
    </row>
    <row r="45" ht="15.75" customHeight="1">
      <c r="A45" s="6" t="s">
        <v>996</v>
      </c>
      <c r="B45" s="3" t="s">
        <v>997</v>
      </c>
      <c r="C45" s="7">
        <v>25956.0</v>
      </c>
      <c r="D45" s="3" t="s">
        <v>63</v>
      </c>
      <c r="E45" s="3">
        <v>55.0</v>
      </c>
      <c r="F45" s="3" t="s">
        <v>70</v>
      </c>
      <c r="G45" s="6" t="s">
        <v>999</v>
      </c>
      <c r="H45" s="3" t="s">
        <v>1001</v>
      </c>
      <c r="I45" s="3" t="s">
        <v>1004</v>
      </c>
      <c r="J45" s="3" t="s">
        <v>305</v>
      </c>
      <c r="K45" s="3" t="s">
        <v>193</v>
      </c>
      <c r="L45" s="6" t="s">
        <v>1008</v>
      </c>
      <c r="M45" s="3" t="s">
        <v>63</v>
      </c>
      <c r="N45" s="6" t="s">
        <v>1009</v>
      </c>
      <c r="O45" s="3" t="s">
        <v>63</v>
      </c>
      <c r="P45" s="3" t="s">
        <v>396</v>
      </c>
      <c r="Q45" s="3"/>
      <c r="R45" s="3" t="s">
        <v>258</v>
      </c>
      <c r="S45" s="7">
        <v>39095.0</v>
      </c>
      <c r="T45" s="3" t="s">
        <v>63</v>
      </c>
      <c r="U45" s="6" t="s">
        <v>333</v>
      </c>
      <c r="V45" s="3" t="s">
        <v>4</v>
      </c>
      <c r="W45" s="3" t="s">
        <v>378</v>
      </c>
    </row>
    <row r="46" ht="15.75" customHeight="1">
      <c r="A46" s="6" t="s">
        <v>1017</v>
      </c>
      <c r="B46" s="3" t="s">
        <v>1018</v>
      </c>
      <c r="C46" s="7">
        <v>22721.0</v>
      </c>
      <c r="D46" s="3" t="s">
        <v>63</v>
      </c>
      <c r="E46" s="3">
        <v>64.0</v>
      </c>
      <c r="F46" s="3" t="s">
        <v>183</v>
      </c>
      <c r="G46" s="6" t="s">
        <v>1024</v>
      </c>
      <c r="H46" s="3" t="s">
        <v>1026</v>
      </c>
      <c r="I46" s="3" t="s">
        <v>1027</v>
      </c>
      <c r="J46" s="3" t="s">
        <v>251</v>
      </c>
      <c r="K46" s="3" t="s">
        <v>251</v>
      </c>
      <c r="L46" s="6" t="s">
        <v>1030</v>
      </c>
      <c r="M46" s="3" t="s">
        <v>63</v>
      </c>
      <c r="N46" s="6" t="s">
        <v>1034</v>
      </c>
      <c r="O46" s="3" t="s">
        <v>63</v>
      </c>
      <c r="P46" s="3" t="s">
        <v>464</v>
      </c>
      <c r="Q46" s="8">
        <v>1477964.0</v>
      </c>
      <c r="R46" s="3" t="s">
        <v>93</v>
      </c>
      <c r="S46" s="7">
        <v>41162.0</v>
      </c>
      <c r="T46" s="3" t="s">
        <v>63</v>
      </c>
      <c r="U46" s="6" t="s">
        <v>208</v>
      </c>
      <c r="V46" s="3" t="s">
        <v>4</v>
      </c>
      <c r="W46" s="3" t="s">
        <v>102</v>
      </c>
    </row>
    <row r="47" ht="15.75" customHeight="1">
      <c r="A47" s="6" t="s">
        <v>1043</v>
      </c>
      <c r="B47" s="3" t="s">
        <v>1045</v>
      </c>
      <c r="C47" s="7">
        <v>26322.0</v>
      </c>
      <c r="D47" s="3" t="s">
        <v>63</v>
      </c>
      <c r="E47" s="3">
        <v>54.0</v>
      </c>
      <c r="F47" s="3" t="s">
        <v>70</v>
      </c>
      <c r="G47" s="6" t="s">
        <v>1049</v>
      </c>
      <c r="H47" s="3" t="s">
        <v>1052</v>
      </c>
      <c r="I47" s="3" t="s">
        <v>1053</v>
      </c>
      <c r="J47" s="3" t="s">
        <v>153</v>
      </c>
      <c r="K47" s="3" t="s">
        <v>67</v>
      </c>
      <c r="L47" s="6" t="s">
        <v>1057</v>
      </c>
      <c r="M47" s="3" t="s">
        <v>63</v>
      </c>
      <c r="N47" s="6" t="s">
        <v>1059</v>
      </c>
      <c r="O47" s="3" t="s">
        <v>63</v>
      </c>
      <c r="P47" s="3" t="s">
        <v>396</v>
      </c>
      <c r="Q47" s="8">
        <v>1607360.0</v>
      </c>
      <c r="R47" s="3" t="s">
        <v>93</v>
      </c>
      <c r="S47" s="7">
        <v>41011.0</v>
      </c>
      <c r="T47" s="3" t="s">
        <v>63</v>
      </c>
      <c r="U47" s="6" t="s">
        <v>97</v>
      </c>
      <c r="V47" s="3" t="s">
        <v>237</v>
      </c>
      <c r="W47" s="3" t="s">
        <v>102</v>
      </c>
    </row>
    <row r="48" ht="15.75" customHeight="1">
      <c r="A48" s="6" t="s">
        <v>1069</v>
      </c>
      <c r="B48" s="3" t="s">
        <v>1071</v>
      </c>
      <c r="C48" s="7">
        <v>20881.0</v>
      </c>
      <c r="D48" s="3" t="s">
        <v>63</v>
      </c>
      <c r="E48" s="3">
        <v>69.0</v>
      </c>
      <c r="F48" s="3" t="s">
        <v>183</v>
      </c>
      <c r="G48" s="6" t="s">
        <v>1077</v>
      </c>
      <c r="H48" s="3" t="s">
        <v>1078</v>
      </c>
      <c r="I48" s="3" t="s">
        <v>1080</v>
      </c>
      <c r="J48" s="3" t="s">
        <v>43</v>
      </c>
      <c r="K48" s="3" t="s">
        <v>45</v>
      </c>
      <c r="L48" s="6" t="s">
        <v>1082</v>
      </c>
      <c r="M48" s="3" t="s">
        <v>63</v>
      </c>
      <c r="N48" s="6" t="s">
        <v>1085</v>
      </c>
      <c r="O48" s="3" t="s">
        <v>63</v>
      </c>
      <c r="P48" s="3" t="s">
        <v>464</v>
      </c>
      <c r="Q48" s="8">
        <v>1068948.0</v>
      </c>
      <c r="R48" s="3" t="s">
        <v>93</v>
      </c>
      <c r="S48" s="7">
        <v>45849.0</v>
      </c>
      <c r="T48" s="3" t="s">
        <v>63</v>
      </c>
      <c r="U48" s="6" t="s">
        <v>401</v>
      </c>
      <c r="V48" s="3" t="s">
        <v>237</v>
      </c>
      <c r="W48" s="3" t="s">
        <v>102</v>
      </c>
    </row>
    <row r="49" ht="15.75" customHeight="1">
      <c r="A49" s="6" t="s">
        <v>1096</v>
      </c>
      <c r="B49" s="3" t="s">
        <v>1099</v>
      </c>
      <c r="C49" s="7">
        <v>29126.0</v>
      </c>
      <c r="D49" s="3" t="s">
        <v>63</v>
      </c>
      <c r="E49" s="3">
        <v>46.0</v>
      </c>
      <c r="F49" s="3" t="s">
        <v>70</v>
      </c>
      <c r="G49" s="6" t="s">
        <v>1101</v>
      </c>
      <c r="H49" s="3" t="s">
        <v>1104</v>
      </c>
      <c r="I49" s="3" t="s">
        <v>1107</v>
      </c>
      <c r="J49" s="3" t="s">
        <v>184</v>
      </c>
      <c r="K49" s="3" t="s">
        <v>187</v>
      </c>
      <c r="L49" s="6" t="s">
        <v>1108</v>
      </c>
      <c r="M49" s="3" t="s">
        <v>63</v>
      </c>
      <c r="N49" s="6" t="s">
        <v>1112</v>
      </c>
      <c r="O49" s="3" t="s">
        <v>63</v>
      </c>
      <c r="P49" s="3" t="s">
        <v>90</v>
      </c>
      <c r="Q49" s="8">
        <v>158215.0</v>
      </c>
      <c r="R49" s="3" t="s">
        <v>93</v>
      </c>
      <c r="S49" s="7">
        <v>45455.0</v>
      </c>
      <c r="T49" s="3" t="s">
        <v>63</v>
      </c>
      <c r="U49" s="6" t="s">
        <v>60</v>
      </c>
      <c r="V49" s="3" t="s">
        <v>4</v>
      </c>
      <c r="W49" s="3" t="s">
        <v>102</v>
      </c>
    </row>
    <row r="50" ht="15.75" customHeight="1">
      <c r="A50" s="6" t="s">
        <v>1125</v>
      </c>
      <c r="B50" s="3" t="s">
        <v>1127</v>
      </c>
      <c r="C50" s="7">
        <v>27328.0</v>
      </c>
      <c r="D50" s="3" t="s">
        <v>63</v>
      </c>
      <c r="E50" s="3">
        <v>51.0</v>
      </c>
      <c r="F50" s="3" t="s">
        <v>183</v>
      </c>
      <c r="G50" s="6" t="s">
        <v>1132</v>
      </c>
      <c r="H50" s="3" t="s">
        <v>1134</v>
      </c>
      <c r="I50" s="3" t="s">
        <v>1136</v>
      </c>
      <c r="J50" s="3" t="s">
        <v>190</v>
      </c>
      <c r="K50" s="3" t="s">
        <v>193</v>
      </c>
      <c r="L50" s="3"/>
      <c r="M50" s="3" t="s">
        <v>88</v>
      </c>
      <c r="N50" s="6" t="s">
        <v>1141</v>
      </c>
      <c r="O50" s="3" t="s">
        <v>63</v>
      </c>
      <c r="P50" s="3" t="s">
        <v>396</v>
      </c>
      <c r="Q50" s="3"/>
      <c r="R50" s="3" t="s">
        <v>258</v>
      </c>
      <c r="S50" s="7">
        <v>40488.0</v>
      </c>
      <c r="T50" s="3" t="s">
        <v>63</v>
      </c>
      <c r="U50" s="6" t="s">
        <v>352</v>
      </c>
      <c r="V50" s="3" t="s">
        <v>4</v>
      </c>
      <c r="W50" s="3" t="s">
        <v>102</v>
      </c>
    </row>
    <row r="51" ht="15.75" customHeight="1">
      <c r="A51" s="6" t="s">
        <v>1149</v>
      </c>
      <c r="B51" s="3" t="s">
        <v>1150</v>
      </c>
      <c r="C51" s="7">
        <v>46577.0</v>
      </c>
      <c r="D51" s="3" t="s">
        <v>1155</v>
      </c>
      <c r="E51" s="3"/>
      <c r="F51" s="3" t="s">
        <v>183</v>
      </c>
      <c r="G51" s="6" t="s">
        <v>1164</v>
      </c>
      <c r="H51" s="3" t="s">
        <v>1166</v>
      </c>
      <c r="I51" s="3" t="s">
        <v>1168</v>
      </c>
      <c r="J51" s="3" t="s">
        <v>271</v>
      </c>
      <c r="K51" s="3" t="s">
        <v>273</v>
      </c>
      <c r="L51" s="6" t="s">
        <v>1169</v>
      </c>
      <c r="M51" s="3" t="s">
        <v>63</v>
      </c>
      <c r="N51" s="6" t="s">
        <v>1171</v>
      </c>
      <c r="O51" s="3" t="s">
        <v>63</v>
      </c>
      <c r="P51" s="3" t="s">
        <v>202</v>
      </c>
      <c r="Q51" s="3"/>
      <c r="R51" s="3" t="s">
        <v>258</v>
      </c>
      <c r="S51" s="7">
        <v>44981.0</v>
      </c>
      <c r="T51" s="3" t="s">
        <v>1178</v>
      </c>
      <c r="U51" s="6" t="s">
        <v>179</v>
      </c>
      <c r="V51" s="3" t="s">
        <v>4</v>
      </c>
      <c r="W51" s="3" t="s">
        <v>102</v>
      </c>
    </row>
    <row r="52" ht="15.75" customHeight="1">
      <c r="A52" s="6" t="s">
        <v>1180</v>
      </c>
      <c r="B52" s="3" t="s">
        <v>1181</v>
      </c>
      <c r="C52" s="7">
        <v>29592.0</v>
      </c>
      <c r="D52" s="3" t="s">
        <v>63</v>
      </c>
      <c r="E52" s="3">
        <v>45.0</v>
      </c>
      <c r="F52" s="3" t="s">
        <v>70</v>
      </c>
      <c r="G52" s="6" t="s">
        <v>1184</v>
      </c>
      <c r="H52" s="3" t="s">
        <v>1185</v>
      </c>
      <c r="I52" s="3" t="s">
        <v>1188</v>
      </c>
      <c r="J52" s="3" t="s">
        <v>251</v>
      </c>
      <c r="K52" s="3" t="s">
        <v>251</v>
      </c>
      <c r="L52" s="3"/>
      <c r="M52" s="3" t="s">
        <v>88</v>
      </c>
      <c r="N52" s="6" t="s">
        <v>1194</v>
      </c>
      <c r="O52" s="3" t="s">
        <v>63</v>
      </c>
      <c r="P52" s="3" t="s">
        <v>90</v>
      </c>
      <c r="Q52" s="3"/>
      <c r="R52" s="3" t="s">
        <v>258</v>
      </c>
      <c r="S52" s="7">
        <v>38592.0</v>
      </c>
      <c r="T52" s="3" t="s">
        <v>63</v>
      </c>
      <c r="U52" s="6" t="s">
        <v>221</v>
      </c>
      <c r="V52" s="3" t="s">
        <v>4</v>
      </c>
      <c r="W52" s="3" t="s">
        <v>102</v>
      </c>
    </row>
    <row r="53" ht="15.75" customHeight="1">
      <c r="A53" s="6" t="s">
        <v>1202</v>
      </c>
      <c r="B53" s="3" t="s">
        <v>1203</v>
      </c>
      <c r="C53" s="7">
        <v>33272.0</v>
      </c>
      <c r="D53" s="3" t="s">
        <v>63</v>
      </c>
      <c r="E53" s="3">
        <v>35.0</v>
      </c>
      <c r="F53" s="3" t="s">
        <v>183</v>
      </c>
      <c r="G53" s="3"/>
      <c r="H53" s="3" t="s">
        <v>1211</v>
      </c>
      <c r="I53" s="3" t="s">
        <v>1212</v>
      </c>
      <c r="J53" s="3" t="s">
        <v>85</v>
      </c>
      <c r="K53" s="3" t="s">
        <v>67</v>
      </c>
      <c r="L53" s="6" t="s">
        <v>1213</v>
      </c>
      <c r="M53" s="3" t="s">
        <v>63</v>
      </c>
      <c r="N53" s="6" t="s">
        <v>1215</v>
      </c>
      <c r="O53" s="3" t="s">
        <v>63</v>
      </c>
      <c r="P53" s="3" t="s">
        <v>90</v>
      </c>
      <c r="Q53" s="3"/>
      <c r="R53" s="3" t="s">
        <v>258</v>
      </c>
      <c r="S53" s="7">
        <v>38874.0</v>
      </c>
      <c r="T53" s="3" t="s">
        <v>63</v>
      </c>
      <c r="U53" s="6" t="s">
        <v>80</v>
      </c>
      <c r="V53" s="3" t="s">
        <v>4</v>
      </c>
      <c r="W53" s="3" t="s">
        <v>102</v>
      </c>
    </row>
    <row r="54" ht="15.75" customHeight="1">
      <c r="A54" s="6" t="s">
        <v>586</v>
      </c>
      <c r="B54" s="3" t="s">
        <v>1225</v>
      </c>
      <c r="C54" s="7">
        <v>38046.0</v>
      </c>
      <c r="D54" s="3" t="s">
        <v>63</v>
      </c>
      <c r="E54" s="3">
        <v>22.0</v>
      </c>
      <c r="F54" s="3" t="s">
        <v>70</v>
      </c>
      <c r="G54" s="6" t="s">
        <v>1228</v>
      </c>
      <c r="H54" s="3" t="s">
        <v>1229</v>
      </c>
      <c r="I54" s="3" t="s">
        <v>1230</v>
      </c>
      <c r="J54" s="3" t="s">
        <v>79</v>
      </c>
      <c r="K54" s="3" t="s">
        <v>81</v>
      </c>
      <c r="L54" s="6" t="s">
        <v>1234</v>
      </c>
      <c r="M54" s="3" t="s">
        <v>63</v>
      </c>
      <c r="N54" s="6" t="s">
        <v>1238</v>
      </c>
      <c r="O54" s="3" t="s">
        <v>63</v>
      </c>
      <c r="P54" s="3" t="s">
        <v>202</v>
      </c>
      <c r="Q54" s="3"/>
      <c r="R54" s="3" t="s">
        <v>258</v>
      </c>
      <c r="S54" s="7">
        <v>43603.0</v>
      </c>
      <c r="T54" s="3" t="s">
        <v>63</v>
      </c>
      <c r="U54" s="6" t="s">
        <v>284</v>
      </c>
      <c r="V54" s="3" t="s">
        <v>4</v>
      </c>
      <c r="W54" s="3" t="s">
        <v>102</v>
      </c>
    </row>
    <row r="55" ht="15.75" customHeight="1">
      <c r="A55" s="6" t="s">
        <v>1246</v>
      </c>
      <c r="B55" s="3" t="s">
        <v>1249</v>
      </c>
      <c r="C55" s="7">
        <v>37630.0</v>
      </c>
      <c r="D55" s="3" t="s">
        <v>63</v>
      </c>
      <c r="E55" s="3">
        <v>23.0</v>
      </c>
      <c r="F55" s="3" t="s">
        <v>70</v>
      </c>
      <c r="G55" s="6" t="s">
        <v>1253</v>
      </c>
      <c r="H55" s="3" t="s">
        <v>1254</v>
      </c>
      <c r="I55" s="3" t="s">
        <v>1256</v>
      </c>
      <c r="J55" s="3" t="s">
        <v>282</v>
      </c>
      <c r="K55" s="3" t="s">
        <v>229</v>
      </c>
      <c r="L55" s="6" t="s">
        <v>1260</v>
      </c>
      <c r="M55" s="3" t="s">
        <v>63</v>
      </c>
      <c r="N55" s="6" t="s">
        <v>1261</v>
      </c>
      <c r="O55" s="3" t="s">
        <v>63</v>
      </c>
      <c r="P55" s="3" t="s">
        <v>372</v>
      </c>
      <c r="Q55" s="3"/>
      <c r="R55" s="3" t="s">
        <v>258</v>
      </c>
      <c r="S55" s="7">
        <v>41422.0</v>
      </c>
      <c r="T55" s="3" t="s">
        <v>63</v>
      </c>
      <c r="U55" s="6" t="s">
        <v>277</v>
      </c>
      <c r="V55" s="3" t="s">
        <v>4</v>
      </c>
      <c r="W55" s="3" t="s">
        <v>378</v>
      </c>
    </row>
    <row r="56" ht="15.75" customHeight="1">
      <c r="A56" s="6" t="s">
        <v>1272</v>
      </c>
      <c r="B56" s="3" t="s">
        <v>1273</v>
      </c>
      <c r="C56" s="7">
        <v>25642.0</v>
      </c>
      <c r="D56" s="3" t="s">
        <v>63</v>
      </c>
      <c r="E56" s="3">
        <v>56.0</v>
      </c>
      <c r="F56" s="3" t="s">
        <v>183</v>
      </c>
      <c r="G56" s="6" t="s">
        <v>1277</v>
      </c>
      <c r="H56" s="3"/>
      <c r="I56" s="3" t="s">
        <v>1280</v>
      </c>
      <c r="J56" s="3" t="s">
        <v>337</v>
      </c>
      <c r="K56" s="3" t="s">
        <v>137</v>
      </c>
      <c r="L56" s="6" t="s">
        <v>1284</v>
      </c>
      <c r="M56" s="3" t="s">
        <v>63</v>
      </c>
      <c r="N56" s="6" t="s">
        <v>1288</v>
      </c>
      <c r="O56" s="3" t="s">
        <v>63</v>
      </c>
      <c r="P56" s="3" t="s">
        <v>127</v>
      </c>
      <c r="Q56" s="3"/>
      <c r="R56" s="3" t="s">
        <v>258</v>
      </c>
      <c r="S56" s="7">
        <v>45349.0</v>
      </c>
      <c r="T56" s="3" t="s">
        <v>63</v>
      </c>
      <c r="U56" s="6" t="s">
        <v>401</v>
      </c>
      <c r="V56" s="3" t="s">
        <v>4</v>
      </c>
      <c r="W56" s="3" t="s">
        <v>102</v>
      </c>
    </row>
    <row r="57" ht="15.75" customHeight="1">
      <c r="A57" s="6" t="s">
        <v>1292</v>
      </c>
      <c r="B57" s="3" t="s">
        <v>1294</v>
      </c>
      <c r="C57" s="7">
        <v>33167.0</v>
      </c>
      <c r="D57" s="3" t="s">
        <v>63</v>
      </c>
      <c r="E57" s="3">
        <v>35.0</v>
      </c>
      <c r="F57" s="3" t="s">
        <v>183</v>
      </c>
      <c r="G57" s="6" t="s">
        <v>1298</v>
      </c>
      <c r="H57" s="3" t="s">
        <v>1299</v>
      </c>
      <c r="I57" s="3" t="s">
        <v>1301</v>
      </c>
      <c r="J57" s="3" t="s">
        <v>358</v>
      </c>
      <c r="K57" s="3" t="s">
        <v>360</v>
      </c>
      <c r="L57" s="6" t="s">
        <v>1306</v>
      </c>
      <c r="M57" s="3" t="s">
        <v>63</v>
      </c>
      <c r="N57" s="6" t="s">
        <v>1308</v>
      </c>
      <c r="O57" s="3" t="s">
        <v>63</v>
      </c>
      <c r="P57" s="3" t="s">
        <v>160</v>
      </c>
      <c r="Q57" s="8">
        <v>483031.0</v>
      </c>
      <c r="R57" s="3" t="s">
        <v>93</v>
      </c>
      <c r="S57" s="7">
        <v>44332.0</v>
      </c>
      <c r="T57" s="3" t="s">
        <v>63</v>
      </c>
      <c r="U57" s="6" t="s">
        <v>171</v>
      </c>
      <c r="V57" s="3" t="s">
        <v>4</v>
      </c>
      <c r="W57" s="3" t="s">
        <v>102</v>
      </c>
    </row>
    <row r="58" ht="15.75" customHeight="1">
      <c r="A58" s="6" t="s">
        <v>1317</v>
      </c>
      <c r="B58" s="3" t="s">
        <v>1318</v>
      </c>
      <c r="C58" s="7">
        <v>31889.0</v>
      </c>
      <c r="D58" s="3" t="s">
        <v>63</v>
      </c>
      <c r="E58" s="3">
        <v>39.0</v>
      </c>
      <c r="F58" s="3" t="s">
        <v>70</v>
      </c>
      <c r="G58" s="6" t="s">
        <v>1322</v>
      </c>
      <c r="H58" s="3" t="s">
        <v>1323</v>
      </c>
      <c r="I58" s="3" t="s">
        <v>1325</v>
      </c>
      <c r="J58" s="3" t="s">
        <v>65</v>
      </c>
      <c r="K58" s="3" t="s">
        <v>67</v>
      </c>
      <c r="L58" s="6" t="s">
        <v>1327</v>
      </c>
      <c r="M58" s="3" t="s">
        <v>63</v>
      </c>
      <c r="N58" s="6" t="s">
        <v>1328</v>
      </c>
      <c r="O58" s="3" t="s">
        <v>63</v>
      </c>
      <c r="P58" s="3" t="s">
        <v>90</v>
      </c>
      <c r="Q58" s="8">
        <v>2404137.0</v>
      </c>
      <c r="R58" s="3" t="s">
        <v>93</v>
      </c>
      <c r="S58" s="7">
        <v>43804.0</v>
      </c>
      <c r="T58" s="3" t="s">
        <v>63</v>
      </c>
      <c r="U58" s="6" t="s">
        <v>136</v>
      </c>
      <c r="V58" s="3" t="s">
        <v>4</v>
      </c>
      <c r="W58" s="3" t="s">
        <v>102</v>
      </c>
    </row>
    <row r="59" ht="15.75" customHeight="1">
      <c r="A59" s="6" t="s">
        <v>1335</v>
      </c>
      <c r="B59" s="3" t="s">
        <v>1336</v>
      </c>
      <c r="C59" s="7">
        <v>21086.0</v>
      </c>
      <c r="D59" s="3" t="s">
        <v>63</v>
      </c>
      <c r="E59" s="3">
        <v>68.0</v>
      </c>
      <c r="F59" s="3" t="s">
        <v>183</v>
      </c>
      <c r="G59" s="6" t="s">
        <v>1342</v>
      </c>
      <c r="H59" s="3" t="s">
        <v>1343</v>
      </c>
      <c r="I59" s="3" t="s">
        <v>1345</v>
      </c>
      <c r="J59" s="3" t="s">
        <v>358</v>
      </c>
      <c r="K59" s="3" t="s">
        <v>360</v>
      </c>
      <c r="L59" s="6" t="s">
        <v>1350</v>
      </c>
      <c r="M59" s="3" t="s">
        <v>63</v>
      </c>
      <c r="N59" s="6" t="s">
        <v>1353</v>
      </c>
      <c r="O59" s="3" t="s">
        <v>63</v>
      </c>
      <c r="P59" s="3" t="s">
        <v>372</v>
      </c>
      <c r="Q59" s="3"/>
      <c r="R59" s="3" t="s">
        <v>258</v>
      </c>
      <c r="S59" s="7">
        <v>45110.0</v>
      </c>
      <c r="T59" s="3" t="s">
        <v>63</v>
      </c>
      <c r="U59" s="6" t="s">
        <v>92</v>
      </c>
      <c r="V59" s="3" t="s">
        <v>237</v>
      </c>
      <c r="W59" s="3" t="s">
        <v>102</v>
      </c>
    </row>
    <row r="60" ht="15.75" customHeight="1">
      <c r="A60" s="6" t="s">
        <v>993</v>
      </c>
      <c r="B60" s="3" t="s">
        <v>1360</v>
      </c>
      <c r="C60" s="7">
        <v>34580.0</v>
      </c>
      <c r="D60" s="3" t="s">
        <v>63</v>
      </c>
      <c r="E60" s="3">
        <v>31.0</v>
      </c>
      <c r="F60" s="3" t="s">
        <v>70</v>
      </c>
      <c r="G60" s="6" t="s">
        <v>1365</v>
      </c>
      <c r="H60" s="3" t="s">
        <v>1367</v>
      </c>
      <c r="I60" s="3" t="s">
        <v>1368</v>
      </c>
      <c r="J60" s="3" t="s">
        <v>349</v>
      </c>
      <c r="K60" s="3" t="s">
        <v>45</v>
      </c>
      <c r="L60" s="6" t="s">
        <v>1370</v>
      </c>
      <c r="M60" s="3" t="s">
        <v>63</v>
      </c>
      <c r="N60" s="6" t="s">
        <v>1373</v>
      </c>
      <c r="O60" s="3" t="s">
        <v>63</v>
      </c>
      <c r="P60" s="3" t="s">
        <v>372</v>
      </c>
      <c r="Q60" s="3"/>
      <c r="R60" s="3" t="s">
        <v>258</v>
      </c>
      <c r="S60" s="7">
        <v>45757.0</v>
      </c>
      <c r="T60" s="3" t="s">
        <v>63</v>
      </c>
      <c r="U60" s="6" t="s">
        <v>266</v>
      </c>
      <c r="V60" s="3" t="s">
        <v>4</v>
      </c>
      <c r="W60" s="3" t="s">
        <v>102</v>
      </c>
    </row>
    <row r="61" ht="15.75" customHeight="1">
      <c r="A61" s="6" t="s">
        <v>1388</v>
      </c>
      <c r="B61" s="3" t="s">
        <v>1391</v>
      </c>
      <c r="C61" s="7">
        <v>30924.0</v>
      </c>
      <c r="D61" s="3" t="s">
        <v>63</v>
      </c>
      <c r="E61" s="3">
        <v>41.0</v>
      </c>
      <c r="F61" s="3" t="s">
        <v>183</v>
      </c>
      <c r="G61" s="6" t="s">
        <v>1399</v>
      </c>
      <c r="H61" s="3" t="s">
        <v>1400</v>
      </c>
      <c r="I61" s="3" t="s">
        <v>1401</v>
      </c>
      <c r="J61" s="3" t="s">
        <v>190</v>
      </c>
      <c r="K61" s="3" t="s">
        <v>193</v>
      </c>
      <c r="L61" s="3"/>
      <c r="M61" s="3" t="s">
        <v>88</v>
      </c>
      <c r="N61" s="6" t="s">
        <v>1407</v>
      </c>
      <c r="O61" s="3" t="s">
        <v>63</v>
      </c>
      <c r="P61" s="3" t="s">
        <v>324</v>
      </c>
      <c r="Q61" s="8">
        <v>932963.0</v>
      </c>
      <c r="R61" s="3" t="s">
        <v>93</v>
      </c>
      <c r="S61" s="7">
        <v>38694.0</v>
      </c>
      <c r="T61" s="3" t="s">
        <v>63</v>
      </c>
      <c r="U61" s="6" t="s">
        <v>311</v>
      </c>
      <c r="V61" s="3" t="s">
        <v>4</v>
      </c>
      <c r="W61" s="3" t="s">
        <v>102</v>
      </c>
    </row>
    <row r="62" ht="15.75" customHeight="1">
      <c r="A62" s="6" t="s">
        <v>1417</v>
      </c>
      <c r="B62" s="3" t="s">
        <v>1418</v>
      </c>
      <c r="C62" s="7">
        <v>37607.0</v>
      </c>
      <c r="D62" s="3" t="s">
        <v>63</v>
      </c>
      <c r="E62" s="3">
        <v>23.0</v>
      </c>
      <c r="F62" s="3" t="s">
        <v>70</v>
      </c>
      <c r="G62" s="6" t="s">
        <v>1421</v>
      </c>
      <c r="H62" s="3" t="s">
        <v>1423</v>
      </c>
      <c r="I62" s="3" t="s">
        <v>1425</v>
      </c>
      <c r="J62" s="3" t="s">
        <v>85</v>
      </c>
      <c r="K62" s="3" t="s">
        <v>67</v>
      </c>
      <c r="L62" s="6" t="s">
        <v>1427</v>
      </c>
      <c r="M62" s="3" t="s">
        <v>63</v>
      </c>
      <c r="N62" s="6" t="s">
        <v>1429</v>
      </c>
      <c r="O62" s="3" t="s">
        <v>63</v>
      </c>
      <c r="P62" s="3" t="s">
        <v>160</v>
      </c>
      <c r="Q62" s="3"/>
      <c r="R62" s="3" t="s">
        <v>258</v>
      </c>
      <c r="S62" s="7">
        <v>41720.0</v>
      </c>
      <c r="T62" s="3" t="s">
        <v>63</v>
      </c>
      <c r="U62" s="6" t="s">
        <v>266</v>
      </c>
      <c r="V62" s="3" t="s">
        <v>4</v>
      </c>
      <c r="W62" s="3" t="s">
        <v>102</v>
      </c>
    </row>
    <row r="63" ht="15.75" customHeight="1">
      <c r="A63" s="6" t="s">
        <v>1438</v>
      </c>
      <c r="B63" s="3" t="s">
        <v>1439</v>
      </c>
      <c r="C63" s="7">
        <v>38625.0</v>
      </c>
      <c r="D63" s="3" t="s">
        <v>63</v>
      </c>
      <c r="E63" s="3">
        <v>20.0</v>
      </c>
      <c r="F63" s="3" t="s">
        <v>70</v>
      </c>
      <c r="G63" s="6" t="s">
        <v>1446</v>
      </c>
      <c r="H63" s="3" t="s">
        <v>1447</v>
      </c>
      <c r="I63" s="3" t="s">
        <v>1449</v>
      </c>
      <c r="J63" s="3" t="s">
        <v>327</v>
      </c>
      <c r="K63" s="3" t="s">
        <v>169</v>
      </c>
      <c r="L63" s="6" t="s">
        <v>1450</v>
      </c>
      <c r="M63" s="3" t="s">
        <v>63</v>
      </c>
      <c r="N63" s="6" t="s">
        <v>1452</v>
      </c>
      <c r="O63" s="3" t="s">
        <v>63</v>
      </c>
      <c r="P63" s="3" t="s">
        <v>324</v>
      </c>
      <c r="Q63" s="3"/>
      <c r="R63" s="3" t="s">
        <v>258</v>
      </c>
      <c r="S63" s="7">
        <v>40624.0</v>
      </c>
      <c r="T63" s="3" t="s">
        <v>63</v>
      </c>
      <c r="U63" s="6" t="s">
        <v>97</v>
      </c>
      <c r="V63" s="3" t="s">
        <v>4</v>
      </c>
      <c r="W63" s="3" t="s">
        <v>102</v>
      </c>
    </row>
    <row r="64" ht="15.75" customHeight="1">
      <c r="A64" s="6" t="s">
        <v>1463</v>
      </c>
      <c r="B64" s="3" t="s">
        <v>1464</v>
      </c>
      <c r="C64" s="7">
        <v>21744.0</v>
      </c>
      <c r="D64" s="3" t="s">
        <v>63</v>
      </c>
      <c r="E64" s="3">
        <v>67.0</v>
      </c>
      <c r="F64" s="3" t="s">
        <v>183</v>
      </c>
      <c r="G64" s="6" t="s">
        <v>1467</v>
      </c>
      <c r="H64" s="3" t="s">
        <v>1469</v>
      </c>
      <c r="I64" s="3" t="s">
        <v>1471</v>
      </c>
      <c r="J64" s="3" t="s">
        <v>305</v>
      </c>
      <c r="K64" s="3" t="s">
        <v>193</v>
      </c>
      <c r="L64" s="6" t="s">
        <v>1475</v>
      </c>
      <c r="M64" s="3" t="s">
        <v>63</v>
      </c>
      <c r="N64" s="6" t="s">
        <v>1477</v>
      </c>
      <c r="O64" s="3" t="s">
        <v>63</v>
      </c>
      <c r="P64" s="3" t="s">
        <v>372</v>
      </c>
      <c r="Q64" s="3"/>
      <c r="R64" s="3" t="s">
        <v>258</v>
      </c>
      <c r="S64" s="7">
        <v>42014.0</v>
      </c>
      <c r="T64" s="3" t="s">
        <v>63</v>
      </c>
      <c r="U64" s="6" t="s">
        <v>401</v>
      </c>
      <c r="V64" s="3" t="s">
        <v>4</v>
      </c>
      <c r="W64" s="3" t="s">
        <v>102</v>
      </c>
    </row>
    <row r="65" ht="15.75" customHeight="1">
      <c r="A65" s="6" t="s">
        <v>579</v>
      </c>
      <c r="B65" s="3" t="s">
        <v>1480</v>
      </c>
      <c r="C65" s="7">
        <v>38499.0</v>
      </c>
      <c r="D65" s="3" t="s">
        <v>63</v>
      </c>
      <c r="E65" s="3">
        <v>21.0</v>
      </c>
      <c r="F65" s="3" t="s">
        <v>70</v>
      </c>
      <c r="G65" s="6" t="s">
        <v>1488</v>
      </c>
      <c r="H65" s="3" t="s">
        <v>1489</v>
      </c>
      <c r="I65" s="3" t="s">
        <v>1490</v>
      </c>
      <c r="J65" s="3" t="s">
        <v>327</v>
      </c>
      <c r="K65" s="3" t="s">
        <v>169</v>
      </c>
      <c r="L65" s="6" t="s">
        <v>580</v>
      </c>
      <c r="M65" s="3" t="s">
        <v>63</v>
      </c>
      <c r="N65" s="6" t="s">
        <v>581</v>
      </c>
      <c r="O65" s="3" t="s">
        <v>63</v>
      </c>
      <c r="P65" s="3" t="s">
        <v>324</v>
      </c>
      <c r="Q65" s="8">
        <v>968055.0</v>
      </c>
      <c r="R65" s="3" t="s">
        <v>93</v>
      </c>
      <c r="S65" s="7">
        <v>38369.0</v>
      </c>
      <c r="T65" s="3" t="s">
        <v>1178</v>
      </c>
      <c r="U65" s="6" t="s">
        <v>266</v>
      </c>
      <c r="V65" s="3" t="s">
        <v>4</v>
      </c>
      <c r="W65" s="3" t="s">
        <v>102</v>
      </c>
    </row>
    <row r="66" ht="15.75" customHeight="1">
      <c r="A66" s="6" t="s">
        <v>1500</v>
      </c>
      <c r="B66" s="3" t="s">
        <v>1502</v>
      </c>
      <c r="C66" s="7">
        <v>33960.0</v>
      </c>
      <c r="D66" s="3" t="s">
        <v>63</v>
      </c>
      <c r="E66" s="3">
        <v>33.0</v>
      </c>
      <c r="F66" s="3" t="s">
        <v>70</v>
      </c>
      <c r="G66" s="6" t="s">
        <v>1505</v>
      </c>
      <c r="H66" s="3" t="s">
        <v>1507</v>
      </c>
      <c r="I66" s="3" t="s">
        <v>1509</v>
      </c>
      <c r="J66" s="3" t="s">
        <v>119</v>
      </c>
      <c r="K66" s="3" t="s">
        <v>121</v>
      </c>
      <c r="L66" s="6" t="s">
        <v>1512</v>
      </c>
      <c r="M66" s="3" t="s">
        <v>63</v>
      </c>
      <c r="N66" s="3"/>
      <c r="O66" s="3" t="s">
        <v>88</v>
      </c>
      <c r="P66" s="3" t="s">
        <v>160</v>
      </c>
      <c r="Q66" s="8">
        <v>1328602.0</v>
      </c>
      <c r="R66" s="3" t="s">
        <v>93</v>
      </c>
      <c r="S66" s="7">
        <v>45940.0</v>
      </c>
      <c r="T66" s="3" t="s">
        <v>63</v>
      </c>
      <c r="U66" s="6" t="s">
        <v>197</v>
      </c>
      <c r="V66" s="3" t="s">
        <v>4</v>
      </c>
      <c r="W66" s="3" t="s">
        <v>102</v>
      </c>
    </row>
    <row r="67" ht="15.75" customHeight="1">
      <c r="A67" s="6" t="s">
        <v>981</v>
      </c>
      <c r="B67" s="3" t="s">
        <v>1522</v>
      </c>
      <c r="C67" s="7">
        <v>22481.0</v>
      </c>
      <c r="D67" s="3" t="s">
        <v>63</v>
      </c>
      <c r="E67" s="3">
        <v>65.0</v>
      </c>
      <c r="F67" s="3" t="s">
        <v>70</v>
      </c>
      <c r="G67" s="6" t="s">
        <v>1524</v>
      </c>
      <c r="H67" s="3" t="s">
        <v>1526</v>
      </c>
      <c r="I67" s="3" t="s">
        <v>1528</v>
      </c>
      <c r="J67" s="3" t="s">
        <v>271</v>
      </c>
      <c r="K67" s="3" t="s">
        <v>273</v>
      </c>
      <c r="L67" s="6" t="s">
        <v>982</v>
      </c>
      <c r="M67" s="3" t="s">
        <v>63</v>
      </c>
      <c r="N67" s="6" t="s">
        <v>985</v>
      </c>
      <c r="O67" s="3" t="s">
        <v>63</v>
      </c>
      <c r="P67" s="3" t="s">
        <v>464</v>
      </c>
      <c r="Q67" s="3"/>
      <c r="R67" s="3" t="s">
        <v>258</v>
      </c>
      <c r="S67" s="7">
        <v>43838.0</v>
      </c>
      <c r="T67" s="3" t="s">
        <v>63</v>
      </c>
      <c r="U67" s="6" t="s">
        <v>129</v>
      </c>
      <c r="V67" s="3" t="s">
        <v>4</v>
      </c>
      <c r="W67" s="3" t="s">
        <v>102</v>
      </c>
    </row>
    <row r="68" ht="15.75" customHeight="1">
      <c r="A68" s="6" t="s">
        <v>1536</v>
      </c>
      <c r="B68" s="3" t="s">
        <v>1537</v>
      </c>
      <c r="C68" s="7">
        <v>28629.0</v>
      </c>
      <c r="D68" s="3" t="s">
        <v>63</v>
      </c>
      <c r="E68" s="3">
        <v>48.0</v>
      </c>
      <c r="F68" s="3" t="s">
        <v>70</v>
      </c>
      <c r="G68" s="6" t="s">
        <v>1538</v>
      </c>
      <c r="H68" s="3" t="s">
        <v>1539</v>
      </c>
      <c r="I68" s="3" t="s">
        <v>1540</v>
      </c>
      <c r="J68" s="3" t="s">
        <v>167</v>
      </c>
      <c r="K68" s="3" t="s">
        <v>169</v>
      </c>
      <c r="L68" s="6" t="s">
        <v>1543</v>
      </c>
      <c r="M68" s="3" t="s">
        <v>63</v>
      </c>
      <c r="N68" s="6" t="s">
        <v>1544</v>
      </c>
      <c r="O68" s="3" t="s">
        <v>63</v>
      </c>
      <c r="P68" s="3" t="s">
        <v>372</v>
      </c>
      <c r="Q68" s="3"/>
      <c r="R68" s="3" t="s">
        <v>258</v>
      </c>
      <c r="S68" s="7">
        <v>38485.0</v>
      </c>
      <c r="T68" s="3" t="s">
        <v>63</v>
      </c>
      <c r="U68" s="6" t="s">
        <v>171</v>
      </c>
      <c r="V68" s="3" t="s">
        <v>4</v>
      </c>
      <c r="W68" s="3" t="s">
        <v>102</v>
      </c>
    </row>
    <row r="69" ht="15.75" customHeight="1">
      <c r="A69" s="6" t="s">
        <v>1547</v>
      </c>
      <c r="B69" s="3" t="s">
        <v>1548</v>
      </c>
      <c r="C69" s="7">
        <v>34324.0</v>
      </c>
      <c r="D69" s="3" t="s">
        <v>63</v>
      </c>
      <c r="E69" s="3">
        <v>32.0</v>
      </c>
      <c r="F69" s="3" t="s">
        <v>70</v>
      </c>
      <c r="G69" s="6" t="s">
        <v>1549</v>
      </c>
      <c r="H69" s="3" t="s">
        <v>1551</v>
      </c>
      <c r="I69" s="3" t="s">
        <v>1553</v>
      </c>
      <c r="J69" s="3" t="s">
        <v>190</v>
      </c>
      <c r="K69" s="3" t="s">
        <v>193</v>
      </c>
      <c r="L69" s="6" t="s">
        <v>1557</v>
      </c>
      <c r="M69" s="3" t="s">
        <v>63</v>
      </c>
      <c r="N69" s="6" t="s">
        <v>1560</v>
      </c>
      <c r="O69" s="3" t="s">
        <v>63</v>
      </c>
      <c r="P69" s="3" t="s">
        <v>324</v>
      </c>
      <c r="Q69" s="3"/>
      <c r="R69" s="3" t="s">
        <v>258</v>
      </c>
      <c r="S69" s="7">
        <v>45378.0</v>
      </c>
      <c r="T69" s="3" t="s">
        <v>63</v>
      </c>
      <c r="U69" s="6" t="s">
        <v>109</v>
      </c>
      <c r="V69" s="3" t="s">
        <v>4</v>
      </c>
      <c r="W69" s="3" t="s">
        <v>102</v>
      </c>
    </row>
    <row r="70" ht="15.75" customHeight="1">
      <c r="A70" s="6" t="s">
        <v>1564</v>
      </c>
      <c r="B70" s="3" t="s">
        <v>1566</v>
      </c>
      <c r="C70" s="7">
        <v>22386.0</v>
      </c>
      <c r="D70" s="3" t="s">
        <v>63</v>
      </c>
      <c r="E70" s="3">
        <v>65.0</v>
      </c>
      <c r="F70" s="3" t="s">
        <v>70</v>
      </c>
      <c r="G70" s="6" t="s">
        <v>1567</v>
      </c>
      <c r="H70" s="3" t="s">
        <v>1568</v>
      </c>
      <c r="I70" s="3" t="s">
        <v>1569</v>
      </c>
      <c r="J70" s="3" t="s">
        <v>43</v>
      </c>
      <c r="K70" s="3" t="s">
        <v>45</v>
      </c>
      <c r="L70" s="6" t="s">
        <v>1574</v>
      </c>
      <c r="M70" s="3" t="s">
        <v>63</v>
      </c>
      <c r="N70" s="6" t="s">
        <v>1578</v>
      </c>
      <c r="O70" s="3" t="s">
        <v>63</v>
      </c>
      <c r="P70" s="3" t="s">
        <v>372</v>
      </c>
      <c r="Q70" s="8">
        <v>1587647.0</v>
      </c>
      <c r="R70" s="3" t="s">
        <v>93</v>
      </c>
      <c r="S70" s="7">
        <v>43658.0</v>
      </c>
      <c r="T70" s="3" t="s">
        <v>63</v>
      </c>
      <c r="U70" s="6" t="s">
        <v>146</v>
      </c>
      <c r="V70" s="3" t="s">
        <v>4</v>
      </c>
      <c r="W70" s="3" t="s">
        <v>102</v>
      </c>
    </row>
    <row r="71" ht="15.75" customHeight="1">
      <c r="A71" s="6" t="s">
        <v>1581</v>
      </c>
      <c r="B71" s="3" t="s">
        <v>1582</v>
      </c>
      <c r="C71" s="7">
        <v>35188.0</v>
      </c>
      <c r="D71" s="3" t="s">
        <v>63</v>
      </c>
      <c r="E71" s="3">
        <v>30.0</v>
      </c>
      <c r="F71" s="3" t="s">
        <v>183</v>
      </c>
      <c r="G71" s="6" t="s">
        <v>1585</v>
      </c>
      <c r="H71" s="3" t="s">
        <v>1587</v>
      </c>
      <c r="I71" s="3" t="s">
        <v>1589</v>
      </c>
      <c r="J71" s="3" t="s">
        <v>43</v>
      </c>
      <c r="K71" s="3" t="s">
        <v>45</v>
      </c>
      <c r="L71" s="6" t="s">
        <v>1592</v>
      </c>
      <c r="M71" s="3" t="s">
        <v>63</v>
      </c>
      <c r="N71" s="6" t="s">
        <v>1595</v>
      </c>
      <c r="O71" s="3" t="s">
        <v>63</v>
      </c>
      <c r="P71" s="3" t="s">
        <v>372</v>
      </c>
      <c r="Q71" s="3"/>
      <c r="R71" s="3" t="s">
        <v>258</v>
      </c>
      <c r="S71" s="7">
        <v>41847.0</v>
      </c>
      <c r="T71" s="3" t="s">
        <v>63</v>
      </c>
      <c r="U71" s="6" t="s">
        <v>385</v>
      </c>
      <c r="V71" s="3" t="s">
        <v>4</v>
      </c>
      <c r="W71" s="3" t="s">
        <v>102</v>
      </c>
    </row>
    <row r="72" ht="15.75" customHeight="1">
      <c r="A72" s="6" t="s">
        <v>1602</v>
      </c>
      <c r="B72" s="3" t="s">
        <v>1604</v>
      </c>
      <c r="C72" s="7">
        <v>22591.0</v>
      </c>
      <c r="D72" s="3" t="s">
        <v>63</v>
      </c>
      <c r="E72" s="3">
        <v>64.0</v>
      </c>
      <c r="F72" s="3" t="s">
        <v>183</v>
      </c>
      <c r="G72" s="6" t="s">
        <v>1607</v>
      </c>
      <c r="H72" s="3" t="s">
        <v>1608</v>
      </c>
      <c r="I72" s="3" t="s">
        <v>1609</v>
      </c>
      <c r="J72" s="3" t="s">
        <v>337</v>
      </c>
      <c r="K72" s="3" t="s">
        <v>137</v>
      </c>
      <c r="L72" s="6" t="s">
        <v>1612</v>
      </c>
      <c r="M72" s="3" t="s">
        <v>63</v>
      </c>
      <c r="N72" s="6" t="s">
        <v>1615</v>
      </c>
      <c r="O72" s="3" t="s">
        <v>63</v>
      </c>
      <c r="P72" s="3" t="s">
        <v>324</v>
      </c>
      <c r="Q72" s="3"/>
      <c r="R72" s="3" t="s">
        <v>258</v>
      </c>
      <c r="S72" s="7">
        <v>39959.0</v>
      </c>
      <c r="T72" s="3" t="s">
        <v>63</v>
      </c>
      <c r="U72" s="6" t="s">
        <v>80</v>
      </c>
      <c r="V72" s="3" t="s">
        <v>4</v>
      </c>
      <c r="W72" s="3" t="s">
        <v>102</v>
      </c>
    </row>
    <row r="73" ht="15.75" customHeight="1">
      <c r="A73" s="6" t="s">
        <v>543</v>
      </c>
      <c r="B73" s="3" t="s">
        <v>1619</v>
      </c>
      <c r="C73" s="7">
        <v>38298.0</v>
      </c>
      <c r="D73" s="3" t="s">
        <v>63</v>
      </c>
      <c r="E73" s="3">
        <v>21.0</v>
      </c>
      <c r="F73" s="3" t="s">
        <v>70</v>
      </c>
      <c r="G73" s="6" t="s">
        <v>1623</v>
      </c>
      <c r="H73" s="3" t="s">
        <v>1624</v>
      </c>
      <c r="I73" s="3" t="s">
        <v>1625</v>
      </c>
      <c r="J73" s="3" t="s">
        <v>114</v>
      </c>
      <c r="K73" s="3" t="s">
        <v>118</v>
      </c>
      <c r="L73" s="6" t="s">
        <v>545</v>
      </c>
      <c r="M73" s="3" t="s">
        <v>63</v>
      </c>
      <c r="N73" s="6" t="s">
        <v>547</v>
      </c>
      <c r="O73" s="3" t="s">
        <v>63</v>
      </c>
      <c r="P73" s="3" t="s">
        <v>160</v>
      </c>
      <c r="Q73" s="8">
        <v>2129608.0</v>
      </c>
      <c r="R73" s="3" t="s">
        <v>93</v>
      </c>
      <c r="S73" s="7">
        <v>39659.0</v>
      </c>
      <c r="T73" s="3" t="s">
        <v>63</v>
      </c>
      <c r="U73" s="6" t="s">
        <v>266</v>
      </c>
      <c r="V73" s="3" t="s">
        <v>4</v>
      </c>
      <c r="W73" s="3" t="s">
        <v>102</v>
      </c>
    </row>
    <row r="74" ht="15.75" customHeight="1">
      <c r="A74" s="6" t="s">
        <v>1632</v>
      </c>
      <c r="B74" s="3" t="s">
        <v>1634</v>
      </c>
      <c r="C74" s="7">
        <v>24859.0</v>
      </c>
      <c r="D74" s="3" t="s">
        <v>63</v>
      </c>
      <c r="E74" s="3">
        <v>58.0</v>
      </c>
      <c r="F74" s="3" t="s">
        <v>70</v>
      </c>
      <c r="G74" s="6" t="s">
        <v>1639</v>
      </c>
      <c r="H74" s="3" t="s">
        <v>1640</v>
      </c>
      <c r="I74" s="3" t="s">
        <v>1642</v>
      </c>
      <c r="J74" s="3" t="s">
        <v>119</v>
      </c>
      <c r="K74" s="3" t="s">
        <v>121</v>
      </c>
      <c r="L74" s="3"/>
      <c r="M74" s="3" t="s">
        <v>88</v>
      </c>
      <c r="N74" s="6" t="s">
        <v>1645</v>
      </c>
      <c r="O74" s="3" t="s">
        <v>63</v>
      </c>
      <c r="P74" s="3" t="s">
        <v>202</v>
      </c>
      <c r="Q74" s="8">
        <v>1611770.0</v>
      </c>
      <c r="R74" s="3" t="s">
        <v>93</v>
      </c>
      <c r="S74" s="7">
        <v>39924.0</v>
      </c>
      <c r="T74" s="3" t="s">
        <v>63</v>
      </c>
      <c r="U74" s="6" t="s">
        <v>277</v>
      </c>
      <c r="V74" s="3" t="s">
        <v>4</v>
      </c>
      <c r="W74" s="3" t="s">
        <v>378</v>
      </c>
    </row>
    <row r="75" ht="15.75" customHeight="1">
      <c r="A75" s="6" t="s">
        <v>1653</v>
      </c>
      <c r="B75" s="3" t="s">
        <v>1656</v>
      </c>
      <c r="C75" s="7">
        <v>27523.0</v>
      </c>
      <c r="D75" s="3" t="s">
        <v>63</v>
      </c>
      <c r="E75" s="3">
        <v>51.0</v>
      </c>
      <c r="F75" s="3" t="s">
        <v>70</v>
      </c>
      <c r="G75" s="6" t="s">
        <v>1659</v>
      </c>
      <c r="H75" s="3" t="s">
        <v>1660</v>
      </c>
      <c r="I75" s="3" t="s">
        <v>1661</v>
      </c>
      <c r="J75" s="3" t="s">
        <v>98</v>
      </c>
      <c r="K75" s="3" t="s">
        <v>101</v>
      </c>
      <c r="L75" s="6" t="s">
        <v>1664</v>
      </c>
      <c r="M75" s="3" t="s">
        <v>63</v>
      </c>
      <c r="N75" s="6" t="s">
        <v>1667</v>
      </c>
      <c r="O75" s="3" t="s">
        <v>63</v>
      </c>
      <c r="P75" s="3" t="s">
        <v>372</v>
      </c>
      <c r="Q75" s="3"/>
      <c r="R75" s="3" t="s">
        <v>258</v>
      </c>
      <c r="S75" s="7">
        <v>44097.0</v>
      </c>
      <c r="T75" s="3" t="s">
        <v>63</v>
      </c>
      <c r="U75" s="6" t="s">
        <v>262</v>
      </c>
      <c r="V75" s="3" t="s">
        <v>4</v>
      </c>
      <c r="W75" s="3" t="s">
        <v>102</v>
      </c>
    </row>
    <row r="76" ht="15.75" customHeight="1">
      <c r="A76" s="6" t="s">
        <v>1672</v>
      </c>
      <c r="B76" s="3" t="s">
        <v>1674</v>
      </c>
      <c r="C76" s="7">
        <v>24162.0</v>
      </c>
      <c r="D76" s="3" t="s">
        <v>63</v>
      </c>
      <c r="E76" s="3">
        <v>60.0</v>
      </c>
      <c r="F76" s="3" t="s">
        <v>183</v>
      </c>
      <c r="G76" s="6" t="s">
        <v>1678</v>
      </c>
      <c r="H76" s="3" t="s">
        <v>1680</v>
      </c>
      <c r="I76" s="3" t="s">
        <v>1681</v>
      </c>
      <c r="J76" s="3" t="s">
        <v>282</v>
      </c>
      <c r="K76" s="3" t="s">
        <v>229</v>
      </c>
      <c r="L76" s="6" t="s">
        <v>1684</v>
      </c>
      <c r="M76" s="3" t="s">
        <v>63</v>
      </c>
      <c r="N76" s="6" t="s">
        <v>1686</v>
      </c>
      <c r="O76" s="3" t="s">
        <v>63</v>
      </c>
      <c r="P76" s="3" t="s">
        <v>372</v>
      </c>
      <c r="Q76" s="8">
        <v>2236817.0</v>
      </c>
      <c r="R76" s="3" t="s">
        <v>93</v>
      </c>
      <c r="S76" s="7">
        <v>42240.0</v>
      </c>
      <c r="T76" s="3" t="s">
        <v>63</v>
      </c>
      <c r="U76" s="6" t="s">
        <v>352</v>
      </c>
      <c r="V76" s="3" t="s">
        <v>237</v>
      </c>
      <c r="W76" s="3" t="s">
        <v>102</v>
      </c>
    </row>
    <row r="77" ht="15.75" customHeight="1">
      <c r="A77" s="6" t="s">
        <v>1692</v>
      </c>
      <c r="B77" s="3" t="s">
        <v>1693</v>
      </c>
      <c r="C77" s="7">
        <v>28946.0</v>
      </c>
      <c r="D77" s="3" t="s">
        <v>63</v>
      </c>
      <c r="E77" s="3">
        <v>47.0</v>
      </c>
      <c r="F77" s="3" t="s">
        <v>183</v>
      </c>
      <c r="G77" s="6" t="s">
        <v>1699</v>
      </c>
      <c r="H77" s="3" t="s">
        <v>1701</v>
      </c>
      <c r="I77" s="3" t="s">
        <v>1702</v>
      </c>
      <c r="J77" s="3" t="s">
        <v>134</v>
      </c>
      <c r="K77" s="3" t="s">
        <v>137</v>
      </c>
      <c r="L77" s="6" t="s">
        <v>1704</v>
      </c>
      <c r="M77" s="3" t="s">
        <v>63</v>
      </c>
      <c r="N77" s="6" t="s">
        <v>1710</v>
      </c>
      <c r="O77" s="3" t="s">
        <v>63</v>
      </c>
      <c r="P77" s="3" t="s">
        <v>127</v>
      </c>
      <c r="Q77" s="3"/>
      <c r="R77" s="3" t="s">
        <v>258</v>
      </c>
      <c r="S77" s="7">
        <v>43168.0</v>
      </c>
      <c r="T77" s="3" t="s">
        <v>63</v>
      </c>
      <c r="U77" s="6" t="s">
        <v>92</v>
      </c>
      <c r="V77" s="3" t="s">
        <v>237</v>
      </c>
      <c r="W77" s="3" t="s">
        <v>102</v>
      </c>
    </row>
    <row r="78" ht="15.75" customHeight="1">
      <c r="A78" s="6" t="s">
        <v>788</v>
      </c>
      <c r="B78" s="3" t="s">
        <v>1719</v>
      </c>
      <c r="C78" s="7">
        <v>30778.0</v>
      </c>
      <c r="D78" s="3" t="s">
        <v>63</v>
      </c>
      <c r="E78" s="3">
        <v>42.0</v>
      </c>
      <c r="F78" s="3" t="s">
        <v>70</v>
      </c>
      <c r="G78" s="6" t="s">
        <v>1723</v>
      </c>
      <c r="H78" s="3" t="s">
        <v>1725</v>
      </c>
      <c r="I78" s="3" t="s">
        <v>1726</v>
      </c>
      <c r="J78" s="3" t="s">
        <v>134</v>
      </c>
      <c r="K78" s="3" t="s">
        <v>137</v>
      </c>
      <c r="L78" s="6" t="s">
        <v>791</v>
      </c>
      <c r="M78" s="3" t="s">
        <v>63</v>
      </c>
      <c r="N78" s="6" t="s">
        <v>793</v>
      </c>
      <c r="O78" s="3" t="s">
        <v>63</v>
      </c>
      <c r="P78" s="3" t="s">
        <v>160</v>
      </c>
      <c r="Q78" s="8">
        <v>1492326.0</v>
      </c>
      <c r="R78" s="3" t="s">
        <v>93</v>
      </c>
      <c r="S78" s="7">
        <v>40926.0</v>
      </c>
      <c r="T78" s="3" t="s">
        <v>63</v>
      </c>
      <c r="U78" s="6" t="s">
        <v>262</v>
      </c>
      <c r="V78" s="3" t="s">
        <v>4</v>
      </c>
      <c r="W78" s="3" t="s">
        <v>378</v>
      </c>
    </row>
    <row r="79" ht="15.75" customHeight="1">
      <c r="A79" s="6" t="s">
        <v>1739</v>
      </c>
      <c r="B79" s="3" t="s">
        <v>1742</v>
      </c>
      <c r="C79" s="7">
        <v>31725.0</v>
      </c>
      <c r="D79" s="3" t="s">
        <v>63</v>
      </c>
      <c r="E79" s="3">
        <v>39.0</v>
      </c>
      <c r="F79" s="3" t="s">
        <v>70</v>
      </c>
      <c r="G79" s="6" t="s">
        <v>1049</v>
      </c>
      <c r="H79" s="3" t="s">
        <v>1745</v>
      </c>
      <c r="I79" s="3" t="s">
        <v>1747</v>
      </c>
      <c r="J79" s="3" t="s">
        <v>201</v>
      </c>
      <c r="K79" s="3" t="s">
        <v>203</v>
      </c>
      <c r="L79" s="3"/>
      <c r="M79" s="3" t="s">
        <v>88</v>
      </c>
      <c r="N79" s="6" t="s">
        <v>1752</v>
      </c>
      <c r="O79" s="3" t="s">
        <v>63</v>
      </c>
      <c r="P79" s="3" t="s">
        <v>396</v>
      </c>
      <c r="Q79" s="3"/>
      <c r="R79" s="3" t="s">
        <v>258</v>
      </c>
      <c r="S79" s="7">
        <v>41627.0</v>
      </c>
      <c r="T79" s="3" t="s">
        <v>63</v>
      </c>
      <c r="U79" s="6" t="s">
        <v>163</v>
      </c>
      <c r="V79" s="3" t="s">
        <v>237</v>
      </c>
      <c r="W79" s="3" t="s">
        <v>102</v>
      </c>
    </row>
    <row r="80" ht="15.75" customHeight="1">
      <c r="A80" s="6" t="s">
        <v>627</v>
      </c>
      <c r="B80" s="3" t="s">
        <v>1762</v>
      </c>
      <c r="C80" s="7">
        <v>28473.0</v>
      </c>
      <c r="D80" s="3" t="s">
        <v>63</v>
      </c>
      <c r="E80" s="3">
        <v>48.0</v>
      </c>
      <c r="F80" s="3" t="s">
        <v>183</v>
      </c>
      <c r="G80" s="6" t="s">
        <v>1768</v>
      </c>
      <c r="H80" s="3" t="s">
        <v>1770</v>
      </c>
      <c r="I80" s="3" t="s">
        <v>1771</v>
      </c>
      <c r="J80" s="3" t="s">
        <v>119</v>
      </c>
      <c r="K80" s="3" t="s">
        <v>121</v>
      </c>
      <c r="L80" s="3"/>
      <c r="M80" s="3" t="s">
        <v>88</v>
      </c>
      <c r="N80" s="6" t="s">
        <v>630</v>
      </c>
      <c r="O80" s="3" t="s">
        <v>63</v>
      </c>
      <c r="P80" s="3" t="s">
        <v>90</v>
      </c>
      <c r="Q80" s="3"/>
      <c r="R80" s="3" t="s">
        <v>258</v>
      </c>
      <c r="S80" s="7">
        <v>39458.0</v>
      </c>
      <c r="T80" s="3" t="s">
        <v>63</v>
      </c>
      <c r="U80" s="6" t="s">
        <v>179</v>
      </c>
      <c r="V80" s="3" t="s">
        <v>4</v>
      </c>
      <c r="W80" s="3" t="s">
        <v>102</v>
      </c>
    </row>
    <row r="81" ht="15.75" customHeight="1">
      <c r="A81" s="6" t="s">
        <v>1600</v>
      </c>
      <c r="B81" s="3" t="s">
        <v>1779</v>
      </c>
      <c r="C81" s="7">
        <v>31508.0</v>
      </c>
      <c r="D81" s="3" t="s">
        <v>63</v>
      </c>
      <c r="E81" s="3">
        <v>40.0</v>
      </c>
      <c r="F81" s="3" t="s">
        <v>183</v>
      </c>
      <c r="G81" s="6" t="s">
        <v>1783</v>
      </c>
      <c r="H81" s="3" t="s">
        <v>1784</v>
      </c>
      <c r="I81" s="3" t="s">
        <v>1787</v>
      </c>
      <c r="J81" s="3" t="s">
        <v>282</v>
      </c>
      <c r="K81" s="3" t="s">
        <v>229</v>
      </c>
      <c r="L81" s="6" t="s">
        <v>1790</v>
      </c>
      <c r="M81" s="3" t="s">
        <v>63</v>
      </c>
      <c r="N81" s="6" t="s">
        <v>1791</v>
      </c>
      <c r="O81" s="3" t="s">
        <v>63</v>
      </c>
      <c r="P81" s="3" t="s">
        <v>464</v>
      </c>
      <c r="Q81" s="8">
        <v>394274.0</v>
      </c>
      <c r="R81" s="3" t="s">
        <v>93</v>
      </c>
      <c r="S81" s="7">
        <v>45363.0</v>
      </c>
      <c r="T81" s="3" t="s">
        <v>63</v>
      </c>
      <c r="U81" s="6" t="s">
        <v>171</v>
      </c>
      <c r="V81" s="3" t="s">
        <v>4</v>
      </c>
      <c r="W81" s="3" t="s">
        <v>102</v>
      </c>
    </row>
    <row r="82" ht="15.75" customHeight="1">
      <c r="A82" s="6" t="s">
        <v>1799</v>
      </c>
      <c r="B82" s="3" t="s">
        <v>1801</v>
      </c>
      <c r="C82" s="7">
        <v>31746.0</v>
      </c>
      <c r="D82" s="3" t="s">
        <v>63</v>
      </c>
      <c r="E82" s="3">
        <v>39.0</v>
      </c>
      <c r="F82" s="3" t="s">
        <v>70</v>
      </c>
      <c r="G82" s="6" t="s">
        <v>1802</v>
      </c>
      <c r="H82" s="3" t="s">
        <v>1804</v>
      </c>
      <c r="I82" s="3" t="s">
        <v>1807</v>
      </c>
      <c r="J82" s="3" t="s">
        <v>282</v>
      </c>
      <c r="K82" s="3" t="s">
        <v>229</v>
      </c>
      <c r="L82" s="6" t="s">
        <v>1810</v>
      </c>
      <c r="M82" s="3" t="s">
        <v>63</v>
      </c>
      <c r="N82" s="3"/>
      <c r="O82" s="3" t="s">
        <v>88</v>
      </c>
      <c r="P82" s="3" t="s">
        <v>324</v>
      </c>
      <c r="Q82" s="8">
        <v>334198.0</v>
      </c>
      <c r="R82" s="3" t="s">
        <v>93</v>
      </c>
      <c r="S82" s="7">
        <v>43139.0</v>
      </c>
      <c r="T82" s="3" t="s">
        <v>63</v>
      </c>
      <c r="U82" s="6" t="s">
        <v>109</v>
      </c>
      <c r="V82" s="3" t="s">
        <v>4</v>
      </c>
      <c r="W82" s="3" t="s">
        <v>102</v>
      </c>
    </row>
    <row r="83" ht="15.75" customHeight="1">
      <c r="A83" s="6" t="s">
        <v>1816</v>
      </c>
      <c r="B83" s="3" t="s">
        <v>1818</v>
      </c>
      <c r="C83" s="7">
        <v>20721.0</v>
      </c>
      <c r="D83" s="3" t="s">
        <v>63</v>
      </c>
      <c r="E83" s="3">
        <v>69.0</v>
      </c>
      <c r="F83" s="3" t="s">
        <v>70</v>
      </c>
      <c r="G83" s="6" t="s">
        <v>1820</v>
      </c>
      <c r="H83" s="3" t="s">
        <v>1821</v>
      </c>
      <c r="I83" s="3" t="s">
        <v>1822</v>
      </c>
      <c r="J83" s="3" t="s">
        <v>251</v>
      </c>
      <c r="K83" s="3" t="s">
        <v>251</v>
      </c>
      <c r="L83" s="6" t="s">
        <v>1825</v>
      </c>
      <c r="M83" s="3" t="s">
        <v>63</v>
      </c>
      <c r="N83" s="6" t="s">
        <v>1827</v>
      </c>
      <c r="O83" s="3" t="s">
        <v>63</v>
      </c>
      <c r="P83" s="3" t="s">
        <v>160</v>
      </c>
      <c r="Q83" s="3"/>
      <c r="R83" s="3" t="s">
        <v>258</v>
      </c>
      <c r="S83" s="7">
        <v>41044.0</v>
      </c>
      <c r="T83" s="3" t="s">
        <v>63</v>
      </c>
      <c r="U83" s="6" t="s">
        <v>146</v>
      </c>
      <c r="V83" s="3" t="s">
        <v>4</v>
      </c>
      <c r="W83" s="3" t="s">
        <v>102</v>
      </c>
    </row>
    <row r="84" ht="15.75" customHeight="1">
      <c r="A84" s="6" t="s">
        <v>1833</v>
      </c>
      <c r="B84" s="3" t="s">
        <v>1834</v>
      </c>
      <c r="C84" s="7">
        <v>24945.0</v>
      </c>
      <c r="D84" s="3" t="s">
        <v>63</v>
      </c>
      <c r="E84" s="3">
        <v>58.0</v>
      </c>
      <c r="F84" s="3" t="s">
        <v>183</v>
      </c>
      <c r="G84" s="6" t="s">
        <v>1835</v>
      </c>
      <c r="H84" s="3"/>
      <c r="I84" s="3" t="s">
        <v>1838</v>
      </c>
      <c r="J84" s="3" t="s">
        <v>167</v>
      </c>
      <c r="K84" s="3" t="s">
        <v>169</v>
      </c>
      <c r="L84" s="6" t="s">
        <v>1843</v>
      </c>
      <c r="M84" s="3" t="s">
        <v>63</v>
      </c>
      <c r="N84" s="6" t="s">
        <v>1845</v>
      </c>
      <c r="O84" s="3" t="s">
        <v>63</v>
      </c>
      <c r="P84" s="3" t="s">
        <v>464</v>
      </c>
      <c r="Q84" s="8">
        <v>1759828.0</v>
      </c>
      <c r="R84" s="3" t="s">
        <v>93</v>
      </c>
      <c r="S84" s="7">
        <v>42983.0</v>
      </c>
      <c r="T84" s="3" t="s">
        <v>63</v>
      </c>
      <c r="U84" s="6" t="s">
        <v>266</v>
      </c>
      <c r="V84" s="3" t="s">
        <v>4</v>
      </c>
      <c r="W84" s="3" t="s">
        <v>102</v>
      </c>
    </row>
    <row r="85" ht="15.75" customHeight="1">
      <c r="A85" s="6" t="s">
        <v>805</v>
      </c>
      <c r="B85" s="3" t="s">
        <v>1851</v>
      </c>
      <c r="C85" s="7">
        <v>29244.0</v>
      </c>
      <c r="D85" s="3" t="s">
        <v>63</v>
      </c>
      <c r="E85" s="3">
        <v>46.0</v>
      </c>
      <c r="F85" s="3" t="s">
        <v>70</v>
      </c>
      <c r="G85" s="6" t="s">
        <v>1855</v>
      </c>
      <c r="H85" s="3" t="s">
        <v>1856</v>
      </c>
      <c r="I85" s="3" t="s">
        <v>1857</v>
      </c>
      <c r="J85" s="3" t="s">
        <v>337</v>
      </c>
      <c r="K85" s="3" t="s">
        <v>137</v>
      </c>
      <c r="L85" s="6" t="s">
        <v>1859</v>
      </c>
      <c r="M85" s="3" t="s">
        <v>63</v>
      </c>
      <c r="N85" s="6" t="s">
        <v>1862</v>
      </c>
      <c r="O85" s="3" t="s">
        <v>63</v>
      </c>
      <c r="P85" s="3" t="s">
        <v>300</v>
      </c>
      <c r="Q85" s="3"/>
      <c r="R85" s="3" t="s">
        <v>258</v>
      </c>
      <c r="S85" s="7">
        <v>44328.0</v>
      </c>
      <c r="T85" s="3" t="s">
        <v>63</v>
      </c>
      <c r="U85" s="6" t="s">
        <v>80</v>
      </c>
      <c r="V85" s="3" t="s">
        <v>237</v>
      </c>
      <c r="W85" s="3" t="s">
        <v>102</v>
      </c>
    </row>
    <row r="86" ht="15.75" customHeight="1">
      <c r="A86" s="6" t="s">
        <v>1869</v>
      </c>
      <c r="B86" s="3" t="s">
        <v>1872</v>
      </c>
      <c r="C86" s="7">
        <v>47504.0</v>
      </c>
      <c r="D86" s="3" t="s">
        <v>1155</v>
      </c>
      <c r="E86" s="3"/>
      <c r="F86" s="3" t="s">
        <v>70</v>
      </c>
      <c r="G86" s="6" t="s">
        <v>1875</v>
      </c>
      <c r="H86" s="3" t="s">
        <v>1876</v>
      </c>
      <c r="I86" s="3" t="s">
        <v>1877</v>
      </c>
      <c r="J86" s="3" t="s">
        <v>134</v>
      </c>
      <c r="K86" s="3" t="s">
        <v>137</v>
      </c>
      <c r="L86" s="6" t="s">
        <v>1881</v>
      </c>
      <c r="M86" s="3" t="s">
        <v>63</v>
      </c>
      <c r="N86" s="6" t="s">
        <v>1884</v>
      </c>
      <c r="O86" s="3" t="s">
        <v>63</v>
      </c>
      <c r="P86" s="3" t="s">
        <v>396</v>
      </c>
      <c r="Q86" s="3"/>
      <c r="R86" s="3" t="s">
        <v>258</v>
      </c>
      <c r="S86" s="7">
        <v>39823.0</v>
      </c>
      <c r="T86" s="3" t="s">
        <v>1178</v>
      </c>
      <c r="U86" s="6" t="s">
        <v>92</v>
      </c>
      <c r="V86" s="3" t="s">
        <v>4</v>
      </c>
      <c r="W86" s="3" t="s">
        <v>102</v>
      </c>
    </row>
    <row r="87" ht="15.75" customHeight="1">
      <c r="A87" s="6" t="s">
        <v>1890</v>
      </c>
      <c r="B87" s="3" t="s">
        <v>1893</v>
      </c>
      <c r="C87" s="7">
        <v>38345.0</v>
      </c>
      <c r="D87" s="3" t="s">
        <v>63</v>
      </c>
      <c r="E87" s="3">
        <v>21.0</v>
      </c>
      <c r="F87" s="3" t="s">
        <v>70</v>
      </c>
      <c r="G87" s="6" t="s">
        <v>1897</v>
      </c>
      <c r="H87" s="3" t="s">
        <v>1898</v>
      </c>
      <c r="I87" s="3" t="s">
        <v>1900</v>
      </c>
      <c r="J87" s="3" t="s">
        <v>134</v>
      </c>
      <c r="K87" s="3" t="s">
        <v>137</v>
      </c>
      <c r="L87" s="6" t="s">
        <v>1903</v>
      </c>
      <c r="M87" s="3" t="s">
        <v>63</v>
      </c>
      <c r="N87" s="6" t="s">
        <v>1907</v>
      </c>
      <c r="O87" s="3" t="s">
        <v>620</v>
      </c>
      <c r="P87" s="3" t="s">
        <v>372</v>
      </c>
      <c r="Q87" s="3"/>
      <c r="R87" s="3" t="s">
        <v>258</v>
      </c>
      <c r="S87" s="7">
        <v>43074.0</v>
      </c>
      <c r="T87" s="3" t="s">
        <v>63</v>
      </c>
      <c r="U87" s="6" t="s">
        <v>36</v>
      </c>
      <c r="V87" s="3" t="s">
        <v>4</v>
      </c>
      <c r="W87" s="3" t="s">
        <v>102</v>
      </c>
    </row>
    <row r="88" ht="15.75" customHeight="1">
      <c r="A88" s="6" t="s">
        <v>1915</v>
      </c>
      <c r="B88" s="3" t="s">
        <v>1917</v>
      </c>
      <c r="C88" s="7">
        <v>36637.0</v>
      </c>
      <c r="D88" s="3" t="s">
        <v>63</v>
      </c>
      <c r="E88" s="3">
        <v>26.0</v>
      </c>
      <c r="F88" s="3" t="s">
        <v>183</v>
      </c>
      <c r="G88" s="6" t="s">
        <v>1918</v>
      </c>
      <c r="H88" s="3"/>
      <c r="I88" s="3" t="s">
        <v>957</v>
      </c>
      <c r="J88" s="3" t="s">
        <v>79</v>
      </c>
      <c r="K88" s="3" t="s">
        <v>81</v>
      </c>
      <c r="L88" s="6" t="s">
        <v>1921</v>
      </c>
      <c r="M88" s="3" t="s">
        <v>63</v>
      </c>
      <c r="N88" s="6" t="s">
        <v>1922</v>
      </c>
      <c r="O88" s="3" t="s">
        <v>63</v>
      </c>
      <c r="P88" s="3" t="s">
        <v>396</v>
      </c>
      <c r="Q88" s="8">
        <v>2442379.0</v>
      </c>
      <c r="R88" s="3" t="s">
        <v>93</v>
      </c>
      <c r="S88" s="7">
        <v>38486.0</v>
      </c>
      <c r="T88" s="3" t="s">
        <v>63</v>
      </c>
      <c r="U88" s="6" t="s">
        <v>397</v>
      </c>
      <c r="V88" s="3" t="s">
        <v>4</v>
      </c>
      <c r="W88" s="3" t="s">
        <v>102</v>
      </c>
    </row>
    <row r="89" ht="15.75" customHeight="1">
      <c r="A89" s="6" t="s">
        <v>1928</v>
      </c>
      <c r="B89" s="3" t="s">
        <v>1929</v>
      </c>
      <c r="C89" s="7">
        <v>36031.0</v>
      </c>
      <c r="D89" s="3" t="s">
        <v>63</v>
      </c>
      <c r="E89" s="3">
        <v>27.0</v>
      </c>
      <c r="F89" s="3" t="s">
        <v>70</v>
      </c>
      <c r="G89" s="6" t="s">
        <v>1934</v>
      </c>
      <c r="H89" s="3" t="s">
        <v>1938</v>
      </c>
      <c r="I89" s="3" t="s">
        <v>1940</v>
      </c>
      <c r="J89" s="3" t="s">
        <v>79</v>
      </c>
      <c r="K89" s="3" t="s">
        <v>81</v>
      </c>
      <c r="L89" s="6" t="s">
        <v>1941</v>
      </c>
      <c r="M89" s="3" t="s">
        <v>63</v>
      </c>
      <c r="N89" s="6" t="s">
        <v>1943</v>
      </c>
      <c r="O89" s="3" t="s">
        <v>63</v>
      </c>
      <c r="P89" s="3" t="s">
        <v>90</v>
      </c>
      <c r="Q89" s="8">
        <v>1316040.0</v>
      </c>
      <c r="R89" s="3" t="s">
        <v>93</v>
      </c>
      <c r="S89" s="7">
        <v>39506.0</v>
      </c>
      <c r="T89" s="3" t="s">
        <v>63</v>
      </c>
      <c r="U89" s="6" t="s">
        <v>197</v>
      </c>
      <c r="V89" s="3" t="s">
        <v>4</v>
      </c>
      <c r="W89" s="3" t="s">
        <v>102</v>
      </c>
    </row>
    <row r="90" ht="15.75" customHeight="1">
      <c r="A90" s="6" t="s">
        <v>1947</v>
      </c>
      <c r="B90" s="3" t="s">
        <v>1949</v>
      </c>
      <c r="C90" s="7">
        <v>23125.0</v>
      </c>
      <c r="D90" s="3" t="s">
        <v>63</v>
      </c>
      <c r="E90" s="3">
        <v>63.0</v>
      </c>
      <c r="F90" s="3" t="s">
        <v>70</v>
      </c>
      <c r="G90" s="6" t="s">
        <v>1954</v>
      </c>
      <c r="H90" s="3" t="s">
        <v>1955</v>
      </c>
      <c r="I90" s="3" t="s">
        <v>1956</v>
      </c>
      <c r="J90" s="3" t="s">
        <v>65</v>
      </c>
      <c r="K90" s="3" t="s">
        <v>67</v>
      </c>
      <c r="L90" s="6" t="s">
        <v>1959</v>
      </c>
      <c r="M90" s="3" t="s">
        <v>63</v>
      </c>
      <c r="N90" s="6" t="s">
        <v>1961</v>
      </c>
      <c r="O90" s="3" t="s">
        <v>63</v>
      </c>
      <c r="P90" s="3" t="s">
        <v>324</v>
      </c>
      <c r="Q90" s="3"/>
      <c r="R90" s="3" t="s">
        <v>258</v>
      </c>
      <c r="S90" s="7">
        <v>45011.0</v>
      </c>
      <c r="T90" s="3" t="s">
        <v>63</v>
      </c>
      <c r="U90" s="6" t="s">
        <v>80</v>
      </c>
      <c r="V90" s="3" t="s">
        <v>237</v>
      </c>
      <c r="W90" s="3" t="s">
        <v>102</v>
      </c>
    </row>
    <row r="91" ht="15.75" customHeight="1">
      <c r="A91" s="6" t="s">
        <v>691</v>
      </c>
      <c r="B91" s="3" t="s">
        <v>1969</v>
      </c>
      <c r="C91" s="7">
        <v>34771.0</v>
      </c>
      <c r="D91" s="3" t="s">
        <v>63</v>
      </c>
      <c r="E91" s="3">
        <v>31.0</v>
      </c>
      <c r="F91" s="3" t="s">
        <v>183</v>
      </c>
      <c r="G91" s="6" t="s">
        <v>1970</v>
      </c>
      <c r="H91" s="3" t="s">
        <v>1972</v>
      </c>
      <c r="I91" s="3" t="s">
        <v>1974</v>
      </c>
      <c r="J91" s="3" t="s">
        <v>134</v>
      </c>
      <c r="K91" s="3" t="s">
        <v>137</v>
      </c>
      <c r="L91" s="6" t="s">
        <v>692</v>
      </c>
      <c r="M91" s="3" t="s">
        <v>63</v>
      </c>
      <c r="N91" s="6" t="s">
        <v>693</v>
      </c>
      <c r="O91" s="3" t="s">
        <v>63</v>
      </c>
      <c r="P91" s="3" t="s">
        <v>160</v>
      </c>
      <c r="Q91" s="8">
        <v>188373.0</v>
      </c>
      <c r="R91" s="3" t="s">
        <v>93</v>
      </c>
      <c r="S91" s="7">
        <v>38530.0</v>
      </c>
      <c r="T91" s="3" t="s">
        <v>63</v>
      </c>
      <c r="U91" s="6" t="s">
        <v>197</v>
      </c>
      <c r="V91" s="3" t="s">
        <v>4</v>
      </c>
      <c r="W91" s="3" t="s">
        <v>102</v>
      </c>
    </row>
    <row r="92" ht="15.75" customHeight="1">
      <c r="A92" s="6" t="s">
        <v>1986</v>
      </c>
      <c r="B92" s="3" t="s">
        <v>1988</v>
      </c>
      <c r="C92" s="7">
        <v>31756.0</v>
      </c>
      <c r="D92" s="3" t="s">
        <v>63</v>
      </c>
      <c r="E92" s="3">
        <v>39.0</v>
      </c>
      <c r="F92" s="3" t="s">
        <v>70</v>
      </c>
      <c r="G92" s="6" t="s">
        <v>1991</v>
      </c>
      <c r="H92" s="3" t="s">
        <v>1992</v>
      </c>
      <c r="I92" s="3" t="s">
        <v>1994</v>
      </c>
      <c r="J92" s="3" t="s">
        <v>282</v>
      </c>
      <c r="K92" s="3" t="s">
        <v>229</v>
      </c>
      <c r="L92" s="6" t="s">
        <v>1995</v>
      </c>
      <c r="M92" s="3" t="s">
        <v>620</v>
      </c>
      <c r="N92" s="3"/>
      <c r="O92" s="3" t="s">
        <v>88</v>
      </c>
      <c r="P92" s="3" t="s">
        <v>90</v>
      </c>
      <c r="Q92" s="3"/>
      <c r="R92" s="3" t="s">
        <v>258</v>
      </c>
      <c r="S92" s="7">
        <v>44116.0</v>
      </c>
      <c r="T92" s="3" t="s">
        <v>63</v>
      </c>
      <c r="U92" s="6" t="s">
        <v>333</v>
      </c>
      <c r="V92" s="3" t="s">
        <v>4</v>
      </c>
      <c r="W92" s="3" t="s">
        <v>102</v>
      </c>
    </row>
    <row r="93" ht="15.75" customHeight="1">
      <c r="A93" s="6" t="s">
        <v>1999</v>
      </c>
      <c r="B93" s="3" t="s">
        <v>2001</v>
      </c>
      <c r="C93" s="7">
        <v>22778.0</v>
      </c>
      <c r="D93" s="3" t="s">
        <v>63</v>
      </c>
      <c r="E93" s="3">
        <v>64.0</v>
      </c>
      <c r="F93" s="3" t="s">
        <v>70</v>
      </c>
      <c r="G93" s="6" t="s">
        <v>2004</v>
      </c>
      <c r="H93" s="3" t="s">
        <v>2006</v>
      </c>
      <c r="I93" s="3" t="s">
        <v>2008</v>
      </c>
      <c r="J93" s="3" t="s">
        <v>114</v>
      </c>
      <c r="K93" s="3" t="s">
        <v>118</v>
      </c>
      <c r="L93" s="6" t="s">
        <v>2010</v>
      </c>
      <c r="M93" s="3" t="s">
        <v>63</v>
      </c>
      <c r="N93" s="6" t="s">
        <v>2011</v>
      </c>
      <c r="O93" s="3" t="s">
        <v>63</v>
      </c>
      <c r="P93" s="3" t="s">
        <v>90</v>
      </c>
      <c r="Q93" s="3"/>
      <c r="R93" s="3" t="s">
        <v>258</v>
      </c>
      <c r="S93" s="7">
        <v>42216.0</v>
      </c>
      <c r="T93" s="3" t="s">
        <v>63</v>
      </c>
      <c r="U93" s="6" t="s">
        <v>301</v>
      </c>
      <c r="V93" s="3" t="s">
        <v>4</v>
      </c>
      <c r="W93" s="3" t="s">
        <v>102</v>
      </c>
    </row>
    <row r="94" ht="15.75" customHeight="1">
      <c r="A94" s="6" t="s">
        <v>1498</v>
      </c>
      <c r="B94" s="3" t="s">
        <v>2019</v>
      </c>
      <c r="C94" s="7">
        <v>24700.0</v>
      </c>
      <c r="D94" s="3" t="s">
        <v>63</v>
      </c>
      <c r="E94" s="3">
        <v>58.0</v>
      </c>
      <c r="F94" s="3" t="s">
        <v>70</v>
      </c>
      <c r="G94" s="6" t="s">
        <v>2022</v>
      </c>
      <c r="H94" s="3" t="s">
        <v>2025</v>
      </c>
      <c r="I94" s="3" t="s">
        <v>2027</v>
      </c>
      <c r="J94" s="3" t="s">
        <v>201</v>
      </c>
      <c r="K94" s="3" t="s">
        <v>203</v>
      </c>
      <c r="L94" s="6" t="s">
        <v>1499</v>
      </c>
      <c r="M94" s="3" t="s">
        <v>63</v>
      </c>
      <c r="N94" s="6" t="s">
        <v>1501</v>
      </c>
      <c r="O94" s="3" t="s">
        <v>63</v>
      </c>
      <c r="P94" s="3" t="s">
        <v>160</v>
      </c>
      <c r="Q94" s="8">
        <v>2216798.0</v>
      </c>
      <c r="R94" s="3" t="s">
        <v>93</v>
      </c>
      <c r="S94" s="7">
        <v>42182.0</v>
      </c>
      <c r="T94" s="3" t="s">
        <v>63</v>
      </c>
      <c r="U94" s="6" t="s">
        <v>146</v>
      </c>
      <c r="V94" s="3" t="s">
        <v>237</v>
      </c>
      <c r="W94" s="3" t="s">
        <v>102</v>
      </c>
    </row>
    <row r="95" ht="15.75" customHeight="1">
      <c r="A95" s="6" t="s">
        <v>2034</v>
      </c>
      <c r="B95" s="3" t="s">
        <v>2035</v>
      </c>
      <c r="C95" s="7">
        <v>34060.0</v>
      </c>
      <c r="D95" s="3" t="s">
        <v>63</v>
      </c>
      <c r="E95" s="3">
        <v>33.0</v>
      </c>
      <c r="F95" s="3" t="s">
        <v>70</v>
      </c>
      <c r="G95" s="6" t="s">
        <v>2043</v>
      </c>
      <c r="H95" s="3" t="s">
        <v>2045</v>
      </c>
      <c r="I95" s="3" t="s">
        <v>2046</v>
      </c>
      <c r="J95" s="3" t="s">
        <v>114</v>
      </c>
      <c r="K95" s="3" t="s">
        <v>118</v>
      </c>
      <c r="L95" s="3"/>
      <c r="M95" s="3" t="s">
        <v>88</v>
      </c>
      <c r="N95" s="6" t="s">
        <v>2050</v>
      </c>
      <c r="O95" s="3" t="s">
        <v>63</v>
      </c>
      <c r="P95" s="3" t="s">
        <v>90</v>
      </c>
      <c r="Q95" s="8">
        <v>2223641.0</v>
      </c>
      <c r="R95" s="3" t="s">
        <v>93</v>
      </c>
      <c r="S95" s="7">
        <v>43325.0</v>
      </c>
      <c r="T95" s="3" t="s">
        <v>63</v>
      </c>
      <c r="U95" s="6" t="s">
        <v>245</v>
      </c>
      <c r="V95" s="3" t="s">
        <v>4</v>
      </c>
      <c r="W95" s="3" t="s">
        <v>102</v>
      </c>
    </row>
    <row r="96" ht="15.75" customHeight="1">
      <c r="A96" s="6" t="s">
        <v>1737</v>
      </c>
      <c r="B96" s="3" t="s">
        <v>2058</v>
      </c>
      <c r="C96" s="7">
        <v>24956.0</v>
      </c>
      <c r="D96" s="3" t="s">
        <v>63</v>
      </c>
      <c r="E96" s="3">
        <v>58.0</v>
      </c>
      <c r="F96" s="3" t="s">
        <v>183</v>
      </c>
      <c r="G96" s="6" t="s">
        <v>1049</v>
      </c>
      <c r="H96" s="3" t="s">
        <v>2062</v>
      </c>
      <c r="I96" s="3" t="s">
        <v>2063</v>
      </c>
      <c r="J96" s="3" t="s">
        <v>271</v>
      </c>
      <c r="K96" s="3" t="s">
        <v>273</v>
      </c>
      <c r="L96" s="6" t="s">
        <v>1740</v>
      </c>
      <c r="M96" s="3" t="s">
        <v>63</v>
      </c>
      <c r="N96" s="6" t="s">
        <v>1743</v>
      </c>
      <c r="O96" s="3" t="s">
        <v>63</v>
      </c>
      <c r="P96" s="3" t="s">
        <v>127</v>
      </c>
      <c r="Q96" s="8">
        <v>756076.0</v>
      </c>
      <c r="R96" s="3" t="s">
        <v>93</v>
      </c>
      <c r="S96" s="7">
        <v>39852.0</v>
      </c>
      <c r="T96" s="3" t="s">
        <v>63</v>
      </c>
      <c r="U96" s="6" t="s">
        <v>208</v>
      </c>
      <c r="V96" s="3" t="s">
        <v>4</v>
      </c>
      <c r="W96" s="3" t="s">
        <v>378</v>
      </c>
    </row>
    <row r="97" ht="15.75" customHeight="1">
      <c r="A97" s="6" t="s">
        <v>1829</v>
      </c>
      <c r="B97" s="3" t="s">
        <v>2077</v>
      </c>
      <c r="C97" s="7">
        <v>34955.0</v>
      </c>
      <c r="D97" s="3" t="s">
        <v>63</v>
      </c>
      <c r="E97" s="3">
        <v>30.0</v>
      </c>
      <c r="F97" s="3" t="s">
        <v>183</v>
      </c>
      <c r="G97" s="6" t="s">
        <v>2080</v>
      </c>
      <c r="H97" s="3" t="s">
        <v>2082</v>
      </c>
      <c r="I97" s="3" t="s">
        <v>2083</v>
      </c>
      <c r="J97" s="3" t="s">
        <v>305</v>
      </c>
      <c r="K97" s="3" t="s">
        <v>193</v>
      </c>
      <c r="L97" s="6" t="s">
        <v>1983</v>
      </c>
      <c r="M97" s="3" t="s">
        <v>63</v>
      </c>
      <c r="N97" s="6" t="s">
        <v>1985</v>
      </c>
      <c r="O97" s="3" t="s">
        <v>63</v>
      </c>
      <c r="P97" s="3" t="s">
        <v>464</v>
      </c>
      <c r="Q97" s="8">
        <v>1009368.0</v>
      </c>
      <c r="R97" s="3" t="s">
        <v>93</v>
      </c>
      <c r="S97" s="7">
        <v>41545.0</v>
      </c>
      <c r="T97" s="3" t="s">
        <v>63</v>
      </c>
      <c r="U97" s="6" t="s">
        <v>60</v>
      </c>
      <c r="V97" s="3" t="s">
        <v>237</v>
      </c>
      <c r="W97" s="3" t="s">
        <v>102</v>
      </c>
    </row>
    <row r="98" ht="15.75" customHeight="1">
      <c r="A98" s="6" t="s">
        <v>2095</v>
      </c>
      <c r="B98" s="3" t="s">
        <v>2096</v>
      </c>
      <c r="C98" s="7">
        <v>23512.0</v>
      </c>
      <c r="D98" s="3" t="s">
        <v>63</v>
      </c>
      <c r="E98" s="3">
        <v>62.0</v>
      </c>
      <c r="F98" s="3" t="s">
        <v>183</v>
      </c>
      <c r="G98" s="6" t="s">
        <v>2101</v>
      </c>
      <c r="H98" s="3" t="s">
        <v>2102</v>
      </c>
      <c r="I98" s="3" t="s">
        <v>2104</v>
      </c>
      <c r="J98" s="3" t="s">
        <v>251</v>
      </c>
      <c r="K98" s="3" t="s">
        <v>251</v>
      </c>
      <c r="L98" s="6" t="s">
        <v>2106</v>
      </c>
      <c r="M98" s="3" t="s">
        <v>63</v>
      </c>
      <c r="N98" s="6" t="s">
        <v>2108</v>
      </c>
      <c r="O98" s="3" t="s">
        <v>63</v>
      </c>
      <c r="P98" s="3" t="s">
        <v>464</v>
      </c>
      <c r="Q98" s="8">
        <v>1967916.0</v>
      </c>
      <c r="R98" s="3" t="s">
        <v>93</v>
      </c>
      <c r="S98" s="7">
        <v>40335.0</v>
      </c>
      <c r="T98" s="3" t="s">
        <v>63</v>
      </c>
      <c r="U98" s="6" t="s">
        <v>179</v>
      </c>
      <c r="V98" s="3" t="s">
        <v>237</v>
      </c>
      <c r="W98" s="3" t="s">
        <v>102</v>
      </c>
    </row>
    <row r="99" ht="15.75" customHeight="1">
      <c r="A99" s="6" t="s">
        <v>2114</v>
      </c>
      <c r="B99" s="3" t="s">
        <v>2115</v>
      </c>
      <c r="C99" s="7">
        <v>27886.0</v>
      </c>
      <c r="D99" s="3" t="s">
        <v>63</v>
      </c>
      <c r="E99" s="3">
        <v>50.0</v>
      </c>
      <c r="F99" s="3" t="s">
        <v>70</v>
      </c>
      <c r="G99" s="6" t="s">
        <v>2118</v>
      </c>
      <c r="H99" s="3" t="s">
        <v>2120</v>
      </c>
      <c r="I99" s="3" t="s">
        <v>2121</v>
      </c>
      <c r="J99" s="3" t="s">
        <v>43</v>
      </c>
      <c r="K99" s="3" t="s">
        <v>45</v>
      </c>
      <c r="L99" s="6" t="s">
        <v>2123</v>
      </c>
      <c r="M99" s="3" t="s">
        <v>63</v>
      </c>
      <c r="N99" s="6" t="s">
        <v>2125</v>
      </c>
      <c r="O99" s="3" t="s">
        <v>63</v>
      </c>
      <c r="P99" s="3" t="s">
        <v>372</v>
      </c>
      <c r="Q99" s="8">
        <v>2162779.0</v>
      </c>
      <c r="R99" s="3" t="s">
        <v>93</v>
      </c>
      <c r="S99" s="7">
        <v>42508.0</v>
      </c>
      <c r="T99" s="3" t="s">
        <v>63</v>
      </c>
      <c r="U99" s="6" t="s">
        <v>385</v>
      </c>
      <c r="V99" s="3" t="s">
        <v>4</v>
      </c>
      <c r="W99" s="3" t="s">
        <v>102</v>
      </c>
    </row>
    <row r="100" ht="15.75" customHeight="1">
      <c r="A100" s="6" t="s">
        <v>2128</v>
      </c>
      <c r="B100" s="3" t="s">
        <v>2130</v>
      </c>
      <c r="C100" s="7">
        <v>34057.0</v>
      </c>
      <c r="D100" s="3" t="s">
        <v>63</v>
      </c>
      <c r="E100" s="3">
        <v>33.0</v>
      </c>
      <c r="F100" s="3" t="s">
        <v>70</v>
      </c>
      <c r="G100" s="6" t="s">
        <v>2133</v>
      </c>
      <c r="H100" s="3" t="s">
        <v>2135</v>
      </c>
      <c r="I100" s="3" t="s">
        <v>2136</v>
      </c>
      <c r="J100" s="3" t="s">
        <v>190</v>
      </c>
      <c r="K100" s="3" t="s">
        <v>193</v>
      </c>
      <c r="L100" s="6" t="s">
        <v>2138</v>
      </c>
      <c r="M100" s="3" t="s">
        <v>63</v>
      </c>
      <c r="N100" s="6" t="s">
        <v>2140</v>
      </c>
      <c r="O100" s="3" t="s">
        <v>63</v>
      </c>
      <c r="P100" s="3" t="s">
        <v>127</v>
      </c>
      <c r="Q100" s="8">
        <v>1322785.0</v>
      </c>
      <c r="R100" s="3" t="s">
        <v>93</v>
      </c>
      <c r="S100" s="7">
        <v>44356.0</v>
      </c>
      <c r="T100" s="3" t="s">
        <v>63</v>
      </c>
      <c r="U100" s="6" t="s">
        <v>245</v>
      </c>
      <c r="V100" s="3" t="s">
        <v>4</v>
      </c>
      <c r="W100" s="3" t="s">
        <v>102</v>
      </c>
    </row>
    <row r="101" ht="15.75" customHeight="1">
      <c r="A101" s="6" t="s">
        <v>1431</v>
      </c>
      <c r="B101" s="3" t="s">
        <v>2146</v>
      </c>
      <c r="C101" s="7">
        <v>22296.0</v>
      </c>
      <c r="D101" s="3" t="s">
        <v>63</v>
      </c>
      <c r="E101" s="3">
        <v>65.0</v>
      </c>
      <c r="F101" s="3" t="s">
        <v>183</v>
      </c>
      <c r="G101" s="3"/>
      <c r="H101" s="3" t="s">
        <v>2149</v>
      </c>
      <c r="I101" s="3" t="s">
        <v>2150</v>
      </c>
      <c r="J101" s="3" t="s">
        <v>225</v>
      </c>
      <c r="K101" s="3" t="s">
        <v>101</v>
      </c>
      <c r="L101" s="6" t="s">
        <v>2152</v>
      </c>
      <c r="M101" s="3" t="s">
        <v>63</v>
      </c>
      <c r="N101" s="6" t="s">
        <v>2154</v>
      </c>
      <c r="O101" s="3" t="s">
        <v>63</v>
      </c>
      <c r="P101" s="3" t="s">
        <v>372</v>
      </c>
      <c r="Q101" s="3"/>
      <c r="R101" s="3" t="s">
        <v>258</v>
      </c>
      <c r="S101" s="7">
        <v>38791.0</v>
      </c>
      <c r="T101" s="3" t="s">
        <v>63</v>
      </c>
      <c r="U101" s="6" t="s">
        <v>277</v>
      </c>
      <c r="V101" s="3" t="s">
        <v>4</v>
      </c>
      <c r="W101" s="3" t="s">
        <v>102</v>
      </c>
    </row>
    <row r="102" ht="15.75" customHeight="1">
      <c r="A102" s="6" t="s">
        <v>2160</v>
      </c>
      <c r="B102" s="3" t="s">
        <v>2162</v>
      </c>
      <c r="C102" s="7">
        <v>28414.0</v>
      </c>
      <c r="D102" s="3" t="s">
        <v>63</v>
      </c>
      <c r="E102" s="3">
        <v>48.0</v>
      </c>
      <c r="F102" s="3" t="s">
        <v>183</v>
      </c>
      <c r="G102" s="6" t="s">
        <v>2166</v>
      </c>
      <c r="H102" s="3" t="s">
        <v>2168</v>
      </c>
      <c r="I102" s="3" t="s">
        <v>2169</v>
      </c>
      <c r="J102" s="3" t="s">
        <v>271</v>
      </c>
      <c r="K102" s="3" t="s">
        <v>273</v>
      </c>
      <c r="L102" s="6" t="s">
        <v>2171</v>
      </c>
      <c r="M102" s="3" t="s">
        <v>63</v>
      </c>
      <c r="N102" s="6" t="s">
        <v>2175</v>
      </c>
      <c r="O102" s="3" t="s">
        <v>63</v>
      </c>
      <c r="P102" s="3" t="s">
        <v>324</v>
      </c>
      <c r="Q102" s="8">
        <v>792387.0</v>
      </c>
      <c r="R102" s="3" t="s">
        <v>93</v>
      </c>
      <c r="S102" s="7">
        <v>41701.0</v>
      </c>
      <c r="T102" s="3" t="s">
        <v>63</v>
      </c>
      <c r="U102" s="6" t="s">
        <v>284</v>
      </c>
      <c r="V102" s="3" t="s">
        <v>4</v>
      </c>
      <c r="W102" s="3" t="s">
        <v>102</v>
      </c>
    </row>
    <row r="103" ht="15.75" customHeight="1">
      <c r="A103" s="6" t="s">
        <v>157</v>
      </c>
      <c r="B103" s="3" t="s">
        <v>2182</v>
      </c>
      <c r="C103" s="7">
        <v>33599.0</v>
      </c>
      <c r="D103" s="3" t="s">
        <v>63</v>
      </c>
      <c r="E103" s="3">
        <v>34.0</v>
      </c>
      <c r="F103" s="3" t="s">
        <v>183</v>
      </c>
      <c r="G103" s="6" t="s">
        <v>2186</v>
      </c>
      <c r="H103" s="3" t="s">
        <v>2188</v>
      </c>
      <c r="I103" s="3" t="s">
        <v>2190</v>
      </c>
      <c r="J103" s="3" t="s">
        <v>349</v>
      </c>
      <c r="K103" s="3" t="s">
        <v>45</v>
      </c>
      <c r="L103" s="3"/>
      <c r="M103" s="3" t="s">
        <v>88</v>
      </c>
      <c r="N103" s="6" t="s">
        <v>161</v>
      </c>
      <c r="O103" s="3" t="s">
        <v>63</v>
      </c>
      <c r="P103" s="3" t="s">
        <v>324</v>
      </c>
      <c r="Q103" s="3"/>
      <c r="R103" s="3" t="s">
        <v>258</v>
      </c>
      <c r="S103" s="7">
        <v>39579.0</v>
      </c>
      <c r="T103" s="3" t="s">
        <v>63</v>
      </c>
      <c r="U103" s="6" t="s">
        <v>234</v>
      </c>
      <c r="V103" s="3" t="s">
        <v>4</v>
      </c>
      <c r="W103" s="3" t="s">
        <v>102</v>
      </c>
    </row>
    <row r="104" ht="15.75" customHeight="1">
      <c r="A104" s="6" t="s">
        <v>748</v>
      </c>
      <c r="B104" s="3" t="s">
        <v>1634</v>
      </c>
      <c r="C104" s="7">
        <v>24859.0</v>
      </c>
      <c r="D104" s="3" t="s">
        <v>63</v>
      </c>
      <c r="E104" s="3">
        <v>58.0</v>
      </c>
      <c r="F104" s="3" t="s">
        <v>70</v>
      </c>
      <c r="G104" s="6" t="s">
        <v>2198</v>
      </c>
      <c r="H104" s="3" t="s">
        <v>1640</v>
      </c>
      <c r="I104" s="3" t="s">
        <v>1642</v>
      </c>
      <c r="J104" s="3" t="s">
        <v>119</v>
      </c>
      <c r="K104" s="3" t="s">
        <v>121</v>
      </c>
      <c r="L104" s="3"/>
      <c r="M104" s="3" t="s">
        <v>88</v>
      </c>
      <c r="N104" s="6" t="s">
        <v>1645</v>
      </c>
      <c r="O104" s="3" t="s">
        <v>63</v>
      </c>
      <c r="P104" s="3" t="s">
        <v>202</v>
      </c>
      <c r="Q104" s="8">
        <v>1611770.0</v>
      </c>
      <c r="R104" s="3" t="s">
        <v>93</v>
      </c>
      <c r="S104" s="7">
        <v>39924.0</v>
      </c>
      <c r="T104" s="3" t="s">
        <v>63</v>
      </c>
      <c r="U104" s="6" t="s">
        <v>277</v>
      </c>
      <c r="V104" s="3" t="s">
        <v>4</v>
      </c>
      <c r="W104" s="3" t="s">
        <v>378</v>
      </c>
    </row>
    <row r="105" ht="15.75" customHeight="1">
      <c r="A105" s="6" t="s">
        <v>2210</v>
      </c>
      <c r="B105" s="3" t="s">
        <v>2212</v>
      </c>
      <c r="C105" s="7">
        <v>31420.0</v>
      </c>
      <c r="D105" s="3" t="s">
        <v>63</v>
      </c>
      <c r="E105" s="3">
        <v>40.0</v>
      </c>
      <c r="F105" s="3" t="s">
        <v>70</v>
      </c>
      <c r="G105" s="6" t="s">
        <v>2216</v>
      </c>
      <c r="H105" s="3" t="s">
        <v>2218</v>
      </c>
      <c r="I105" s="3" t="s">
        <v>2219</v>
      </c>
      <c r="J105" s="3" t="s">
        <v>305</v>
      </c>
      <c r="K105" s="3" t="s">
        <v>193</v>
      </c>
      <c r="L105" s="6" t="s">
        <v>2224</v>
      </c>
      <c r="M105" s="3" t="s">
        <v>63</v>
      </c>
      <c r="N105" s="6" t="s">
        <v>2226</v>
      </c>
      <c r="O105" s="3" t="s">
        <v>63</v>
      </c>
      <c r="P105" s="3" t="s">
        <v>396</v>
      </c>
      <c r="Q105" s="8">
        <v>2259603.0</v>
      </c>
      <c r="R105" s="3" t="s">
        <v>93</v>
      </c>
      <c r="S105" s="7">
        <v>42309.0</v>
      </c>
      <c r="T105" s="3" t="s">
        <v>63</v>
      </c>
      <c r="U105" s="6" t="s">
        <v>60</v>
      </c>
      <c r="V105" s="3" t="s">
        <v>4</v>
      </c>
      <c r="W105" s="3" t="s">
        <v>102</v>
      </c>
    </row>
    <row r="106" ht="15.75" customHeight="1">
      <c r="A106" s="6" t="s">
        <v>2233</v>
      </c>
      <c r="B106" s="3" t="s">
        <v>2234</v>
      </c>
      <c r="C106" s="7">
        <v>33712.0</v>
      </c>
      <c r="D106" s="3" t="s">
        <v>63</v>
      </c>
      <c r="E106" s="3">
        <v>34.0</v>
      </c>
      <c r="F106" s="3" t="s">
        <v>70</v>
      </c>
      <c r="G106" s="3"/>
      <c r="H106" s="3" t="s">
        <v>2238</v>
      </c>
      <c r="I106" s="3" t="s">
        <v>2239</v>
      </c>
      <c r="J106" s="3" t="s">
        <v>251</v>
      </c>
      <c r="K106" s="3" t="s">
        <v>251</v>
      </c>
      <c r="L106" s="6" t="s">
        <v>2243</v>
      </c>
      <c r="M106" s="3" t="s">
        <v>63</v>
      </c>
      <c r="N106" s="6" t="s">
        <v>2244</v>
      </c>
      <c r="O106" s="3" t="s">
        <v>63</v>
      </c>
      <c r="P106" s="3" t="s">
        <v>464</v>
      </c>
      <c r="Q106" s="3"/>
      <c r="R106" s="3" t="s">
        <v>258</v>
      </c>
      <c r="S106" s="7">
        <v>45727.0</v>
      </c>
      <c r="T106" s="3" t="s">
        <v>63</v>
      </c>
      <c r="U106" s="6" t="s">
        <v>333</v>
      </c>
      <c r="V106" s="3" t="s">
        <v>4</v>
      </c>
      <c r="W106" s="3" t="s">
        <v>102</v>
      </c>
    </row>
    <row r="107" ht="15.75" customHeight="1">
      <c r="A107" s="6" t="s">
        <v>1542</v>
      </c>
      <c r="B107" s="3" t="s">
        <v>2249</v>
      </c>
      <c r="C107" s="7">
        <v>26598.0</v>
      </c>
      <c r="D107" s="3" t="s">
        <v>63</v>
      </c>
      <c r="E107" s="3">
        <v>53.0</v>
      </c>
      <c r="F107" s="3" t="s">
        <v>183</v>
      </c>
      <c r="G107" s="6" t="s">
        <v>2253</v>
      </c>
      <c r="H107" s="3" t="s">
        <v>2254</v>
      </c>
      <c r="I107" s="3" t="s">
        <v>2255</v>
      </c>
      <c r="J107" s="3" t="s">
        <v>349</v>
      </c>
      <c r="K107" s="3" t="s">
        <v>45</v>
      </c>
      <c r="L107" s="6" t="s">
        <v>2259</v>
      </c>
      <c r="M107" s="3" t="s">
        <v>63</v>
      </c>
      <c r="N107" s="6" t="s">
        <v>2261</v>
      </c>
      <c r="O107" s="3" t="s">
        <v>63</v>
      </c>
      <c r="P107" s="3" t="s">
        <v>90</v>
      </c>
      <c r="Q107" s="8">
        <v>1676596.0</v>
      </c>
      <c r="R107" s="3" t="s">
        <v>93</v>
      </c>
      <c r="S107" s="7">
        <v>41886.0</v>
      </c>
      <c r="T107" s="3" t="s">
        <v>63</v>
      </c>
      <c r="U107" s="6" t="s">
        <v>221</v>
      </c>
      <c r="V107" s="3" t="s">
        <v>4</v>
      </c>
      <c r="W107" s="3" t="s">
        <v>102</v>
      </c>
    </row>
    <row r="108" ht="15.75" customHeight="1">
      <c r="A108" s="6" t="s">
        <v>2268</v>
      </c>
      <c r="B108" s="3" t="s">
        <v>2270</v>
      </c>
      <c r="C108" s="7">
        <v>21292.0</v>
      </c>
      <c r="D108" s="3" t="s">
        <v>63</v>
      </c>
      <c r="E108" s="3">
        <v>68.0</v>
      </c>
      <c r="F108" s="3" t="s">
        <v>183</v>
      </c>
      <c r="G108" s="6" t="s">
        <v>2273</v>
      </c>
      <c r="H108" s="3" t="s">
        <v>2274</v>
      </c>
      <c r="I108" s="3" t="s">
        <v>2275</v>
      </c>
      <c r="J108" s="3" t="s">
        <v>379</v>
      </c>
      <c r="K108" s="3" t="s">
        <v>229</v>
      </c>
      <c r="L108" s="6" t="s">
        <v>2278</v>
      </c>
      <c r="M108" s="3" t="s">
        <v>63</v>
      </c>
      <c r="N108" s="6" t="s">
        <v>2281</v>
      </c>
      <c r="O108" s="3" t="s">
        <v>63</v>
      </c>
      <c r="P108" s="3" t="s">
        <v>127</v>
      </c>
      <c r="Q108" s="8">
        <v>2249171.0</v>
      </c>
      <c r="R108" s="3" t="s">
        <v>93</v>
      </c>
      <c r="S108" s="7">
        <v>41640.0</v>
      </c>
      <c r="T108" s="3" t="s">
        <v>63</v>
      </c>
      <c r="U108" s="6" t="s">
        <v>92</v>
      </c>
      <c r="V108" s="3" t="s">
        <v>4</v>
      </c>
      <c r="W108" s="3" t="s">
        <v>378</v>
      </c>
    </row>
    <row r="109" ht="15.75" customHeight="1">
      <c r="A109" s="6" t="s">
        <v>1597</v>
      </c>
      <c r="B109" s="3" t="s">
        <v>2286</v>
      </c>
      <c r="C109" s="7">
        <v>21333.0</v>
      </c>
      <c r="D109" s="3" t="s">
        <v>63</v>
      </c>
      <c r="E109" s="3">
        <v>68.0</v>
      </c>
      <c r="F109" s="3" t="s">
        <v>70</v>
      </c>
      <c r="G109" s="6" t="s">
        <v>2290</v>
      </c>
      <c r="H109" s="3" t="s">
        <v>2292</v>
      </c>
      <c r="I109" s="3" t="s">
        <v>2294</v>
      </c>
      <c r="J109" s="3" t="s">
        <v>190</v>
      </c>
      <c r="K109" s="3" t="s">
        <v>193</v>
      </c>
      <c r="L109" s="3"/>
      <c r="M109" s="3" t="s">
        <v>88</v>
      </c>
      <c r="N109" s="6" t="s">
        <v>2295</v>
      </c>
      <c r="O109" s="3" t="s">
        <v>63</v>
      </c>
      <c r="P109" s="3" t="s">
        <v>372</v>
      </c>
      <c r="Q109" s="3"/>
      <c r="R109" s="3" t="s">
        <v>258</v>
      </c>
      <c r="S109" s="7">
        <v>41615.0</v>
      </c>
      <c r="T109" s="3" t="s">
        <v>63</v>
      </c>
      <c r="U109" s="6" t="s">
        <v>129</v>
      </c>
      <c r="V109" s="3" t="s">
        <v>4</v>
      </c>
      <c r="W109" s="3" t="s">
        <v>102</v>
      </c>
    </row>
    <row r="110" ht="15.75" customHeight="1">
      <c r="A110" s="6" t="s">
        <v>1154</v>
      </c>
      <c r="B110" s="3" t="s">
        <v>2299</v>
      </c>
      <c r="C110" s="7">
        <v>26855.0</v>
      </c>
      <c r="D110" s="3" t="s">
        <v>63</v>
      </c>
      <c r="E110" s="3">
        <v>53.0</v>
      </c>
      <c r="F110" s="3" t="s">
        <v>183</v>
      </c>
      <c r="G110" s="6" t="s">
        <v>2301</v>
      </c>
      <c r="H110" s="3" t="s">
        <v>2302</v>
      </c>
      <c r="I110" s="3" t="s">
        <v>2303</v>
      </c>
      <c r="J110" s="3" t="s">
        <v>250</v>
      </c>
      <c r="K110" s="3" t="s">
        <v>252</v>
      </c>
      <c r="L110" s="6" t="s">
        <v>2248</v>
      </c>
      <c r="M110" s="3" t="s">
        <v>63</v>
      </c>
      <c r="N110" s="6" t="s">
        <v>2251</v>
      </c>
      <c r="O110" s="3" t="s">
        <v>63</v>
      </c>
      <c r="P110" s="3" t="s">
        <v>324</v>
      </c>
      <c r="Q110" s="3"/>
      <c r="R110" s="3" t="s">
        <v>258</v>
      </c>
      <c r="S110" s="7">
        <v>42954.0</v>
      </c>
      <c r="T110" s="3" t="s">
        <v>63</v>
      </c>
      <c r="U110" s="6" t="s">
        <v>323</v>
      </c>
      <c r="V110" s="3" t="s">
        <v>4</v>
      </c>
      <c r="W110" s="3" t="s">
        <v>102</v>
      </c>
    </row>
    <row r="111" ht="15.75" customHeight="1">
      <c r="A111" s="6" t="s">
        <v>2310</v>
      </c>
      <c r="B111" s="3" t="s">
        <v>2311</v>
      </c>
      <c r="C111" s="7">
        <v>33077.0</v>
      </c>
      <c r="D111" s="3" t="s">
        <v>63</v>
      </c>
      <c r="E111" s="3">
        <v>36.0</v>
      </c>
      <c r="F111" s="3" t="s">
        <v>183</v>
      </c>
      <c r="G111" s="6" t="s">
        <v>2312</v>
      </c>
      <c r="H111" s="3" t="s">
        <v>2314</v>
      </c>
      <c r="I111" s="3" t="s">
        <v>2316</v>
      </c>
      <c r="J111" s="3" t="s">
        <v>43</v>
      </c>
      <c r="K111" s="3" t="s">
        <v>45</v>
      </c>
      <c r="L111" s="6" t="s">
        <v>2318</v>
      </c>
      <c r="M111" s="3" t="s">
        <v>63</v>
      </c>
      <c r="N111" s="6" t="s">
        <v>2320</v>
      </c>
      <c r="O111" s="3" t="s">
        <v>63</v>
      </c>
      <c r="P111" s="3" t="s">
        <v>372</v>
      </c>
      <c r="Q111" s="3"/>
      <c r="R111" s="3" t="s">
        <v>258</v>
      </c>
      <c r="S111" s="7">
        <v>40621.0</v>
      </c>
      <c r="T111" s="3" t="s">
        <v>63</v>
      </c>
      <c r="U111" s="6" t="s">
        <v>163</v>
      </c>
      <c r="V111" s="3" t="s">
        <v>4</v>
      </c>
      <c r="W111" s="3" t="s">
        <v>102</v>
      </c>
    </row>
    <row r="112" ht="15.75" customHeight="1">
      <c r="A112" s="6" t="s">
        <v>739</v>
      </c>
      <c r="B112" s="3" t="s">
        <v>2324</v>
      </c>
      <c r="C112" s="7">
        <v>28341.0</v>
      </c>
      <c r="D112" s="3" t="s">
        <v>63</v>
      </c>
      <c r="E112" s="3">
        <v>49.0</v>
      </c>
      <c r="F112" s="3" t="s">
        <v>183</v>
      </c>
      <c r="G112" s="6" t="s">
        <v>2327</v>
      </c>
      <c r="H112" s="3" t="s">
        <v>2329</v>
      </c>
      <c r="I112" s="3" t="s">
        <v>2330</v>
      </c>
      <c r="J112" s="3" t="s">
        <v>134</v>
      </c>
      <c r="K112" s="3" t="s">
        <v>137</v>
      </c>
      <c r="L112" s="6" t="s">
        <v>741</v>
      </c>
      <c r="M112" s="3" t="s">
        <v>63</v>
      </c>
      <c r="N112" s="6" t="s">
        <v>744</v>
      </c>
      <c r="O112" s="3" t="s">
        <v>63</v>
      </c>
      <c r="P112" s="3" t="s">
        <v>160</v>
      </c>
      <c r="Q112" s="8">
        <v>2110321.0</v>
      </c>
      <c r="R112" s="3" t="s">
        <v>93</v>
      </c>
      <c r="S112" s="7">
        <v>43776.0</v>
      </c>
      <c r="T112" s="3" t="s">
        <v>63</v>
      </c>
      <c r="U112" s="6" t="s">
        <v>129</v>
      </c>
      <c r="V112" s="3" t="s">
        <v>237</v>
      </c>
      <c r="W112" s="3" t="s">
        <v>102</v>
      </c>
    </row>
    <row r="113" ht="15.75" customHeight="1">
      <c r="A113" s="6" t="s">
        <v>2339</v>
      </c>
      <c r="B113" s="3" t="s">
        <v>2340</v>
      </c>
      <c r="C113" s="7">
        <v>30032.0</v>
      </c>
      <c r="D113" s="3" t="s">
        <v>63</v>
      </c>
      <c r="E113" s="3">
        <v>44.0</v>
      </c>
      <c r="F113" s="3" t="s">
        <v>70</v>
      </c>
      <c r="G113" s="6" t="s">
        <v>2345</v>
      </c>
      <c r="H113" s="3" t="s">
        <v>2346</v>
      </c>
      <c r="I113" s="3" t="s">
        <v>2348</v>
      </c>
      <c r="J113" s="3" t="s">
        <v>282</v>
      </c>
      <c r="K113" s="3" t="s">
        <v>229</v>
      </c>
      <c r="L113" s="6" t="s">
        <v>2350</v>
      </c>
      <c r="M113" s="3" t="s">
        <v>63</v>
      </c>
      <c r="N113" s="6" t="s">
        <v>2352</v>
      </c>
      <c r="O113" s="3" t="s">
        <v>63</v>
      </c>
      <c r="P113" s="3" t="s">
        <v>372</v>
      </c>
      <c r="Q113" s="3"/>
      <c r="R113" s="3" t="s">
        <v>258</v>
      </c>
      <c r="S113" s="7">
        <v>38978.0</v>
      </c>
      <c r="T113" s="3" t="s">
        <v>63</v>
      </c>
      <c r="U113" s="6" t="s">
        <v>288</v>
      </c>
      <c r="V113" s="3" t="s">
        <v>4</v>
      </c>
      <c r="W113" s="3" t="s">
        <v>378</v>
      </c>
    </row>
    <row r="114" ht="15.75" customHeight="1">
      <c r="A114" s="6" t="s">
        <v>2357</v>
      </c>
      <c r="B114" s="3" t="s">
        <v>2359</v>
      </c>
      <c r="C114" s="7">
        <v>30573.0</v>
      </c>
      <c r="D114" s="3" t="s">
        <v>63</v>
      </c>
      <c r="E114" s="3">
        <v>42.0</v>
      </c>
      <c r="F114" s="3" t="s">
        <v>70</v>
      </c>
      <c r="G114" s="6" t="s">
        <v>2363</v>
      </c>
      <c r="H114" s="3"/>
      <c r="I114" s="3" t="s">
        <v>2364</v>
      </c>
      <c r="J114" s="3" t="s">
        <v>134</v>
      </c>
      <c r="K114" s="3" t="s">
        <v>137</v>
      </c>
      <c r="L114" s="3"/>
      <c r="M114" s="3" t="s">
        <v>88</v>
      </c>
      <c r="N114" s="6" t="s">
        <v>2367</v>
      </c>
      <c r="O114" s="3" t="s">
        <v>63</v>
      </c>
      <c r="P114" s="3" t="s">
        <v>300</v>
      </c>
      <c r="Q114" s="8">
        <v>156132.0</v>
      </c>
      <c r="R114" s="3" t="s">
        <v>93</v>
      </c>
      <c r="S114" s="7">
        <v>45308.0</v>
      </c>
      <c r="T114" s="3" t="s">
        <v>63</v>
      </c>
      <c r="U114" s="6" t="s">
        <v>92</v>
      </c>
      <c r="V114" s="3" t="s">
        <v>4</v>
      </c>
      <c r="W114" s="3" t="s">
        <v>102</v>
      </c>
    </row>
    <row r="115" ht="15.75" customHeight="1">
      <c r="A115" s="6" t="s">
        <v>760</v>
      </c>
      <c r="B115" s="3" t="s">
        <v>2371</v>
      </c>
      <c r="C115" s="7">
        <v>36475.0</v>
      </c>
      <c r="D115" s="3" t="s">
        <v>63</v>
      </c>
      <c r="E115" s="3">
        <v>26.0</v>
      </c>
      <c r="F115" s="3" t="s">
        <v>70</v>
      </c>
      <c r="G115" s="6" t="s">
        <v>2375</v>
      </c>
      <c r="H115" s="3" t="s">
        <v>2376</v>
      </c>
      <c r="I115" s="3" t="s">
        <v>2377</v>
      </c>
      <c r="J115" s="3" t="s">
        <v>184</v>
      </c>
      <c r="K115" s="3" t="s">
        <v>187</v>
      </c>
      <c r="L115" s="6" t="s">
        <v>762</v>
      </c>
      <c r="M115" s="3" t="s">
        <v>63</v>
      </c>
      <c r="N115" s="6" t="s">
        <v>763</v>
      </c>
      <c r="O115" s="3" t="s">
        <v>63</v>
      </c>
      <c r="P115" s="3" t="s">
        <v>90</v>
      </c>
      <c r="Q115" s="3"/>
      <c r="R115" s="3" t="s">
        <v>258</v>
      </c>
      <c r="S115" s="7">
        <v>40903.0</v>
      </c>
      <c r="T115" s="3" t="s">
        <v>63</v>
      </c>
      <c r="U115" s="6" t="s">
        <v>262</v>
      </c>
      <c r="V115" s="3" t="s">
        <v>4</v>
      </c>
      <c r="W115" s="3" t="s">
        <v>102</v>
      </c>
    </row>
    <row r="116" ht="15.75" customHeight="1">
      <c r="A116" s="6" t="s">
        <v>1197</v>
      </c>
      <c r="B116" s="3" t="s">
        <v>2384</v>
      </c>
      <c r="C116" s="7">
        <v>27487.0</v>
      </c>
      <c r="D116" s="3" t="s">
        <v>63</v>
      </c>
      <c r="E116" s="3">
        <v>51.0</v>
      </c>
      <c r="F116" s="3" t="s">
        <v>70</v>
      </c>
      <c r="G116" s="6" t="s">
        <v>2387</v>
      </c>
      <c r="H116" s="3" t="s">
        <v>2388</v>
      </c>
      <c r="I116" s="3" t="s">
        <v>2389</v>
      </c>
      <c r="J116" s="3" t="s">
        <v>251</v>
      </c>
      <c r="K116" s="3" t="s">
        <v>251</v>
      </c>
      <c r="L116" s="6" t="s">
        <v>2390</v>
      </c>
      <c r="M116" s="3" t="s">
        <v>63</v>
      </c>
      <c r="N116" s="3"/>
      <c r="O116" s="3" t="s">
        <v>88</v>
      </c>
      <c r="P116" s="3" t="s">
        <v>160</v>
      </c>
      <c r="Q116" s="3"/>
      <c r="R116" s="3" t="s">
        <v>258</v>
      </c>
      <c r="S116" s="7">
        <v>43533.0</v>
      </c>
      <c r="T116" s="3" t="s">
        <v>63</v>
      </c>
      <c r="U116" s="6" t="s">
        <v>92</v>
      </c>
      <c r="V116" s="3" t="s">
        <v>4</v>
      </c>
      <c r="W116" s="3" t="s">
        <v>102</v>
      </c>
    </row>
    <row r="117" ht="15.75" customHeight="1">
      <c r="A117" s="6" t="s">
        <v>2397</v>
      </c>
      <c r="B117" s="3" t="s">
        <v>1719</v>
      </c>
      <c r="C117" s="7">
        <v>30778.0</v>
      </c>
      <c r="D117" s="3" t="s">
        <v>63</v>
      </c>
      <c r="E117" s="3">
        <v>42.0</v>
      </c>
      <c r="F117" s="3" t="s">
        <v>70</v>
      </c>
      <c r="G117" s="6" t="s">
        <v>2401</v>
      </c>
      <c r="H117" s="3" t="s">
        <v>1725</v>
      </c>
      <c r="I117" s="3" t="s">
        <v>1726</v>
      </c>
      <c r="J117" s="3" t="s">
        <v>134</v>
      </c>
      <c r="K117" s="3" t="s">
        <v>137</v>
      </c>
      <c r="L117" s="6" t="s">
        <v>791</v>
      </c>
      <c r="M117" s="3" t="s">
        <v>63</v>
      </c>
      <c r="N117" s="6" t="s">
        <v>793</v>
      </c>
      <c r="O117" s="3" t="s">
        <v>63</v>
      </c>
      <c r="P117" s="3" t="s">
        <v>160</v>
      </c>
      <c r="Q117" s="8">
        <v>1492326.0</v>
      </c>
      <c r="R117" s="3" t="s">
        <v>93</v>
      </c>
      <c r="S117" s="7">
        <v>40926.0</v>
      </c>
      <c r="T117" s="3" t="s">
        <v>63</v>
      </c>
      <c r="U117" s="6" t="s">
        <v>262</v>
      </c>
      <c r="V117" s="3" t="s">
        <v>4</v>
      </c>
      <c r="W117" s="3" t="s">
        <v>378</v>
      </c>
    </row>
    <row r="118" ht="15.75" customHeight="1">
      <c r="A118" s="6" t="s">
        <v>1265</v>
      </c>
      <c r="B118" s="3" t="s">
        <v>2412</v>
      </c>
      <c r="C118" s="7">
        <v>30426.0</v>
      </c>
      <c r="D118" s="3" t="s">
        <v>63</v>
      </c>
      <c r="E118" s="3">
        <v>43.0</v>
      </c>
      <c r="F118" s="3" t="s">
        <v>183</v>
      </c>
      <c r="G118" s="6" t="s">
        <v>2415</v>
      </c>
      <c r="H118" s="3" t="s">
        <v>2416</v>
      </c>
      <c r="I118" s="3" t="s">
        <v>2418</v>
      </c>
      <c r="J118" s="3" t="s">
        <v>201</v>
      </c>
      <c r="K118" s="3" t="s">
        <v>203</v>
      </c>
      <c r="L118" s="6" t="s">
        <v>2421</v>
      </c>
      <c r="M118" s="3" t="s">
        <v>63</v>
      </c>
      <c r="N118" s="6" t="s">
        <v>2422</v>
      </c>
      <c r="O118" s="3" t="s">
        <v>63</v>
      </c>
      <c r="P118" s="3" t="s">
        <v>127</v>
      </c>
      <c r="Q118" s="8">
        <v>2492209.0</v>
      </c>
      <c r="R118" s="3" t="s">
        <v>93</v>
      </c>
      <c r="S118" s="7">
        <v>38388.0</v>
      </c>
      <c r="T118" s="3" t="s">
        <v>63</v>
      </c>
      <c r="U118" s="6" t="s">
        <v>197</v>
      </c>
      <c r="V118" s="3" t="s">
        <v>4</v>
      </c>
      <c r="W118" s="3" t="s">
        <v>102</v>
      </c>
    </row>
    <row r="119" ht="15.75" customHeight="1">
      <c r="A119" s="6" t="s">
        <v>1975</v>
      </c>
      <c r="B119" s="3" t="s">
        <v>2429</v>
      </c>
      <c r="C119" s="7">
        <v>24567.0</v>
      </c>
      <c r="D119" s="3" t="s">
        <v>63</v>
      </c>
      <c r="E119" s="3">
        <v>59.0</v>
      </c>
      <c r="F119" s="3" t="s">
        <v>183</v>
      </c>
      <c r="G119" s="6" t="s">
        <v>2430</v>
      </c>
      <c r="H119" s="3" t="s">
        <v>2432</v>
      </c>
      <c r="I119" s="3" t="s">
        <v>2434</v>
      </c>
      <c r="J119" s="3" t="s">
        <v>305</v>
      </c>
      <c r="K119" s="3" t="s">
        <v>193</v>
      </c>
      <c r="L119" s="6" t="s">
        <v>2436</v>
      </c>
      <c r="M119" s="3" t="s">
        <v>63</v>
      </c>
      <c r="N119" s="3"/>
      <c r="O119" s="3" t="s">
        <v>88</v>
      </c>
      <c r="P119" s="3" t="s">
        <v>202</v>
      </c>
      <c r="Q119" s="3"/>
      <c r="R119" s="3" t="s">
        <v>258</v>
      </c>
      <c r="S119" s="7">
        <v>44066.0</v>
      </c>
      <c r="T119" s="3" t="s">
        <v>63</v>
      </c>
      <c r="U119" s="6" t="s">
        <v>179</v>
      </c>
      <c r="V119" s="3" t="s">
        <v>4</v>
      </c>
      <c r="W119" s="3" t="s">
        <v>102</v>
      </c>
    </row>
    <row r="120" ht="15.75" customHeight="1">
      <c r="A120" s="6" t="s">
        <v>2442</v>
      </c>
      <c r="B120" s="3" t="s">
        <v>2444</v>
      </c>
      <c r="C120" s="7">
        <v>34999.0</v>
      </c>
      <c r="D120" s="3" t="s">
        <v>63</v>
      </c>
      <c r="E120" s="3">
        <v>30.0</v>
      </c>
      <c r="F120" s="3" t="s">
        <v>70</v>
      </c>
      <c r="G120" s="6" t="s">
        <v>1049</v>
      </c>
      <c r="H120" s="3" t="s">
        <v>2446</v>
      </c>
      <c r="I120" s="3" t="s">
        <v>2448</v>
      </c>
      <c r="J120" s="3" t="s">
        <v>114</v>
      </c>
      <c r="K120" s="3" t="s">
        <v>118</v>
      </c>
      <c r="L120" s="6" t="s">
        <v>2449</v>
      </c>
      <c r="M120" s="3" t="s">
        <v>63</v>
      </c>
      <c r="N120" s="6" t="s">
        <v>2451</v>
      </c>
      <c r="O120" s="3" t="s">
        <v>63</v>
      </c>
      <c r="P120" s="3" t="s">
        <v>90</v>
      </c>
      <c r="Q120" s="3"/>
      <c r="R120" s="3" t="s">
        <v>258</v>
      </c>
      <c r="S120" s="7">
        <v>42107.0</v>
      </c>
      <c r="T120" s="3" t="s">
        <v>63</v>
      </c>
      <c r="U120" s="6" t="s">
        <v>301</v>
      </c>
      <c r="V120" s="3" t="s">
        <v>237</v>
      </c>
      <c r="W120" s="3" t="s">
        <v>102</v>
      </c>
    </row>
    <row r="121" ht="15.75" customHeight="1">
      <c r="A121" s="6" t="s">
        <v>2456</v>
      </c>
      <c r="B121" s="3" t="s">
        <v>2458</v>
      </c>
      <c r="C121" s="7">
        <v>25845.0</v>
      </c>
      <c r="D121" s="3" t="s">
        <v>63</v>
      </c>
      <c r="E121" s="3">
        <v>55.0</v>
      </c>
      <c r="F121" s="3" t="s">
        <v>183</v>
      </c>
      <c r="G121" s="6" t="s">
        <v>2462</v>
      </c>
      <c r="H121" s="3" t="s">
        <v>2463</v>
      </c>
      <c r="I121" s="3" t="s">
        <v>2465</v>
      </c>
      <c r="J121" s="3" t="s">
        <v>349</v>
      </c>
      <c r="K121" s="3" t="s">
        <v>45</v>
      </c>
      <c r="L121" s="6" t="s">
        <v>2466</v>
      </c>
      <c r="M121" s="3" t="s">
        <v>63</v>
      </c>
      <c r="N121" s="6" t="s">
        <v>2468</v>
      </c>
      <c r="O121" s="3" t="s">
        <v>63</v>
      </c>
      <c r="P121" s="3" t="s">
        <v>202</v>
      </c>
      <c r="Q121" s="3"/>
      <c r="R121" s="3" t="s">
        <v>258</v>
      </c>
      <c r="S121" s="7">
        <v>41418.0</v>
      </c>
      <c r="T121" s="3" t="s">
        <v>63</v>
      </c>
      <c r="U121" s="6" t="s">
        <v>136</v>
      </c>
      <c r="V121" s="3" t="s">
        <v>4</v>
      </c>
      <c r="W121" s="3" t="s">
        <v>102</v>
      </c>
    </row>
    <row r="122" ht="15.75" customHeight="1">
      <c r="A122" s="6" t="s">
        <v>2476</v>
      </c>
      <c r="B122" s="3" t="s">
        <v>2479</v>
      </c>
      <c r="C122" s="7">
        <v>21677.0</v>
      </c>
      <c r="D122" s="3" t="s">
        <v>63</v>
      </c>
      <c r="E122" s="3">
        <v>67.0</v>
      </c>
      <c r="F122" s="3" t="s">
        <v>70</v>
      </c>
      <c r="G122" s="6" t="s">
        <v>2482</v>
      </c>
      <c r="H122" s="3" t="s">
        <v>2483</v>
      </c>
      <c r="I122" s="3" t="s">
        <v>2484</v>
      </c>
      <c r="J122" s="3" t="s">
        <v>327</v>
      </c>
      <c r="K122" s="3" t="s">
        <v>169</v>
      </c>
      <c r="L122" s="3"/>
      <c r="M122" s="3" t="s">
        <v>88</v>
      </c>
      <c r="N122" s="6" t="s">
        <v>2488</v>
      </c>
      <c r="O122" s="3" t="s">
        <v>63</v>
      </c>
      <c r="P122" s="3" t="s">
        <v>396</v>
      </c>
      <c r="Q122" s="3"/>
      <c r="R122" s="3" t="s">
        <v>258</v>
      </c>
      <c r="S122" s="7">
        <v>44530.0</v>
      </c>
      <c r="T122" s="3" t="s">
        <v>63</v>
      </c>
      <c r="U122" s="6" t="s">
        <v>301</v>
      </c>
      <c r="V122" s="3" t="s">
        <v>4</v>
      </c>
      <c r="W122" s="3" t="s">
        <v>102</v>
      </c>
    </row>
    <row r="123" ht="15.75" customHeight="1">
      <c r="A123" s="6" t="s">
        <v>2493</v>
      </c>
      <c r="B123" s="3" t="s">
        <v>2494</v>
      </c>
      <c r="C123" s="7">
        <v>20610.0</v>
      </c>
      <c r="D123" s="3" t="s">
        <v>63</v>
      </c>
      <c r="E123" s="3">
        <v>70.0</v>
      </c>
      <c r="F123" s="3" t="s">
        <v>183</v>
      </c>
      <c r="G123" s="6" t="s">
        <v>2499</v>
      </c>
      <c r="H123" s="3" t="s">
        <v>2500</v>
      </c>
      <c r="I123" s="3" t="s">
        <v>2501</v>
      </c>
      <c r="J123" s="3" t="s">
        <v>167</v>
      </c>
      <c r="K123" s="3" t="s">
        <v>169</v>
      </c>
      <c r="L123" s="6" t="s">
        <v>2502</v>
      </c>
      <c r="M123" s="3" t="s">
        <v>63</v>
      </c>
      <c r="N123" s="6" t="s">
        <v>2504</v>
      </c>
      <c r="O123" s="3" t="s">
        <v>63</v>
      </c>
      <c r="P123" s="3" t="s">
        <v>464</v>
      </c>
      <c r="Q123" s="3"/>
      <c r="R123" s="3" t="s">
        <v>258</v>
      </c>
      <c r="S123" s="7">
        <v>45659.0</v>
      </c>
      <c r="T123" s="3" t="s">
        <v>63</v>
      </c>
      <c r="U123" s="6" t="s">
        <v>163</v>
      </c>
      <c r="V123" s="3" t="s">
        <v>237</v>
      </c>
      <c r="W123" s="3" t="s">
        <v>102</v>
      </c>
    </row>
    <row r="124" ht="15.75" customHeight="1">
      <c r="A124" s="6" t="s">
        <v>2193</v>
      </c>
      <c r="B124" s="3" t="s">
        <v>2513</v>
      </c>
      <c r="C124" s="7">
        <v>38673.0</v>
      </c>
      <c r="D124" s="3" t="s">
        <v>63</v>
      </c>
      <c r="E124" s="3">
        <v>20.0</v>
      </c>
      <c r="F124" s="3" t="s">
        <v>70</v>
      </c>
      <c r="G124" s="6" t="s">
        <v>2519</v>
      </c>
      <c r="H124" s="3" t="s">
        <v>2520</v>
      </c>
      <c r="I124" s="3" t="s">
        <v>2521</v>
      </c>
      <c r="J124" s="3" t="s">
        <v>271</v>
      </c>
      <c r="K124" s="3" t="s">
        <v>273</v>
      </c>
      <c r="L124" s="6" t="s">
        <v>2524</v>
      </c>
      <c r="M124" s="3" t="s">
        <v>63</v>
      </c>
      <c r="N124" s="3"/>
      <c r="O124" s="3" t="s">
        <v>88</v>
      </c>
      <c r="P124" s="3" t="s">
        <v>372</v>
      </c>
      <c r="Q124" s="3"/>
      <c r="R124" s="3" t="s">
        <v>258</v>
      </c>
      <c r="S124" s="7">
        <v>40334.0</v>
      </c>
      <c r="T124" s="3" t="s">
        <v>63</v>
      </c>
      <c r="U124" s="6" t="s">
        <v>136</v>
      </c>
      <c r="V124" s="3" t="s">
        <v>4</v>
      </c>
      <c r="W124" s="3" t="s">
        <v>102</v>
      </c>
    </row>
    <row r="125" ht="15.75" customHeight="1">
      <c r="A125" s="6" t="s">
        <v>676</v>
      </c>
      <c r="B125" s="3" t="s">
        <v>2531</v>
      </c>
      <c r="C125" s="7">
        <v>21690.0</v>
      </c>
      <c r="D125" s="3" t="s">
        <v>63</v>
      </c>
      <c r="E125" s="3">
        <v>67.0</v>
      </c>
      <c r="F125" s="3" t="s">
        <v>183</v>
      </c>
      <c r="G125" s="6" t="s">
        <v>2538</v>
      </c>
      <c r="H125" s="3" t="s">
        <v>2539</v>
      </c>
      <c r="I125" s="3" t="s">
        <v>2540</v>
      </c>
      <c r="J125" s="3" t="s">
        <v>184</v>
      </c>
      <c r="K125" s="3" t="s">
        <v>187</v>
      </c>
      <c r="L125" s="6" t="s">
        <v>2541</v>
      </c>
      <c r="M125" s="3" t="s">
        <v>63</v>
      </c>
      <c r="N125" s="6" t="s">
        <v>2543</v>
      </c>
      <c r="O125" s="3" t="s">
        <v>63</v>
      </c>
      <c r="P125" s="3" t="s">
        <v>324</v>
      </c>
      <c r="Q125" s="3"/>
      <c r="R125" s="3" t="s">
        <v>258</v>
      </c>
      <c r="S125" s="7">
        <v>40053.0</v>
      </c>
      <c r="T125" s="3" t="s">
        <v>63</v>
      </c>
      <c r="U125" s="6" t="s">
        <v>221</v>
      </c>
      <c r="V125" s="3" t="s">
        <v>4</v>
      </c>
      <c r="W125" s="3" t="s">
        <v>102</v>
      </c>
    </row>
    <row r="126" ht="15.75" customHeight="1">
      <c r="A126" s="6" t="s">
        <v>2549</v>
      </c>
      <c r="B126" s="3" t="s">
        <v>2551</v>
      </c>
      <c r="C126" s="7">
        <v>38568.0</v>
      </c>
      <c r="D126" s="3" t="s">
        <v>63</v>
      </c>
      <c r="E126" s="3">
        <v>21.0</v>
      </c>
      <c r="F126" s="3" t="s">
        <v>183</v>
      </c>
      <c r="G126" s="6" t="s">
        <v>2555</v>
      </c>
      <c r="H126" s="3" t="s">
        <v>2556</v>
      </c>
      <c r="I126" s="3" t="s">
        <v>2557</v>
      </c>
      <c r="J126" s="3" t="s">
        <v>349</v>
      </c>
      <c r="K126" s="3" t="s">
        <v>45</v>
      </c>
      <c r="L126" s="6" t="s">
        <v>2560</v>
      </c>
      <c r="M126" s="3" t="s">
        <v>63</v>
      </c>
      <c r="N126" s="6" t="s">
        <v>2562</v>
      </c>
      <c r="O126" s="3" t="s">
        <v>63</v>
      </c>
      <c r="P126" s="3" t="s">
        <v>160</v>
      </c>
      <c r="Q126" s="8">
        <v>1698673.0</v>
      </c>
      <c r="R126" s="3" t="s">
        <v>93</v>
      </c>
      <c r="S126" s="7">
        <v>44031.0</v>
      </c>
      <c r="T126" s="3" t="s">
        <v>63</v>
      </c>
      <c r="U126" s="6" t="s">
        <v>171</v>
      </c>
      <c r="V126" s="3" t="s">
        <v>4</v>
      </c>
      <c r="W126" s="3" t="s">
        <v>102</v>
      </c>
    </row>
    <row r="127" ht="15.75" customHeight="1">
      <c r="A127" s="6" t="s">
        <v>2569</v>
      </c>
      <c r="B127" s="3" t="s">
        <v>2270</v>
      </c>
      <c r="C127" s="7">
        <v>21292.0</v>
      </c>
      <c r="D127" s="3" t="s">
        <v>63</v>
      </c>
      <c r="E127" s="3">
        <v>68.0</v>
      </c>
      <c r="F127" s="3" t="s">
        <v>183</v>
      </c>
      <c r="G127" s="6" t="s">
        <v>2573</v>
      </c>
      <c r="H127" s="3" t="s">
        <v>2274</v>
      </c>
      <c r="I127" s="3" t="s">
        <v>2275</v>
      </c>
      <c r="J127" s="3" t="s">
        <v>379</v>
      </c>
      <c r="K127" s="3" t="s">
        <v>229</v>
      </c>
      <c r="L127" s="6" t="s">
        <v>2278</v>
      </c>
      <c r="M127" s="3" t="s">
        <v>63</v>
      </c>
      <c r="N127" s="6" t="s">
        <v>2281</v>
      </c>
      <c r="O127" s="3" t="s">
        <v>63</v>
      </c>
      <c r="P127" s="3" t="s">
        <v>127</v>
      </c>
      <c r="Q127" s="8">
        <v>2249171.0</v>
      </c>
      <c r="R127" s="3" t="s">
        <v>93</v>
      </c>
      <c r="S127" s="7">
        <v>41640.0</v>
      </c>
      <c r="T127" s="3" t="s">
        <v>63</v>
      </c>
      <c r="U127" s="6" t="s">
        <v>92</v>
      </c>
      <c r="V127" s="3" t="s">
        <v>4</v>
      </c>
      <c r="W127" s="3" t="s">
        <v>378</v>
      </c>
    </row>
    <row r="128" ht="15.75" customHeight="1">
      <c r="A128" s="6" t="s">
        <v>1554</v>
      </c>
      <c r="B128" s="3" t="s">
        <v>2588</v>
      </c>
      <c r="C128" s="7">
        <v>37616.0</v>
      </c>
      <c r="D128" s="3" t="s">
        <v>63</v>
      </c>
      <c r="E128" s="3">
        <v>23.0</v>
      </c>
      <c r="F128" s="3" t="s">
        <v>183</v>
      </c>
      <c r="G128" s="6" t="s">
        <v>2591</v>
      </c>
      <c r="H128" s="3" t="s">
        <v>2593</v>
      </c>
      <c r="I128" s="3" t="s">
        <v>2594</v>
      </c>
      <c r="J128" s="3" t="s">
        <v>337</v>
      </c>
      <c r="K128" s="3" t="s">
        <v>137</v>
      </c>
      <c r="L128" s="6" t="s">
        <v>1558</v>
      </c>
      <c r="M128" s="3" t="s">
        <v>63</v>
      </c>
      <c r="N128" s="6" t="s">
        <v>1561</v>
      </c>
      <c r="O128" s="3" t="s">
        <v>63</v>
      </c>
      <c r="P128" s="3" t="s">
        <v>90</v>
      </c>
      <c r="Q128" s="8">
        <v>1416569.0</v>
      </c>
      <c r="R128" s="3" t="s">
        <v>93</v>
      </c>
      <c r="S128" s="7">
        <v>40096.0</v>
      </c>
      <c r="T128" s="3" t="s">
        <v>63</v>
      </c>
      <c r="U128" s="6" t="s">
        <v>401</v>
      </c>
      <c r="V128" s="3" t="s">
        <v>237</v>
      </c>
      <c r="W128" s="3" t="s">
        <v>102</v>
      </c>
    </row>
    <row r="129" ht="15.75" customHeight="1">
      <c r="A129" s="6" t="s">
        <v>1575</v>
      </c>
      <c r="B129" s="3" t="s">
        <v>2602</v>
      </c>
      <c r="C129" s="7">
        <v>33091.0</v>
      </c>
      <c r="D129" s="3" t="s">
        <v>63</v>
      </c>
      <c r="E129" s="3">
        <v>36.0</v>
      </c>
      <c r="F129" s="3" t="s">
        <v>70</v>
      </c>
      <c r="G129" s="6" t="s">
        <v>2608</v>
      </c>
      <c r="H129" s="3" t="s">
        <v>2609</v>
      </c>
      <c r="I129" s="3" t="s">
        <v>2611</v>
      </c>
      <c r="J129" s="3" t="s">
        <v>250</v>
      </c>
      <c r="K129" s="3" t="s">
        <v>252</v>
      </c>
      <c r="L129" s="3"/>
      <c r="M129" s="3" t="s">
        <v>88</v>
      </c>
      <c r="N129" s="6" t="s">
        <v>2613</v>
      </c>
      <c r="O129" s="3" t="s">
        <v>63</v>
      </c>
      <c r="P129" s="3" t="s">
        <v>160</v>
      </c>
      <c r="Q129" s="8">
        <v>391129.0</v>
      </c>
      <c r="R129" s="3" t="s">
        <v>93</v>
      </c>
      <c r="S129" s="7">
        <v>38937.0</v>
      </c>
      <c r="T129" s="3" t="s">
        <v>63</v>
      </c>
      <c r="U129" s="6" t="s">
        <v>234</v>
      </c>
      <c r="V129" s="3" t="s">
        <v>4</v>
      </c>
      <c r="W129" s="3" t="s">
        <v>102</v>
      </c>
    </row>
    <row r="130" ht="15.75" customHeight="1">
      <c r="A130" s="6" t="s">
        <v>2545</v>
      </c>
      <c r="B130" s="3" t="s">
        <v>2622</v>
      </c>
      <c r="C130" s="7">
        <v>27185.0</v>
      </c>
      <c r="D130" s="3" t="s">
        <v>63</v>
      </c>
      <c r="E130" s="3">
        <v>52.0</v>
      </c>
      <c r="F130" s="3" t="s">
        <v>70</v>
      </c>
      <c r="G130" s="6" t="s">
        <v>2628</v>
      </c>
      <c r="H130" s="3" t="s">
        <v>2630</v>
      </c>
      <c r="I130" s="3" t="s">
        <v>2631</v>
      </c>
      <c r="J130" s="3" t="s">
        <v>114</v>
      </c>
      <c r="K130" s="3" t="s">
        <v>118</v>
      </c>
      <c r="L130" s="6" t="s">
        <v>2546</v>
      </c>
      <c r="M130" s="3" t="s">
        <v>63</v>
      </c>
      <c r="N130" s="6" t="s">
        <v>2547</v>
      </c>
      <c r="O130" s="3" t="s">
        <v>63</v>
      </c>
      <c r="P130" s="3" t="s">
        <v>300</v>
      </c>
      <c r="Q130" s="8">
        <v>1654596.0</v>
      </c>
      <c r="R130" s="3" t="s">
        <v>93</v>
      </c>
      <c r="S130" s="7">
        <v>43577.0</v>
      </c>
      <c r="T130" s="3" t="s">
        <v>63</v>
      </c>
      <c r="U130" s="6" t="s">
        <v>146</v>
      </c>
      <c r="V130" s="3" t="s">
        <v>4</v>
      </c>
      <c r="W130" s="3" t="s">
        <v>102</v>
      </c>
    </row>
    <row r="131" ht="15.75" customHeight="1">
      <c r="A131" s="6" t="s">
        <v>2639</v>
      </c>
      <c r="B131" s="3" t="s">
        <v>2640</v>
      </c>
      <c r="C131" s="7">
        <v>23394.0</v>
      </c>
      <c r="D131" s="3" t="s">
        <v>63</v>
      </c>
      <c r="E131" s="3">
        <v>62.0</v>
      </c>
      <c r="F131" s="3" t="s">
        <v>183</v>
      </c>
      <c r="G131" s="6" t="s">
        <v>2641</v>
      </c>
      <c r="H131" s="3" t="s">
        <v>2642</v>
      </c>
      <c r="I131" s="3" t="s">
        <v>2643</v>
      </c>
      <c r="J131" s="3" t="s">
        <v>151</v>
      </c>
      <c r="K131" s="3" t="s">
        <v>121</v>
      </c>
      <c r="L131" s="6" t="s">
        <v>2645</v>
      </c>
      <c r="M131" s="3" t="s">
        <v>63</v>
      </c>
      <c r="N131" s="6" t="s">
        <v>2647</v>
      </c>
      <c r="O131" s="3" t="s">
        <v>63</v>
      </c>
      <c r="P131" s="3" t="s">
        <v>127</v>
      </c>
      <c r="Q131" s="8">
        <v>1324488.0</v>
      </c>
      <c r="R131" s="3" t="s">
        <v>93</v>
      </c>
      <c r="S131" s="7">
        <v>38471.0</v>
      </c>
      <c r="T131" s="3" t="s">
        <v>63</v>
      </c>
      <c r="U131" s="6" t="s">
        <v>146</v>
      </c>
      <c r="V131" s="3" t="s">
        <v>4</v>
      </c>
      <c r="W131" s="3" t="s">
        <v>102</v>
      </c>
    </row>
    <row r="132" ht="15.75" customHeight="1">
      <c r="A132" s="6" t="s">
        <v>2649</v>
      </c>
      <c r="B132" s="3" t="s">
        <v>2650</v>
      </c>
      <c r="C132" s="7">
        <v>24853.0</v>
      </c>
      <c r="D132" s="3" t="s">
        <v>63</v>
      </c>
      <c r="E132" s="3">
        <v>58.0</v>
      </c>
      <c r="F132" s="3" t="s">
        <v>70</v>
      </c>
      <c r="G132" s="6" t="s">
        <v>2654</v>
      </c>
      <c r="H132" s="3" t="s">
        <v>2656</v>
      </c>
      <c r="I132" s="3" t="s">
        <v>2658</v>
      </c>
      <c r="J132" s="3" t="s">
        <v>379</v>
      </c>
      <c r="K132" s="3" t="s">
        <v>229</v>
      </c>
      <c r="L132" s="6" t="s">
        <v>2660</v>
      </c>
      <c r="M132" s="3" t="s">
        <v>63</v>
      </c>
      <c r="N132" s="6" t="s">
        <v>2661</v>
      </c>
      <c r="O132" s="3" t="s">
        <v>63</v>
      </c>
      <c r="P132" s="3" t="s">
        <v>300</v>
      </c>
      <c r="Q132" s="8">
        <v>1618391.0</v>
      </c>
      <c r="R132" s="3" t="s">
        <v>93</v>
      </c>
      <c r="S132" s="7">
        <v>42207.0</v>
      </c>
      <c r="T132" s="3" t="s">
        <v>63</v>
      </c>
      <c r="U132" s="6" t="s">
        <v>208</v>
      </c>
      <c r="V132" s="3" t="s">
        <v>4</v>
      </c>
      <c r="W132" s="3" t="s">
        <v>102</v>
      </c>
    </row>
    <row r="133" ht="15.75" customHeight="1">
      <c r="A133" s="6" t="s">
        <v>2667</v>
      </c>
      <c r="B133" s="3" t="s">
        <v>2668</v>
      </c>
      <c r="C133" s="7">
        <v>27522.0</v>
      </c>
      <c r="D133" s="3" t="s">
        <v>63</v>
      </c>
      <c r="E133" s="3">
        <v>51.0</v>
      </c>
      <c r="F133" s="3" t="s">
        <v>70</v>
      </c>
      <c r="G133" s="6" t="s">
        <v>2672</v>
      </c>
      <c r="H133" s="3" t="s">
        <v>2673</v>
      </c>
      <c r="I133" s="3" t="s">
        <v>2675</v>
      </c>
      <c r="J133" s="3" t="s">
        <v>65</v>
      </c>
      <c r="K133" s="3" t="s">
        <v>67</v>
      </c>
      <c r="L133" s="6" t="s">
        <v>2678</v>
      </c>
      <c r="M133" s="3" t="s">
        <v>63</v>
      </c>
      <c r="N133" s="3"/>
      <c r="O133" s="3" t="s">
        <v>88</v>
      </c>
      <c r="P133" s="3" t="s">
        <v>324</v>
      </c>
      <c r="Q133" s="8">
        <v>2201441.0</v>
      </c>
      <c r="R133" s="3" t="s">
        <v>93</v>
      </c>
      <c r="S133" s="7">
        <v>41776.0</v>
      </c>
      <c r="T133" s="3" t="s">
        <v>63</v>
      </c>
      <c r="U133" s="6" t="s">
        <v>92</v>
      </c>
      <c r="V133" s="3" t="s">
        <v>4</v>
      </c>
      <c r="W133" s="3" t="s">
        <v>102</v>
      </c>
    </row>
    <row r="134" ht="15.75" customHeight="1">
      <c r="A134" s="6" t="s">
        <v>2682</v>
      </c>
      <c r="B134" s="3" t="s">
        <v>2684</v>
      </c>
      <c r="C134" s="7">
        <v>25488.0</v>
      </c>
      <c r="D134" s="3" t="s">
        <v>63</v>
      </c>
      <c r="E134" s="3">
        <v>56.0</v>
      </c>
      <c r="F134" s="3" t="s">
        <v>70</v>
      </c>
      <c r="G134" s="6" t="s">
        <v>2687</v>
      </c>
      <c r="H134" s="3" t="s">
        <v>2688</v>
      </c>
      <c r="I134" s="3" t="s">
        <v>2689</v>
      </c>
      <c r="J134" s="3" t="s">
        <v>327</v>
      </c>
      <c r="K134" s="3" t="s">
        <v>169</v>
      </c>
      <c r="L134" s="6" t="s">
        <v>2692</v>
      </c>
      <c r="M134" s="3" t="s">
        <v>63</v>
      </c>
      <c r="N134" s="6" t="s">
        <v>2693</v>
      </c>
      <c r="O134" s="3" t="s">
        <v>63</v>
      </c>
      <c r="P134" s="3" t="s">
        <v>396</v>
      </c>
      <c r="Q134" s="8">
        <v>806367.0</v>
      </c>
      <c r="R134" s="3" t="s">
        <v>93</v>
      </c>
      <c r="S134" s="7">
        <v>41988.0</v>
      </c>
      <c r="T134" s="3" t="s">
        <v>63</v>
      </c>
      <c r="U134" s="6" t="s">
        <v>136</v>
      </c>
      <c r="V134" s="3" t="s">
        <v>4</v>
      </c>
      <c r="W134" s="3" t="s">
        <v>102</v>
      </c>
    </row>
    <row r="135" ht="15.75" customHeight="1">
      <c r="A135" s="6" t="s">
        <v>1868</v>
      </c>
      <c r="B135" s="3" t="s">
        <v>2701</v>
      </c>
      <c r="C135" s="7">
        <v>37710.0</v>
      </c>
      <c r="D135" s="3" t="s">
        <v>63</v>
      </c>
      <c r="E135" s="3">
        <v>23.0</v>
      </c>
      <c r="F135" s="3" t="s">
        <v>70</v>
      </c>
      <c r="G135" s="6" t="s">
        <v>2703</v>
      </c>
      <c r="H135" s="3" t="s">
        <v>2704</v>
      </c>
      <c r="I135" s="3" t="s">
        <v>2706</v>
      </c>
      <c r="J135" s="3" t="s">
        <v>327</v>
      </c>
      <c r="K135" s="3" t="s">
        <v>169</v>
      </c>
      <c r="L135" s="6" t="s">
        <v>1871</v>
      </c>
      <c r="M135" s="3" t="s">
        <v>63</v>
      </c>
      <c r="N135" s="6" t="s">
        <v>1874</v>
      </c>
      <c r="O135" s="3" t="s">
        <v>63</v>
      </c>
      <c r="P135" s="3" t="s">
        <v>324</v>
      </c>
      <c r="Q135" s="8">
        <v>197020.0</v>
      </c>
      <c r="R135" s="3" t="s">
        <v>93</v>
      </c>
      <c r="S135" s="7">
        <v>39758.0</v>
      </c>
      <c r="T135" s="3" t="s">
        <v>63</v>
      </c>
      <c r="U135" s="6" t="s">
        <v>221</v>
      </c>
      <c r="V135" s="3" t="s">
        <v>4</v>
      </c>
      <c r="W135" s="3" t="s">
        <v>102</v>
      </c>
    </row>
    <row r="136" ht="15.75" customHeight="1">
      <c r="A136" s="6" t="s">
        <v>2715</v>
      </c>
      <c r="B136" s="3" t="s">
        <v>789</v>
      </c>
      <c r="C136" s="7">
        <v>20139.0</v>
      </c>
      <c r="D136" s="3" t="s">
        <v>63</v>
      </c>
      <c r="E136" s="3">
        <v>71.0</v>
      </c>
      <c r="F136" s="3" t="s">
        <v>183</v>
      </c>
      <c r="G136" s="6" t="s">
        <v>2720</v>
      </c>
      <c r="H136" s="3" t="s">
        <v>2722</v>
      </c>
      <c r="I136" s="3" t="s">
        <v>2723</v>
      </c>
      <c r="J136" s="3" t="s">
        <v>327</v>
      </c>
      <c r="K136" s="3" t="s">
        <v>169</v>
      </c>
      <c r="L136" s="6" t="s">
        <v>2724</v>
      </c>
      <c r="M136" s="3" t="s">
        <v>63</v>
      </c>
      <c r="N136" s="6" t="s">
        <v>2725</v>
      </c>
      <c r="O136" s="3" t="s">
        <v>63</v>
      </c>
      <c r="P136" s="3" t="s">
        <v>127</v>
      </c>
      <c r="Q136" s="8">
        <v>405591.0</v>
      </c>
      <c r="R136" s="3" t="s">
        <v>93</v>
      </c>
      <c r="S136" s="7">
        <v>44621.0</v>
      </c>
      <c r="T136" s="3" t="s">
        <v>63</v>
      </c>
      <c r="U136" s="6" t="s">
        <v>301</v>
      </c>
      <c r="V136" s="3" t="s">
        <v>4</v>
      </c>
      <c r="W136" s="3" t="s">
        <v>102</v>
      </c>
    </row>
    <row r="137" ht="15.75" customHeight="1">
      <c r="A137" s="6" t="s">
        <v>2732</v>
      </c>
      <c r="B137" s="3" t="s">
        <v>2734</v>
      </c>
      <c r="C137" s="7">
        <v>35756.0</v>
      </c>
      <c r="D137" s="3" t="s">
        <v>63</v>
      </c>
      <c r="E137" s="3">
        <v>28.0</v>
      </c>
      <c r="F137" s="3" t="s">
        <v>70</v>
      </c>
      <c r="G137" s="6" t="s">
        <v>2738</v>
      </c>
      <c r="H137" s="3" t="s">
        <v>2739</v>
      </c>
      <c r="I137" s="3" t="s">
        <v>2740</v>
      </c>
      <c r="J137" s="3" t="s">
        <v>227</v>
      </c>
      <c r="K137" s="3" t="s">
        <v>229</v>
      </c>
      <c r="L137" s="6" t="s">
        <v>2744</v>
      </c>
      <c r="M137" s="3" t="s">
        <v>63</v>
      </c>
      <c r="N137" s="6" t="s">
        <v>2745</v>
      </c>
      <c r="O137" s="3" t="s">
        <v>63</v>
      </c>
      <c r="P137" s="3" t="s">
        <v>127</v>
      </c>
      <c r="Q137" s="3"/>
      <c r="R137" s="3" t="s">
        <v>258</v>
      </c>
      <c r="S137" s="7">
        <v>43357.0</v>
      </c>
      <c r="T137" s="3" t="s">
        <v>63</v>
      </c>
      <c r="U137" s="6" t="s">
        <v>288</v>
      </c>
      <c r="V137" s="3" t="s">
        <v>4</v>
      </c>
      <c r="W137" s="3" t="s">
        <v>102</v>
      </c>
    </row>
    <row r="138" ht="15.75" customHeight="1">
      <c r="A138" s="6" t="s">
        <v>1722</v>
      </c>
      <c r="B138" s="3" t="s">
        <v>2778</v>
      </c>
      <c r="C138" s="7">
        <v>37711.0</v>
      </c>
      <c r="D138" s="3" t="s">
        <v>63</v>
      </c>
      <c r="E138" s="3">
        <v>23.0</v>
      </c>
      <c r="F138" s="3" t="s">
        <v>183</v>
      </c>
      <c r="G138" s="6" t="s">
        <v>1049</v>
      </c>
      <c r="H138" s="3" t="s">
        <v>2781</v>
      </c>
      <c r="I138" s="3" t="s">
        <v>2782</v>
      </c>
      <c r="J138" s="3" t="s">
        <v>65</v>
      </c>
      <c r="K138" s="3" t="s">
        <v>67</v>
      </c>
      <c r="L138" s="6" t="s">
        <v>2785</v>
      </c>
      <c r="M138" s="3" t="s">
        <v>63</v>
      </c>
      <c r="N138" s="6" t="s">
        <v>2786</v>
      </c>
      <c r="O138" s="3" t="s">
        <v>63</v>
      </c>
      <c r="P138" s="3" t="s">
        <v>127</v>
      </c>
      <c r="Q138" s="8">
        <v>2080951.0</v>
      </c>
      <c r="R138" s="3" t="s">
        <v>93</v>
      </c>
      <c r="S138" s="7">
        <v>42953.0</v>
      </c>
      <c r="T138" s="3" t="s">
        <v>63</v>
      </c>
      <c r="U138" s="6" t="s">
        <v>60</v>
      </c>
      <c r="V138" s="3" t="s">
        <v>4</v>
      </c>
      <c r="W138" s="3" t="s">
        <v>102</v>
      </c>
    </row>
    <row r="139" ht="15.75" customHeight="1">
      <c r="A139" s="6" t="s">
        <v>1716</v>
      </c>
      <c r="B139" s="3" t="s">
        <v>2789</v>
      </c>
      <c r="C139" s="7">
        <v>24914.0</v>
      </c>
      <c r="D139" s="3" t="s">
        <v>63</v>
      </c>
      <c r="E139" s="3">
        <v>58.0</v>
      </c>
      <c r="F139" s="3" t="s">
        <v>70</v>
      </c>
      <c r="G139" s="6" t="s">
        <v>2793</v>
      </c>
      <c r="H139" s="3" t="s">
        <v>2794</v>
      </c>
      <c r="I139" s="3" t="s">
        <v>2795</v>
      </c>
      <c r="J139" s="3" t="s">
        <v>79</v>
      </c>
      <c r="K139" s="3" t="s">
        <v>81</v>
      </c>
      <c r="L139" s="6" t="s">
        <v>2797</v>
      </c>
      <c r="M139" s="3" t="s">
        <v>63</v>
      </c>
      <c r="N139" s="6" t="s">
        <v>2799</v>
      </c>
      <c r="O139" s="3" t="s">
        <v>63</v>
      </c>
      <c r="P139" s="3" t="s">
        <v>372</v>
      </c>
      <c r="Q139" s="3"/>
      <c r="R139" s="3" t="s">
        <v>258</v>
      </c>
      <c r="S139" s="7">
        <v>43827.0</v>
      </c>
      <c r="T139" s="3" t="s">
        <v>63</v>
      </c>
      <c r="U139" s="6" t="s">
        <v>385</v>
      </c>
      <c r="V139" s="3" t="s">
        <v>4</v>
      </c>
      <c r="W139" s="3" t="s">
        <v>102</v>
      </c>
    </row>
    <row r="140" ht="15.75" customHeight="1">
      <c r="A140" s="6" t="s">
        <v>2806</v>
      </c>
      <c r="B140" s="3" t="s">
        <v>2808</v>
      </c>
      <c r="C140" s="7">
        <v>37205.0</v>
      </c>
      <c r="D140" s="3" t="s">
        <v>63</v>
      </c>
      <c r="E140" s="3">
        <v>24.0</v>
      </c>
      <c r="F140" s="3" t="s">
        <v>70</v>
      </c>
      <c r="G140" s="6" t="s">
        <v>2810</v>
      </c>
      <c r="H140" s="3" t="s">
        <v>2811</v>
      </c>
      <c r="I140" s="3" t="s">
        <v>2814</v>
      </c>
      <c r="J140" s="3" t="s">
        <v>65</v>
      </c>
      <c r="K140" s="3" t="s">
        <v>67</v>
      </c>
      <c r="L140" s="6" t="s">
        <v>2816</v>
      </c>
      <c r="M140" s="3" t="s">
        <v>63</v>
      </c>
      <c r="N140" s="6" t="s">
        <v>2817</v>
      </c>
      <c r="O140" s="3" t="s">
        <v>63</v>
      </c>
      <c r="P140" s="3" t="s">
        <v>324</v>
      </c>
      <c r="Q140" s="8">
        <v>1976256.0</v>
      </c>
      <c r="R140" s="3" t="s">
        <v>93</v>
      </c>
      <c r="S140" s="7">
        <v>39811.0</v>
      </c>
      <c r="T140" s="3" t="s">
        <v>63</v>
      </c>
      <c r="U140" s="6" t="s">
        <v>397</v>
      </c>
      <c r="V140" s="3" t="s">
        <v>237</v>
      </c>
      <c r="W140" s="3" t="s">
        <v>102</v>
      </c>
    </row>
    <row r="141" ht="15.75" customHeight="1">
      <c r="A141" s="6" t="s">
        <v>1395</v>
      </c>
      <c r="B141" s="3" t="s">
        <v>2825</v>
      </c>
      <c r="C141" s="7">
        <v>28419.0</v>
      </c>
      <c r="D141" s="3" t="s">
        <v>63</v>
      </c>
      <c r="E141" s="3">
        <v>48.0</v>
      </c>
      <c r="F141" s="3" t="s">
        <v>183</v>
      </c>
      <c r="G141" s="6" t="s">
        <v>2831</v>
      </c>
      <c r="H141" s="3" t="s">
        <v>2832</v>
      </c>
      <c r="I141" s="3" t="s">
        <v>2833</v>
      </c>
      <c r="J141" s="3" t="s">
        <v>119</v>
      </c>
      <c r="K141" s="3" t="s">
        <v>121</v>
      </c>
      <c r="L141" s="6" t="s">
        <v>2838</v>
      </c>
      <c r="M141" s="3" t="s">
        <v>63</v>
      </c>
      <c r="N141" s="6" t="s">
        <v>2839</v>
      </c>
      <c r="O141" s="3" t="s">
        <v>63</v>
      </c>
      <c r="P141" s="3" t="s">
        <v>324</v>
      </c>
      <c r="Q141" s="3"/>
      <c r="R141" s="3" t="s">
        <v>258</v>
      </c>
      <c r="S141" s="7">
        <v>44539.0</v>
      </c>
      <c r="T141" s="3" t="s">
        <v>63</v>
      </c>
      <c r="U141" s="6" t="s">
        <v>284</v>
      </c>
      <c r="V141" s="3" t="s">
        <v>4</v>
      </c>
      <c r="W141" s="3" t="s">
        <v>102</v>
      </c>
    </row>
    <row r="142" ht="15.75" customHeight="1">
      <c r="A142" s="6" t="s">
        <v>2844</v>
      </c>
      <c r="B142" s="3" t="s">
        <v>2668</v>
      </c>
      <c r="C142" s="7">
        <v>31910.0</v>
      </c>
      <c r="D142" s="3" t="s">
        <v>63</v>
      </c>
      <c r="E142" s="3">
        <v>39.0</v>
      </c>
      <c r="F142" s="3" t="s">
        <v>70</v>
      </c>
      <c r="G142" s="6" t="s">
        <v>2849</v>
      </c>
      <c r="H142" s="3" t="s">
        <v>2850</v>
      </c>
      <c r="I142" s="3" t="s">
        <v>2851</v>
      </c>
      <c r="J142" s="3" t="s">
        <v>167</v>
      </c>
      <c r="K142" s="3" t="s">
        <v>169</v>
      </c>
      <c r="L142" s="6" t="s">
        <v>2853</v>
      </c>
      <c r="M142" s="3" t="s">
        <v>63</v>
      </c>
      <c r="N142" s="6" t="s">
        <v>2855</v>
      </c>
      <c r="O142" s="3" t="s">
        <v>63</v>
      </c>
      <c r="P142" s="3" t="s">
        <v>90</v>
      </c>
      <c r="Q142" s="8">
        <v>2292988.0</v>
      </c>
      <c r="R142" s="3" t="s">
        <v>93</v>
      </c>
      <c r="S142" s="7">
        <v>45212.0</v>
      </c>
      <c r="T142" s="3" t="s">
        <v>63</v>
      </c>
      <c r="U142" s="6" t="s">
        <v>146</v>
      </c>
      <c r="V142" s="3" t="s">
        <v>4</v>
      </c>
      <c r="W142" s="3" t="s">
        <v>102</v>
      </c>
    </row>
    <row r="143" ht="15.75" customHeight="1">
      <c r="A143" s="6" t="s">
        <v>1691</v>
      </c>
      <c r="B143" s="3" t="s">
        <v>2862</v>
      </c>
      <c r="C143" s="7">
        <v>22700.0</v>
      </c>
      <c r="D143" s="3" t="s">
        <v>63</v>
      </c>
      <c r="E143" s="3">
        <v>64.0</v>
      </c>
      <c r="F143" s="3" t="s">
        <v>70</v>
      </c>
      <c r="G143" s="6" t="s">
        <v>2868</v>
      </c>
      <c r="H143" s="3" t="s">
        <v>2869</v>
      </c>
      <c r="I143" s="3" t="s">
        <v>2870</v>
      </c>
      <c r="J143" s="3" t="s">
        <v>201</v>
      </c>
      <c r="K143" s="3" t="s">
        <v>203</v>
      </c>
      <c r="L143" s="6" t="s">
        <v>1694</v>
      </c>
      <c r="M143" s="3" t="s">
        <v>63</v>
      </c>
      <c r="N143" s="6" t="s">
        <v>1695</v>
      </c>
      <c r="O143" s="3" t="s">
        <v>63</v>
      </c>
      <c r="P143" s="3" t="s">
        <v>464</v>
      </c>
      <c r="Q143" s="8">
        <v>399022.0</v>
      </c>
      <c r="R143" s="3" t="s">
        <v>93</v>
      </c>
      <c r="S143" s="7">
        <v>40081.0</v>
      </c>
      <c r="T143" s="3" t="s">
        <v>63</v>
      </c>
      <c r="U143" s="6" t="s">
        <v>333</v>
      </c>
      <c r="V143" s="3" t="s">
        <v>237</v>
      </c>
      <c r="W143" s="3" t="s">
        <v>102</v>
      </c>
    </row>
    <row r="144" ht="15.75" customHeight="1">
      <c r="A144" s="6" t="s">
        <v>2878</v>
      </c>
      <c r="B144" s="3" t="s">
        <v>2879</v>
      </c>
      <c r="C144" s="7">
        <v>26146.0</v>
      </c>
      <c r="D144" s="3" t="s">
        <v>63</v>
      </c>
      <c r="E144" s="3">
        <v>55.0</v>
      </c>
      <c r="F144" s="3" t="s">
        <v>183</v>
      </c>
      <c r="G144" s="6" t="s">
        <v>2884</v>
      </c>
      <c r="H144" s="3" t="s">
        <v>2887</v>
      </c>
      <c r="I144" s="3" t="s">
        <v>2888</v>
      </c>
      <c r="J144" s="3" t="s">
        <v>349</v>
      </c>
      <c r="K144" s="3" t="s">
        <v>45</v>
      </c>
      <c r="L144" s="6" t="s">
        <v>2890</v>
      </c>
      <c r="M144" s="3" t="s">
        <v>63</v>
      </c>
      <c r="N144" s="6" t="s">
        <v>2892</v>
      </c>
      <c r="O144" s="3" t="s">
        <v>63</v>
      </c>
      <c r="P144" s="3" t="s">
        <v>372</v>
      </c>
      <c r="Q144" s="3"/>
      <c r="R144" s="3" t="s">
        <v>258</v>
      </c>
      <c r="S144" s="7">
        <v>39720.0</v>
      </c>
      <c r="T144" s="3" t="s">
        <v>63</v>
      </c>
      <c r="U144" s="6" t="s">
        <v>179</v>
      </c>
      <c r="V144" s="3" t="s">
        <v>4</v>
      </c>
      <c r="W144" s="3" t="s">
        <v>102</v>
      </c>
    </row>
    <row r="145" ht="15.75" customHeight="1">
      <c r="A145" s="6" t="s">
        <v>2899</v>
      </c>
      <c r="B145" s="3" t="s">
        <v>2901</v>
      </c>
      <c r="C145" s="7">
        <v>29224.0</v>
      </c>
      <c r="D145" s="3" t="s">
        <v>63</v>
      </c>
      <c r="E145" s="3">
        <v>46.0</v>
      </c>
      <c r="F145" s="3" t="s">
        <v>70</v>
      </c>
      <c r="G145" s="6" t="s">
        <v>2904</v>
      </c>
      <c r="H145" s="3" t="s">
        <v>2905</v>
      </c>
      <c r="I145" s="3" t="s">
        <v>2907</v>
      </c>
      <c r="J145" s="3" t="s">
        <v>114</v>
      </c>
      <c r="K145" s="3" t="s">
        <v>118</v>
      </c>
      <c r="L145" s="6" t="s">
        <v>2908</v>
      </c>
      <c r="M145" s="3" t="s">
        <v>63</v>
      </c>
      <c r="N145" s="6" t="s">
        <v>2911</v>
      </c>
      <c r="O145" s="3" t="s">
        <v>63</v>
      </c>
      <c r="P145" s="3" t="s">
        <v>372</v>
      </c>
      <c r="Q145" s="3"/>
      <c r="R145" s="3" t="s">
        <v>258</v>
      </c>
      <c r="S145" s="7">
        <v>39434.0</v>
      </c>
      <c r="T145" s="3" t="s">
        <v>63</v>
      </c>
      <c r="U145" s="6" t="s">
        <v>333</v>
      </c>
      <c r="V145" s="3" t="s">
        <v>4</v>
      </c>
      <c r="W145" s="3" t="s">
        <v>102</v>
      </c>
    </row>
    <row r="146" ht="15.75" customHeight="1">
      <c r="A146" s="6" t="s">
        <v>2583</v>
      </c>
      <c r="B146" s="3" t="s">
        <v>2920</v>
      </c>
      <c r="C146" s="7">
        <v>33369.0</v>
      </c>
      <c r="D146" s="3" t="s">
        <v>63</v>
      </c>
      <c r="E146" s="3">
        <v>35.0</v>
      </c>
      <c r="F146" s="3" t="s">
        <v>183</v>
      </c>
      <c r="G146" s="6" t="s">
        <v>2924</v>
      </c>
      <c r="H146" s="3" t="s">
        <v>2925</v>
      </c>
      <c r="I146" s="3" t="s">
        <v>2926</v>
      </c>
      <c r="J146" s="3" t="s">
        <v>98</v>
      </c>
      <c r="K146" s="3" t="s">
        <v>101</v>
      </c>
      <c r="L146" s="6" t="s">
        <v>2928</v>
      </c>
      <c r="M146" s="3" t="s">
        <v>63</v>
      </c>
      <c r="N146" s="6" t="s">
        <v>2932</v>
      </c>
      <c r="O146" s="3" t="s">
        <v>63</v>
      </c>
      <c r="P146" s="3" t="s">
        <v>127</v>
      </c>
      <c r="Q146" s="3"/>
      <c r="R146" s="3" t="s">
        <v>258</v>
      </c>
      <c r="S146" s="7">
        <v>42009.0</v>
      </c>
      <c r="T146" s="3" t="s">
        <v>63</v>
      </c>
      <c r="U146" s="6" t="s">
        <v>171</v>
      </c>
      <c r="V146" s="3" t="s">
        <v>237</v>
      </c>
      <c r="W146" s="3" t="s">
        <v>102</v>
      </c>
    </row>
    <row r="147" ht="15.75" customHeight="1">
      <c r="A147" s="6" t="s">
        <v>1065</v>
      </c>
      <c r="B147" s="3" t="s">
        <v>2937</v>
      </c>
      <c r="C147" s="7">
        <v>38274.0</v>
      </c>
      <c r="D147" s="3" t="s">
        <v>63</v>
      </c>
      <c r="E147" s="3">
        <v>21.0</v>
      </c>
      <c r="F147" s="3" t="s">
        <v>70</v>
      </c>
      <c r="G147" s="6" t="s">
        <v>2939</v>
      </c>
      <c r="H147" s="3" t="s">
        <v>2941</v>
      </c>
      <c r="I147" s="3" t="s">
        <v>2942</v>
      </c>
      <c r="J147" s="3" t="s">
        <v>85</v>
      </c>
      <c r="K147" s="3" t="s">
        <v>67</v>
      </c>
      <c r="L147" s="6" t="s">
        <v>1355</v>
      </c>
      <c r="M147" s="3" t="s">
        <v>63</v>
      </c>
      <c r="N147" s="6" t="s">
        <v>1358</v>
      </c>
      <c r="O147" s="3" t="s">
        <v>63</v>
      </c>
      <c r="P147" s="3" t="s">
        <v>372</v>
      </c>
      <c r="Q147" s="8">
        <v>2380076.0</v>
      </c>
      <c r="R147" s="3" t="s">
        <v>93</v>
      </c>
      <c r="S147" s="7">
        <v>42248.0</v>
      </c>
      <c r="T147" s="3" t="s">
        <v>63</v>
      </c>
      <c r="U147" s="6" t="s">
        <v>97</v>
      </c>
      <c r="V147" s="3" t="s">
        <v>4</v>
      </c>
      <c r="W147" s="3" t="s">
        <v>102</v>
      </c>
    </row>
    <row r="148" ht="15.75" customHeight="1">
      <c r="A148" s="6" t="s">
        <v>848</v>
      </c>
      <c r="B148" s="3" t="s">
        <v>2952</v>
      </c>
      <c r="C148" s="7">
        <v>22611.0</v>
      </c>
      <c r="D148" s="3" t="s">
        <v>63</v>
      </c>
      <c r="E148" s="3">
        <v>64.0</v>
      </c>
      <c r="F148" s="3" t="s">
        <v>183</v>
      </c>
      <c r="G148" s="6" t="s">
        <v>2957</v>
      </c>
      <c r="H148" s="3" t="s">
        <v>2959</v>
      </c>
      <c r="I148" s="3" t="s">
        <v>2960</v>
      </c>
      <c r="J148" s="3" t="s">
        <v>327</v>
      </c>
      <c r="K148" s="3" t="s">
        <v>169</v>
      </c>
      <c r="L148" s="6" t="s">
        <v>2962</v>
      </c>
      <c r="M148" s="3" t="s">
        <v>63</v>
      </c>
      <c r="N148" s="6" t="s">
        <v>2964</v>
      </c>
      <c r="O148" s="3" t="s">
        <v>63</v>
      </c>
      <c r="P148" s="3" t="s">
        <v>160</v>
      </c>
      <c r="Q148" s="3"/>
      <c r="R148" s="3" t="s">
        <v>258</v>
      </c>
      <c r="S148" s="7">
        <v>40301.0</v>
      </c>
      <c r="T148" s="3" t="s">
        <v>63</v>
      </c>
      <c r="U148" s="6" t="s">
        <v>60</v>
      </c>
      <c r="V148" s="3" t="s">
        <v>4</v>
      </c>
      <c r="W148" s="3" t="s">
        <v>102</v>
      </c>
    </row>
    <row r="149" ht="15.75" customHeight="1">
      <c r="A149" s="6" t="s">
        <v>2172</v>
      </c>
      <c r="B149" s="3" t="s">
        <v>2972</v>
      </c>
      <c r="C149" s="7">
        <v>31847.0</v>
      </c>
      <c r="D149" s="3" t="s">
        <v>63</v>
      </c>
      <c r="E149" s="3">
        <v>39.0</v>
      </c>
      <c r="F149" s="3" t="s">
        <v>70</v>
      </c>
      <c r="G149" s="6" t="s">
        <v>2976</v>
      </c>
      <c r="H149" s="3"/>
      <c r="I149" s="3" t="s">
        <v>2979</v>
      </c>
      <c r="J149" s="3" t="s">
        <v>98</v>
      </c>
      <c r="K149" s="3" t="s">
        <v>101</v>
      </c>
      <c r="L149" s="6" t="s">
        <v>2174</v>
      </c>
      <c r="M149" s="3" t="s">
        <v>63</v>
      </c>
      <c r="N149" s="6" t="s">
        <v>2177</v>
      </c>
      <c r="O149" s="3" t="s">
        <v>63</v>
      </c>
      <c r="P149" s="3" t="s">
        <v>202</v>
      </c>
      <c r="Q149" s="3"/>
      <c r="R149" s="3" t="s">
        <v>258</v>
      </c>
      <c r="S149" s="7">
        <v>43475.0</v>
      </c>
      <c r="T149" s="3" t="s">
        <v>63</v>
      </c>
      <c r="U149" s="6" t="s">
        <v>109</v>
      </c>
      <c r="V149" s="3" t="s">
        <v>4</v>
      </c>
      <c r="W149" s="3" t="s">
        <v>102</v>
      </c>
    </row>
    <row r="150" ht="15.75" customHeight="1">
      <c r="A150" s="6" t="s">
        <v>1250</v>
      </c>
      <c r="B150" s="3" t="s">
        <v>2989</v>
      </c>
      <c r="C150" s="7">
        <v>36713.0</v>
      </c>
      <c r="D150" s="3" t="s">
        <v>63</v>
      </c>
      <c r="E150" s="3">
        <v>26.0</v>
      </c>
      <c r="F150" s="3" t="s">
        <v>70</v>
      </c>
      <c r="G150" s="6" t="s">
        <v>2991</v>
      </c>
      <c r="H150" s="3" t="s">
        <v>2992</v>
      </c>
      <c r="I150" s="3" t="s">
        <v>2994</v>
      </c>
      <c r="J150" s="3" t="s">
        <v>251</v>
      </c>
      <c r="K150" s="3" t="s">
        <v>251</v>
      </c>
      <c r="L150" s="6" t="s">
        <v>2997</v>
      </c>
      <c r="M150" s="3" t="s">
        <v>63</v>
      </c>
      <c r="N150" s="6" t="s">
        <v>2998</v>
      </c>
      <c r="O150" s="3" t="s">
        <v>63</v>
      </c>
      <c r="P150" s="3" t="s">
        <v>396</v>
      </c>
      <c r="Q150" s="8">
        <v>876379.0</v>
      </c>
      <c r="R150" s="3" t="s">
        <v>93</v>
      </c>
      <c r="S150" s="7">
        <v>45825.0</v>
      </c>
      <c r="T150" s="3" t="s">
        <v>63</v>
      </c>
      <c r="U150" s="6" t="s">
        <v>208</v>
      </c>
      <c r="V150" s="3" t="s">
        <v>4</v>
      </c>
      <c r="W150" s="3" t="s">
        <v>102</v>
      </c>
    </row>
    <row r="151" ht="15.75" customHeight="1">
      <c r="A151" s="6" t="s">
        <v>3007</v>
      </c>
      <c r="B151" s="3" t="s">
        <v>3008</v>
      </c>
      <c r="C151" s="7">
        <v>37495.0</v>
      </c>
      <c r="D151" s="3" t="s">
        <v>63</v>
      </c>
      <c r="E151" s="3">
        <v>23.0</v>
      </c>
      <c r="F151" s="3" t="s">
        <v>183</v>
      </c>
      <c r="G151" s="6" t="s">
        <v>3012</v>
      </c>
      <c r="H151" s="3"/>
      <c r="I151" s="3" t="s">
        <v>3015</v>
      </c>
      <c r="J151" s="3" t="s">
        <v>153</v>
      </c>
      <c r="K151" s="3" t="s">
        <v>67</v>
      </c>
      <c r="L151" s="6" t="s">
        <v>3017</v>
      </c>
      <c r="M151" s="3" t="s">
        <v>63</v>
      </c>
      <c r="N151" s="6" t="s">
        <v>3018</v>
      </c>
      <c r="O151" s="3" t="s">
        <v>63</v>
      </c>
      <c r="P151" s="3" t="s">
        <v>464</v>
      </c>
      <c r="Q151" s="3"/>
      <c r="R151" s="3" t="s">
        <v>258</v>
      </c>
      <c r="S151" s="7">
        <v>41947.0</v>
      </c>
      <c r="T151" s="3" t="s">
        <v>63</v>
      </c>
      <c r="U151" s="6" t="s">
        <v>109</v>
      </c>
      <c r="V151" s="3" t="s">
        <v>4</v>
      </c>
      <c r="W151" s="3" t="s">
        <v>102</v>
      </c>
    </row>
    <row r="152" ht="15.75" customHeight="1">
      <c r="A152" s="6" t="s">
        <v>1172</v>
      </c>
      <c r="B152" s="3" t="s">
        <v>3025</v>
      </c>
      <c r="C152" s="7">
        <v>46944.0</v>
      </c>
      <c r="D152" s="3" t="s">
        <v>1155</v>
      </c>
      <c r="E152" s="3"/>
      <c r="F152" s="3" t="s">
        <v>70</v>
      </c>
      <c r="G152" s="6" t="s">
        <v>3027</v>
      </c>
      <c r="H152" s="3" t="s">
        <v>3029</v>
      </c>
      <c r="I152" s="3" t="s">
        <v>3030</v>
      </c>
      <c r="J152" s="3" t="s">
        <v>98</v>
      </c>
      <c r="K152" s="3" t="s">
        <v>101</v>
      </c>
      <c r="L152" s="6" t="s">
        <v>1173</v>
      </c>
      <c r="M152" s="3" t="s">
        <v>63</v>
      </c>
      <c r="N152" s="6" t="s">
        <v>1174</v>
      </c>
      <c r="O152" s="3" t="s">
        <v>63</v>
      </c>
      <c r="P152" s="3" t="s">
        <v>202</v>
      </c>
      <c r="Q152" s="3"/>
      <c r="R152" s="3" t="s">
        <v>258</v>
      </c>
      <c r="S152" s="7">
        <v>45282.0</v>
      </c>
      <c r="T152" s="3" t="s">
        <v>1178</v>
      </c>
      <c r="U152" s="6" t="s">
        <v>234</v>
      </c>
      <c r="V152" s="3" t="s">
        <v>4</v>
      </c>
      <c r="W152" s="3" t="s">
        <v>378</v>
      </c>
    </row>
    <row r="153" ht="15.75" customHeight="1">
      <c r="A153" s="6" t="s">
        <v>1331</v>
      </c>
      <c r="B153" s="3" t="s">
        <v>3042</v>
      </c>
      <c r="C153" s="7">
        <v>34898.0</v>
      </c>
      <c r="D153" s="3" t="s">
        <v>63</v>
      </c>
      <c r="E153" s="3">
        <v>31.0</v>
      </c>
      <c r="F153" s="3" t="s">
        <v>183</v>
      </c>
      <c r="G153" s="6" t="s">
        <v>3044</v>
      </c>
      <c r="H153" s="3" t="s">
        <v>3047</v>
      </c>
      <c r="I153" s="3" t="s">
        <v>3049</v>
      </c>
      <c r="J153" s="3" t="s">
        <v>79</v>
      </c>
      <c r="K153" s="3" t="s">
        <v>81</v>
      </c>
      <c r="L153" s="6" t="s">
        <v>1332</v>
      </c>
      <c r="M153" s="3" t="s">
        <v>63</v>
      </c>
      <c r="N153" s="3"/>
      <c r="O153" s="3" t="s">
        <v>88</v>
      </c>
      <c r="P153" s="3" t="s">
        <v>127</v>
      </c>
      <c r="Q153" s="8">
        <v>443204.0</v>
      </c>
      <c r="R153" s="3" t="s">
        <v>93</v>
      </c>
      <c r="S153" s="7">
        <v>41708.0</v>
      </c>
      <c r="T153" s="3" t="s">
        <v>63</v>
      </c>
      <c r="U153" s="6" t="s">
        <v>352</v>
      </c>
      <c r="V153" s="3" t="s">
        <v>237</v>
      </c>
      <c r="W153" s="3" t="s">
        <v>102</v>
      </c>
    </row>
    <row r="154" ht="15.75" customHeight="1">
      <c r="A154" s="6" t="s">
        <v>2189</v>
      </c>
      <c r="B154" s="3" t="s">
        <v>3058</v>
      </c>
      <c r="C154" s="7">
        <v>25689.0</v>
      </c>
      <c r="D154" s="3" t="s">
        <v>63</v>
      </c>
      <c r="E154" s="3">
        <v>56.0</v>
      </c>
      <c r="F154" s="3" t="s">
        <v>70</v>
      </c>
      <c r="G154" s="6" t="s">
        <v>3062</v>
      </c>
      <c r="H154" s="3" t="s">
        <v>3063</v>
      </c>
      <c r="I154" s="3" t="s">
        <v>3064</v>
      </c>
      <c r="J154" s="3" t="s">
        <v>349</v>
      </c>
      <c r="K154" s="3" t="s">
        <v>45</v>
      </c>
      <c r="L154" s="6" t="s">
        <v>3065</v>
      </c>
      <c r="M154" s="3" t="s">
        <v>63</v>
      </c>
      <c r="N154" s="6" t="s">
        <v>3066</v>
      </c>
      <c r="O154" s="3" t="s">
        <v>63</v>
      </c>
      <c r="P154" s="3" t="s">
        <v>202</v>
      </c>
      <c r="Q154" s="3"/>
      <c r="R154" s="3" t="s">
        <v>258</v>
      </c>
      <c r="S154" s="7">
        <v>42908.0</v>
      </c>
      <c r="T154" s="3" t="s">
        <v>63</v>
      </c>
      <c r="U154" s="6" t="s">
        <v>277</v>
      </c>
      <c r="V154" s="3" t="s">
        <v>237</v>
      </c>
      <c r="W154" s="3" t="s">
        <v>102</v>
      </c>
    </row>
    <row r="155" ht="15.75" customHeight="1">
      <c r="A155" s="6" t="s">
        <v>2727</v>
      </c>
      <c r="B155" s="3" t="s">
        <v>3074</v>
      </c>
      <c r="C155" s="7">
        <v>24696.0</v>
      </c>
      <c r="D155" s="3" t="s">
        <v>63</v>
      </c>
      <c r="E155" s="3">
        <v>58.0</v>
      </c>
      <c r="F155" s="3" t="s">
        <v>70</v>
      </c>
      <c r="G155" s="6" t="s">
        <v>3075</v>
      </c>
      <c r="H155" s="3" t="s">
        <v>3077</v>
      </c>
      <c r="I155" s="3" t="s">
        <v>3078</v>
      </c>
      <c r="J155" s="3" t="s">
        <v>227</v>
      </c>
      <c r="K155" s="3" t="s">
        <v>229</v>
      </c>
      <c r="L155" s="6" t="s">
        <v>2729</v>
      </c>
      <c r="M155" s="3" t="s">
        <v>63</v>
      </c>
      <c r="N155" s="6" t="s">
        <v>2730</v>
      </c>
      <c r="O155" s="3" t="s">
        <v>63</v>
      </c>
      <c r="P155" s="3" t="s">
        <v>160</v>
      </c>
      <c r="Q155" s="3"/>
      <c r="R155" s="3" t="s">
        <v>258</v>
      </c>
      <c r="S155" s="7">
        <v>40378.0</v>
      </c>
      <c r="T155" s="3" t="s">
        <v>63</v>
      </c>
      <c r="U155" s="6" t="s">
        <v>92</v>
      </c>
      <c r="V155" s="3" t="s">
        <v>237</v>
      </c>
      <c r="W155" s="3" t="s">
        <v>102</v>
      </c>
    </row>
    <row r="156" ht="15.75" customHeight="1">
      <c r="A156" s="6" t="s">
        <v>885</v>
      </c>
      <c r="B156" s="3" t="s">
        <v>3086</v>
      </c>
      <c r="C156" s="7">
        <v>26399.0</v>
      </c>
      <c r="D156" s="3" t="s">
        <v>63</v>
      </c>
      <c r="E156" s="3">
        <v>54.0</v>
      </c>
      <c r="F156" s="3" t="s">
        <v>70</v>
      </c>
      <c r="G156" s="6" t="s">
        <v>3090</v>
      </c>
      <c r="H156" s="3"/>
      <c r="I156" s="3" t="s">
        <v>3091</v>
      </c>
      <c r="J156" s="3" t="s">
        <v>65</v>
      </c>
      <c r="K156" s="3" t="s">
        <v>67</v>
      </c>
      <c r="L156" s="6" t="s">
        <v>887</v>
      </c>
      <c r="M156" s="3" t="s">
        <v>63</v>
      </c>
      <c r="N156" s="6" t="s">
        <v>889</v>
      </c>
      <c r="O156" s="3" t="s">
        <v>63</v>
      </c>
      <c r="P156" s="3" t="s">
        <v>127</v>
      </c>
      <c r="Q156" s="8">
        <v>1720598.0</v>
      </c>
      <c r="R156" s="3" t="s">
        <v>93</v>
      </c>
      <c r="S156" s="7">
        <v>40702.0</v>
      </c>
      <c r="T156" s="3" t="s">
        <v>63</v>
      </c>
      <c r="U156" s="6" t="s">
        <v>36</v>
      </c>
      <c r="V156" s="3" t="s">
        <v>4</v>
      </c>
      <c r="W156" s="3" t="s">
        <v>378</v>
      </c>
    </row>
    <row r="157" ht="15.75" customHeight="1">
      <c r="A157" s="6" t="s">
        <v>1644</v>
      </c>
      <c r="B157" s="3" t="s">
        <v>3101</v>
      </c>
      <c r="C157" s="7">
        <v>36010.0</v>
      </c>
      <c r="D157" s="3" t="s">
        <v>63</v>
      </c>
      <c r="E157" s="3">
        <v>28.0</v>
      </c>
      <c r="F157" s="3" t="s">
        <v>183</v>
      </c>
      <c r="G157" s="6" t="s">
        <v>3104</v>
      </c>
      <c r="H157" s="3" t="s">
        <v>3105</v>
      </c>
      <c r="I157" s="3" t="s">
        <v>3107</v>
      </c>
      <c r="J157" s="3" t="s">
        <v>225</v>
      </c>
      <c r="K157" s="3" t="s">
        <v>101</v>
      </c>
      <c r="L157" s="3"/>
      <c r="M157" s="3" t="s">
        <v>88</v>
      </c>
      <c r="N157" s="6" t="s">
        <v>1647</v>
      </c>
      <c r="O157" s="3" t="s">
        <v>63</v>
      </c>
      <c r="P157" s="3" t="s">
        <v>324</v>
      </c>
      <c r="Q157" s="3"/>
      <c r="R157" s="3" t="s">
        <v>258</v>
      </c>
      <c r="S157" s="7">
        <v>44054.0</v>
      </c>
      <c r="T157" s="3" t="s">
        <v>63</v>
      </c>
      <c r="U157" s="6" t="s">
        <v>36</v>
      </c>
      <c r="V157" s="3" t="s">
        <v>4</v>
      </c>
      <c r="W157" s="3" t="s">
        <v>102</v>
      </c>
    </row>
    <row r="158" ht="15.75" customHeight="1">
      <c r="A158" s="6" t="s">
        <v>2079</v>
      </c>
      <c r="B158" s="3" t="s">
        <v>3121</v>
      </c>
      <c r="C158" s="7">
        <v>31855.0</v>
      </c>
      <c r="D158" s="3" t="s">
        <v>63</v>
      </c>
      <c r="E158" s="3">
        <v>39.0</v>
      </c>
      <c r="F158" s="3" t="s">
        <v>70</v>
      </c>
      <c r="G158" s="6" t="s">
        <v>3125</v>
      </c>
      <c r="H158" s="3" t="s">
        <v>3127</v>
      </c>
      <c r="I158" s="3" t="s">
        <v>3128</v>
      </c>
      <c r="J158" s="3" t="s">
        <v>349</v>
      </c>
      <c r="K158" s="3" t="s">
        <v>45</v>
      </c>
      <c r="L158" s="6" t="s">
        <v>2153</v>
      </c>
      <c r="M158" s="3" t="s">
        <v>63</v>
      </c>
      <c r="N158" s="6" t="s">
        <v>2155</v>
      </c>
      <c r="O158" s="3" t="s">
        <v>63</v>
      </c>
      <c r="P158" s="3" t="s">
        <v>324</v>
      </c>
      <c r="Q158" s="8">
        <v>1435762.0</v>
      </c>
      <c r="R158" s="3" t="s">
        <v>93</v>
      </c>
      <c r="S158" s="7">
        <v>39135.0</v>
      </c>
      <c r="T158" s="3" t="s">
        <v>63</v>
      </c>
      <c r="U158" s="6" t="s">
        <v>221</v>
      </c>
      <c r="V158" s="3" t="s">
        <v>4</v>
      </c>
      <c r="W158" s="3" t="s">
        <v>102</v>
      </c>
    </row>
    <row r="159" ht="15.75" customHeight="1">
      <c r="A159" s="6" t="s">
        <v>1806</v>
      </c>
      <c r="B159" s="3" t="s">
        <v>3136</v>
      </c>
      <c r="C159" s="7">
        <v>29721.0</v>
      </c>
      <c r="D159" s="3" t="s">
        <v>63</v>
      </c>
      <c r="E159" s="3">
        <v>45.0</v>
      </c>
      <c r="F159" s="3" t="s">
        <v>70</v>
      </c>
      <c r="G159" s="6" t="s">
        <v>3140</v>
      </c>
      <c r="H159" s="3" t="s">
        <v>3142</v>
      </c>
      <c r="I159" s="3" t="s">
        <v>3143</v>
      </c>
      <c r="J159" s="3" t="s">
        <v>98</v>
      </c>
      <c r="K159" s="3" t="s">
        <v>101</v>
      </c>
      <c r="L159" s="6" t="s">
        <v>3146</v>
      </c>
      <c r="M159" s="3" t="s">
        <v>63</v>
      </c>
      <c r="N159" s="6" t="s">
        <v>3148</v>
      </c>
      <c r="O159" s="3" t="s">
        <v>63</v>
      </c>
      <c r="P159" s="3" t="s">
        <v>324</v>
      </c>
      <c r="Q159" s="8">
        <v>2045371.0</v>
      </c>
      <c r="R159" s="3" t="s">
        <v>93</v>
      </c>
      <c r="S159" s="7">
        <v>40575.0</v>
      </c>
      <c r="T159" s="3" t="s">
        <v>63</v>
      </c>
      <c r="U159" s="6" t="s">
        <v>234</v>
      </c>
      <c r="V159" s="3" t="s">
        <v>4</v>
      </c>
      <c r="W159" s="3" t="s">
        <v>102</v>
      </c>
    </row>
    <row r="160" ht="15.75" customHeight="1">
      <c r="A160" s="6" t="s">
        <v>3155</v>
      </c>
      <c r="B160" s="3" t="s">
        <v>1464</v>
      </c>
      <c r="C160" s="7">
        <v>31720.0</v>
      </c>
      <c r="D160" s="3" t="s">
        <v>63</v>
      </c>
      <c r="E160" s="3">
        <v>39.0</v>
      </c>
      <c r="F160" s="3" t="s">
        <v>183</v>
      </c>
      <c r="G160" s="6" t="s">
        <v>3158</v>
      </c>
      <c r="H160" s="3" t="s">
        <v>3160</v>
      </c>
      <c r="I160" s="3" t="s">
        <v>3162</v>
      </c>
      <c r="J160" s="3" t="s">
        <v>327</v>
      </c>
      <c r="K160" s="3" t="s">
        <v>169</v>
      </c>
      <c r="L160" s="6" t="s">
        <v>3163</v>
      </c>
      <c r="M160" s="3" t="s">
        <v>63</v>
      </c>
      <c r="N160" s="6" t="s">
        <v>3164</v>
      </c>
      <c r="O160" s="3" t="s">
        <v>63</v>
      </c>
      <c r="P160" s="3" t="s">
        <v>300</v>
      </c>
      <c r="Q160" s="8">
        <v>775859.0</v>
      </c>
      <c r="R160" s="3" t="s">
        <v>93</v>
      </c>
      <c r="S160" s="7">
        <v>42705.0</v>
      </c>
      <c r="T160" s="3" t="s">
        <v>63</v>
      </c>
      <c r="U160" s="6" t="s">
        <v>234</v>
      </c>
      <c r="V160" s="3" t="s">
        <v>4</v>
      </c>
      <c r="W160" s="3" t="s">
        <v>102</v>
      </c>
    </row>
    <row r="161" ht="15.75" customHeight="1">
      <c r="A161" s="6" t="s">
        <v>1841</v>
      </c>
      <c r="B161" s="3" t="s">
        <v>3172</v>
      </c>
      <c r="C161" s="7">
        <v>32928.0</v>
      </c>
      <c r="D161" s="3" t="s">
        <v>63</v>
      </c>
      <c r="E161" s="3">
        <v>36.0</v>
      </c>
      <c r="F161" s="3" t="s">
        <v>183</v>
      </c>
      <c r="G161" s="6" t="s">
        <v>3177</v>
      </c>
      <c r="H161" s="3" t="s">
        <v>3179</v>
      </c>
      <c r="I161" s="3" t="s">
        <v>3180</v>
      </c>
      <c r="J161" s="3" t="s">
        <v>282</v>
      </c>
      <c r="K161" s="3" t="s">
        <v>229</v>
      </c>
      <c r="L161" s="6" t="s">
        <v>1844</v>
      </c>
      <c r="M161" s="3" t="s">
        <v>63</v>
      </c>
      <c r="N161" s="6" t="s">
        <v>1846</v>
      </c>
      <c r="O161" s="3" t="s">
        <v>63</v>
      </c>
      <c r="P161" s="3" t="s">
        <v>90</v>
      </c>
      <c r="Q161" s="8">
        <v>507146.0</v>
      </c>
      <c r="R161" s="3" t="s">
        <v>93</v>
      </c>
      <c r="S161" s="7">
        <v>45702.0</v>
      </c>
      <c r="T161" s="3" t="s">
        <v>63</v>
      </c>
      <c r="U161" s="6" t="s">
        <v>97</v>
      </c>
      <c r="V161" s="3" t="s">
        <v>4</v>
      </c>
      <c r="W161" s="3" t="s">
        <v>102</v>
      </c>
    </row>
    <row r="162" ht="15.75" customHeight="1">
      <c r="A162" s="6" t="s">
        <v>196</v>
      </c>
      <c r="B162" s="3" t="s">
        <v>3187</v>
      </c>
      <c r="C162" s="7">
        <v>35510.0</v>
      </c>
      <c r="D162" s="3" t="s">
        <v>63</v>
      </c>
      <c r="E162" s="3">
        <v>29.0</v>
      </c>
      <c r="F162" s="3" t="s">
        <v>70</v>
      </c>
      <c r="G162" s="6" t="s">
        <v>3193</v>
      </c>
      <c r="H162" s="3" t="s">
        <v>3195</v>
      </c>
      <c r="I162" s="3" t="s">
        <v>3196</v>
      </c>
      <c r="J162" s="3" t="s">
        <v>153</v>
      </c>
      <c r="K162" s="3" t="s">
        <v>67</v>
      </c>
      <c r="L162" s="3"/>
      <c r="M162" s="3" t="s">
        <v>88</v>
      </c>
      <c r="N162" s="6" t="s">
        <v>199</v>
      </c>
      <c r="O162" s="3" t="s">
        <v>63</v>
      </c>
      <c r="P162" s="3" t="s">
        <v>160</v>
      </c>
      <c r="Q162" s="3"/>
      <c r="R162" s="3" t="s">
        <v>258</v>
      </c>
      <c r="S162" s="7">
        <v>41039.0</v>
      </c>
      <c r="T162" s="3" t="s">
        <v>63</v>
      </c>
      <c r="U162" s="6" t="s">
        <v>208</v>
      </c>
      <c r="V162" s="3" t="s">
        <v>4</v>
      </c>
      <c r="W162" s="3" t="s">
        <v>102</v>
      </c>
    </row>
    <row r="163" ht="15.75" customHeight="1">
      <c r="A163" s="6" t="s">
        <v>2289</v>
      </c>
      <c r="B163" s="3" t="s">
        <v>3203</v>
      </c>
      <c r="C163" s="7">
        <v>36189.0</v>
      </c>
      <c r="D163" s="3" t="s">
        <v>63</v>
      </c>
      <c r="E163" s="3">
        <v>27.0</v>
      </c>
      <c r="F163" s="3" t="s">
        <v>183</v>
      </c>
      <c r="G163" s="6" t="s">
        <v>3204</v>
      </c>
      <c r="H163" s="3" t="s">
        <v>3206</v>
      </c>
      <c r="I163" s="3" t="s">
        <v>1230</v>
      </c>
      <c r="J163" s="3" t="s">
        <v>43</v>
      </c>
      <c r="K163" s="3" t="s">
        <v>45</v>
      </c>
      <c r="L163" s="6" t="s">
        <v>2024</v>
      </c>
      <c r="M163" s="3" t="s">
        <v>63</v>
      </c>
      <c r="N163" s="6" t="s">
        <v>2028</v>
      </c>
      <c r="O163" s="3" t="s">
        <v>63</v>
      </c>
      <c r="P163" s="3" t="s">
        <v>396</v>
      </c>
      <c r="Q163" s="8">
        <v>1193658.0</v>
      </c>
      <c r="R163" s="3" t="s">
        <v>93</v>
      </c>
      <c r="S163" s="7">
        <v>42344.0</v>
      </c>
      <c r="T163" s="3" t="s">
        <v>63</v>
      </c>
      <c r="U163" s="6" t="s">
        <v>197</v>
      </c>
      <c r="V163" s="3" t="s">
        <v>4</v>
      </c>
      <c r="W163" s="3" t="s">
        <v>378</v>
      </c>
    </row>
    <row r="164" ht="15.75" customHeight="1">
      <c r="A164" s="6" t="s">
        <v>1312</v>
      </c>
      <c r="B164" s="3" t="s">
        <v>3219</v>
      </c>
      <c r="C164" s="7">
        <v>34300.0</v>
      </c>
      <c r="D164" s="3" t="s">
        <v>63</v>
      </c>
      <c r="E164" s="3">
        <v>32.0</v>
      </c>
      <c r="F164" s="3" t="s">
        <v>70</v>
      </c>
      <c r="G164" s="6" t="s">
        <v>3222</v>
      </c>
      <c r="H164" s="3" t="s">
        <v>3223</v>
      </c>
      <c r="I164" s="3" t="s">
        <v>3224</v>
      </c>
      <c r="J164" s="3" t="s">
        <v>250</v>
      </c>
      <c r="K164" s="3" t="s">
        <v>252</v>
      </c>
      <c r="L164" s="6" t="s">
        <v>1314</v>
      </c>
      <c r="M164" s="3" t="s">
        <v>63</v>
      </c>
      <c r="N164" s="6" t="s">
        <v>1316</v>
      </c>
      <c r="O164" s="3" t="s">
        <v>63</v>
      </c>
      <c r="P164" s="3" t="s">
        <v>372</v>
      </c>
      <c r="Q164" s="8">
        <v>1110161.0</v>
      </c>
      <c r="R164" s="3" t="s">
        <v>93</v>
      </c>
      <c r="S164" s="7">
        <v>38969.0</v>
      </c>
      <c r="T164" s="3" t="s">
        <v>63</v>
      </c>
      <c r="U164" s="6" t="s">
        <v>80</v>
      </c>
      <c r="V164" s="3" t="s">
        <v>4</v>
      </c>
      <c r="W164" s="3" t="s">
        <v>102</v>
      </c>
    </row>
    <row r="165" ht="15.75" customHeight="1">
      <c r="A165" s="6" t="s">
        <v>2580</v>
      </c>
      <c r="B165" s="3" t="s">
        <v>3235</v>
      </c>
      <c r="C165" s="7">
        <v>21093.0</v>
      </c>
      <c r="D165" s="3" t="s">
        <v>63</v>
      </c>
      <c r="E165" s="3">
        <v>68.0</v>
      </c>
      <c r="F165" s="3" t="s">
        <v>183</v>
      </c>
      <c r="G165" s="6" t="s">
        <v>3238</v>
      </c>
      <c r="H165" s="3" t="s">
        <v>3239</v>
      </c>
      <c r="I165" s="3" t="s">
        <v>3241</v>
      </c>
      <c r="J165" s="3" t="s">
        <v>250</v>
      </c>
      <c r="K165" s="3" t="s">
        <v>252</v>
      </c>
      <c r="L165" s="6" t="s">
        <v>3243</v>
      </c>
      <c r="M165" s="3" t="s">
        <v>63</v>
      </c>
      <c r="N165" s="6" t="s">
        <v>3244</v>
      </c>
      <c r="O165" s="3" t="s">
        <v>63</v>
      </c>
      <c r="P165" s="3" t="s">
        <v>202</v>
      </c>
      <c r="Q165" s="3"/>
      <c r="R165" s="3" t="s">
        <v>258</v>
      </c>
      <c r="S165" s="7">
        <v>40184.0</v>
      </c>
      <c r="T165" s="3" t="s">
        <v>63</v>
      </c>
      <c r="U165" s="6" t="s">
        <v>92</v>
      </c>
      <c r="V165" s="3" t="s">
        <v>4</v>
      </c>
      <c r="W165" s="3" t="s">
        <v>102</v>
      </c>
    </row>
    <row r="166" ht="15.75" customHeight="1">
      <c r="A166" s="6" t="s">
        <v>2819</v>
      </c>
      <c r="B166" s="3" t="s">
        <v>3248</v>
      </c>
      <c r="C166" s="7">
        <v>20302.0</v>
      </c>
      <c r="D166" s="3" t="s">
        <v>63</v>
      </c>
      <c r="E166" s="3">
        <v>71.0</v>
      </c>
      <c r="F166" s="3" t="s">
        <v>70</v>
      </c>
      <c r="G166" s="6" t="s">
        <v>3250</v>
      </c>
      <c r="H166" s="3" t="s">
        <v>3251</v>
      </c>
      <c r="I166" s="3" t="s">
        <v>3253</v>
      </c>
      <c r="J166" s="3" t="s">
        <v>134</v>
      </c>
      <c r="K166" s="3" t="s">
        <v>137</v>
      </c>
      <c r="L166" s="6" t="s">
        <v>2821</v>
      </c>
      <c r="M166" s="3" t="s">
        <v>63</v>
      </c>
      <c r="N166" s="6" t="s">
        <v>2822</v>
      </c>
      <c r="O166" s="3" t="s">
        <v>63</v>
      </c>
      <c r="P166" s="3" t="s">
        <v>324</v>
      </c>
      <c r="Q166" s="3"/>
      <c r="R166" s="3" t="s">
        <v>258</v>
      </c>
      <c r="S166" s="7">
        <v>41241.0</v>
      </c>
      <c r="T166" s="3" t="s">
        <v>63</v>
      </c>
      <c r="U166" s="6" t="s">
        <v>352</v>
      </c>
      <c r="V166" s="3" t="s">
        <v>4</v>
      </c>
      <c r="W166" s="3" t="s">
        <v>378</v>
      </c>
    </row>
    <row r="167" ht="15.75" customHeight="1">
      <c r="A167" s="6" t="s">
        <v>206</v>
      </c>
      <c r="B167" s="3" t="s">
        <v>891</v>
      </c>
      <c r="C167" s="7">
        <v>33334.0</v>
      </c>
      <c r="D167" s="3" t="s">
        <v>63</v>
      </c>
      <c r="E167" s="3">
        <v>35.0</v>
      </c>
      <c r="F167" s="3" t="s">
        <v>70</v>
      </c>
      <c r="G167" s="6" t="s">
        <v>3265</v>
      </c>
      <c r="H167" s="3" t="s">
        <v>898</v>
      </c>
      <c r="I167" s="3" t="s">
        <v>900</v>
      </c>
      <c r="J167" s="3" t="s">
        <v>79</v>
      </c>
      <c r="K167" s="3" t="s">
        <v>81</v>
      </c>
      <c r="L167" s="6" t="s">
        <v>207</v>
      </c>
      <c r="M167" s="3" t="s">
        <v>620</v>
      </c>
      <c r="N167" s="6" t="s">
        <v>210</v>
      </c>
      <c r="O167" s="3" t="s">
        <v>63</v>
      </c>
      <c r="P167" s="3" t="s">
        <v>396</v>
      </c>
      <c r="Q167" s="8">
        <v>160759.0</v>
      </c>
      <c r="R167" s="3" t="s">
        <v>93</v>
      </c>
      <c r="S167" s="7">
        <v>44300.0</v>
      </c>
      <c r="T167" s="3" t="s">
        <v>63</v>
      </c>
      <c r="U167" s="6" t="s">
        <v>385</v>
      </c>
      <c r="V167" s="3" t="s">
        <v>4</v>
      </c>
      <c r="W167" s="3" t="s">
        <v>378</v>
      </c>
    </row>
    <row r="168" ht="15.75" customHeight="1">
      <c r="A168" s="6" t="s">
        <v>3270</v>
      </c>
      <c r="B168" s="3" t="s">
        <v>3273</v>
      </c>
      <c r="C168" s="7">
        <v>30603.0</v>
      </c>
      <c r="D168" s="3" t="s">
        <v>63</v>
      </c>
      <c r="E168" s="3">
        <v>42.0</v>
      </c>
      <c r="F168" s="3" t="s">
        <v>70</v>
      </c>
      <c r="G168" s="6" t="s">
        <v>3278</v>
      </c>
      <c r="H168" s="3" t="s">
        <v>3279</v>
      </c>
      <c r="I168" s="3" t="s">
        <v>3280</v>
      </c>
      <c r="J168" s="3" t="s">
        <v>305</v>
      </c>
      <c r="K168" s="3" t="s">
        <v>193</v>
      </c>
      <c r="L168" s="6" t="s">
        <v>3282</v>
      </c>
      <c r="M168" s="3" t="s">
        <v>63</v>
      </c>
      <c r="N168" s="6" t="s">
        <v>3284</v>
      </c>
      <c r="O168" s="3" t="s">
        <v>63</v>
      </c>
      <c r="P168" s="3" t="s">
        <v>202</v>
      </c>
      <c r="Q168" s="8">
        <v>442059.0</v>
      </c>
      <c r="R168" s="3" t="s">
        <v>93</v>
      </c>
      <c r="S168" s="7">
        <v>44996.0</v>
      </c>
      <c r="T168" s="3" t="s">
        <v>63</v>
      </c>
      <c r="U168" s="6" t="s">
        <v>129</v>
      </c>
      <c r="V168" s="3" t="s">
        <v>4</v>
      </c>
      <c r="W168" s="3" t="s">
        <v>102</v>
      </c>
    </row>
    <row r="169" ht="15.75" customHeight="1">
      <c r="A169" s="6" t="s">
        <v>3288</v>
      </c>
      <c r="B169" s="3" t="s">
        <v>3289</v>
      </c>
      <c r="C169" s="7">
        <v>47196.0</v>
      </c>
      <c r="D169" s="3" t="s">
        <v>1155</v>
      </c>
      <c r="E169" s="3"/>
      <c r="F169" s="3" t="s">
        <v>70</v>
      </c>
      <c r="G169" s="6" t="s">
        <v>3290</v>
      </c>
      <c r="H169" s="3" t="s">
        <v>3291</v>
      </c>
      <c r="I169" s="3" t="s">
        <v>3292</v>
      </c>
      <c r="J169" s="3" t="s">
        <v>151</v>
      </c>
      <c r="K169" s="3" t="s">
        <v>121</v>
      </c>
      <c r="L169" s="6" t="s">
        <v>3294</v>
      </c>
      <c r="M169" s="3" t="s">
        <v>63</v>
      </c>
      <c r="N169" s="6" t="s">
        <v>3297</v>
      </c>
      <c r="O169" s="3" t="s">
        <v>63</v>
      </c>
      <c r="P169" s="3" t="s">
        <v>300</v>
      </c>
      <c r="Q169" s="8">
        <v>580602.0</v>
      </c>
      <c r="R169" s="3" t="s">
        <v>93</v>
      </c>
      <c r="S169" s="7">
        <v>41758.0</v>
      </c>
      <c r="T169" s="3" t="s">
        <v>1178</v>
      </c>
      <c r="U169" s="6" t="s">
        <v>284</v>
      </c>
      <c r="V169" s="3" t="s">
        <v>237</v>
      </c>
      <c r="W169" s="3" t="s">
        <v>102</v>
      </c>
    </row>
    <row r="170" ht="15.75" customHeight="1">
      <c r="A170" s="6" t="s">
        <v>949</v>
      </c>
      <c r="B170" s="3" t="s">
        <v>422</v>
      </c>
      <c r="C170" s="7">
        <v>34175.0</v>
      </c>
      <c r="D170" s="3" t="s">
        <v>63</v>
      </c>
      <c r="E170" s="3">
        <v>33.0</v>
      </c>
      <c r="F170" s="3" t="s">
        <v>70</v>
      </c>
      <c r="G170" s="6" t="s">
        <v>3305</v>
      </c>
      <c r="H170" s="3" t="s">
        <v>3306</v>
      </c>
      <c r="I170" s="3" t="s">
        <v>3308</v>
      </c>
      <c r="J170" s="3" t="s">
        <v>358</v>
      </c>
      <c r="K170" s="3" t="s">
        <v>360</v>
      </c>
      <c r="L170" s="6" t="s">
        <v>951</v>
      </c>
      <c r="M170" s="3" t="s">
        <v>63</v>
      </c>
      <c r="N170" s="6" t="s">
        <v>954</v>
      </c>
      <c r="O170" s="3" t="s">
        <v>63</v>
      </c>
      <c r="P170" s="3" t="s">
        <v>396</v>
      </c>
      <c r="Q170" s="8">
        <v>1983104.0</v>
      </c>
      <c r="R170" s="3" t="s">
        <v>93</v>
      </c>
      <c r="S170" s="7">
        <v>42031.0</v>
      </c>
      <c r="T170" s="3" t="s">
        <v>63</v>
      </c>
      <c r="U170" s="6" t="s">
        <v>277</v>
      </c>
      <c r="V170" s="3" t="s">
        <v>4</v>
      </c>
      <c r="W170" s="3" t="s">
        <v>102</v>
      </c>
    </row>
    <row r="171" ht="15.75" customHeight="1">
      <c r="A171" s="6" t="s">
        <v>3167</v>
      </c>
      <c r="B171" s="3" t="s">
        <v>3320</v>
      </c>
      <c r="C171" s="7">
        <v>22781.0</v>
      </c>
      <c r="D171" s="3" t="s">
        <v>63</v>
      </c>
      <c r="E171" s="3">
        <v>64.0</v>
      </c>
      <c r="F171" s="3" t="s">
        <v>70</v>
      </c>
      <c r="G171" s="6" t="s">
        <v>3325</v>
      </c>
      <c r="H171" s="3"/>
      <c r="I171" s="3" t="s">
        <v>3327</v>
      </c>
      <c r="J171" s="3" t="s">
        <v>213</v>
      </c>
      <c r="K171" s="3" t="s">
        <v>67</v>
      </c>
      <c r="L171" s="6" t="s">
        <v>3169</v>
      </c>
      <c r="M171" s="3" t="s">
        <v>63</v>
      </c>
      <c r="N171" s="6" t="s">
        <v>3171</v>
      </c>
      <c r="O171" s="3" t="s">
        <v>63</v>
      </c>
      <c r="P171" s="3" t="s">
        <v>324</v>
      </c>
      <c r="Q171" s="3"/>
      <c r="R171" s="3" t="s">
        <v>258</v>
      </c>
      <c r="S171" s="7">
        <v>40361.0</v>
      </c>
      <c r="T171" s="3" t="s">
        <v>63</v>
      </c>
      <c r="U171" s="6" t="s">
        <v>385</v>
      </c>
      <c r="V171" s="3" t="s">
        <v>237</v>
      </c>
      <c r="W171" s="3" t="s">
        <v>102</v>
      </c>
    </row>
    <row r="172" ht="15.75" customHeight="1">
      <c r="A172" s="6" t="s">
        <v>2426</v>
      </c>
      <c r="B172" s="3" t="s">
        <v>405</v>
      </c>
      <c r="C172" s="7">
        <v>21743.0</v>
      </c>
      <c r="D172" s="3" t="s">
        <v>63</v>
      </c>
      <c r="E172" s="3">
        <v>67.0</v>
      </c>
      <c r="F172" s="3" t="s">
        <v>183</v>
      </c>
      <c r="G172" s="6" t="s">
        <v>3342</v>
      </c>
      <c r="H172" s="3" t="s">
        <v>3344</v>
      </c>
      <c r="I172" s="3" t="s">
        <v>3347</v>
      </c>
      <c r="J172" s="3" t="s">
        <v>85</v>
      </c>
      <c r="K172" s="3" t="s">
        <v>67</v>
      </c>
      <c r="L172" s="3"/>
      <c r="M172" s="3" t="s">
        <v>88</v>
      </c>
      <c r="N172" s="6" t="s">
        <v>3351</v>
      </c>
      <c r="O172" s="3" t="s">
        <v>63</v>
      </c>
      <c r="P172" s="3" t="s">
        <v>127</v>
      </c>
      <c r="Q172" s="8">
        <v>1512146.0</v>
      </c>
      <c r="R172" s="3" t="s">
        <v>93</v>
      </c>
      <c r="S172" s="7">
        <v>42346.0</v>
      </c>
      <c r="T172" s="3" t="s">
        <v>63</v>
      </c>
      <c r="U172" s="6" t="s">
        <v>80</v>
      </c>
      <c r="V172" s="3" t="s">
        <v>237</v>
      </c>
      <c r="W172" s="3" t="s">
        <v>102</v>
      </c>
    </row>
    <row r="173" ht="15.75" customHeight="1">
      <c r="A173" s="6" t="s">
        <v>667</v>
      </c>
      <c r="B173" s="3" t="s">
        <v>3358</v>
      </c>
      <c r="C173" s="7">
        <v>29938.0</v>
      </c>
      <c r="D173" s="3" t="s">
        <v>63</v>
      </c>
      <c r="E173" s="3">
        <v>44.0</v>
      </c>
      <c r="F173" s="3" t="s">
        <v>70</v>
      </c>
      <c r="G173" s="6" t="s">
        <v>3364</v>
      </c>
      <c r="H173" s="3" t="s">
        <v>3365</v>
      </c>
      <c r="I173" s="3" t="s">
        <v>3367</v>
      </c>
      <c r="J173" s="3" t="s">
        <v>43</v>
      </c>
      <c r="K173" s="3" t="s">
        <v>45</v>
      </c>
      <c r="L173" s="6" t="s">
        <v>3369</v>
      </c>
      <c r="M173" s="3" t="s">
        <v>620</v>
      </c>
      <c r="N173" s="6" t="s">
        <v>3370</v>
      </c>
      <c r="O173" s="3" t="s">
        <v>63</v>
      </c>
      <c r="P173" s="3" t="s">
        <v>90</v>
      </c>
      <c r="Q173" s="3"/>
      <c r="R173" s="3" t="s">
        <v>258</v>
      </c>
      <c r="S173" s="7">
        <v>43318.0</v>
      </c>
      <c r="T173" s="3" t="s">
        <v>63</v>
      </c>
      <c r="U173" s="6" t="s">
        <v>109</v>
      </c>
      <c r="V173" s="3" t="s">
        <v>4</v>
      </c>
      <c r="W173" s="3" t="s">
        <v>102</v>
      </c>
    </row>
    <row r="174" ht="15.75" customHeight="1">
      <c r="A174" s="6" t="s">
        <v>2074</v>
      </c>
      <c r="B174" s="3" t="s">
        <v>1656</v>
      </c>
      <c r="C174" s="7">
        <v>31616.0</v>
      </c>
      <c r="D174" s="3" t="s">
        <v>63</v>
      </c>
      <c r="E174" s="3">
        <v>40.0</v>
      </c>
      <c r="F174" s="3" t="s">
        <v>70</v>
      </c>
      <c r="G174" s="6" t="s">
        <v>3381</v>
      </c>
      <c r="H174" s="3" t="s">
        <v>3383</v>
      </c>
      <c r="I174" s="3" t="s">
        <v>3384</v>
      </c>
      <c r="J174" s="3" t="s">
        <v>251</v>
      </c>
      <c r="K174" s="3" t="s">
        <v>251</v>
      </c>
      <c r="L174" s="3"/>
      <c r="M174" s="3" t="s">
        <v>88</v>
      </c>
      <c r="N174" s="6" t="s">
        <v>3388</v>
      </c>
      <c r="O174" s="3" t="s">
        <v>63</v>
      </c>
      <c r="P174" s="3" t="s">
        <v>160</v>
      </c>
      <c r="Q174" s="8">
        <v>1232907.0</v>
      </c>
      <c r="R174" s="3" t="s">
        <v>93</v>
      </c>
      <c r="S174" s="7">
        <v>43926.0</v>
      </c>
      <c r="T174" s="3" t="s">
        <v>63</v>
      </c>
      <c r="U174" s="6" t="s">
        <v>97</v>
      </c>
      <c r="V174" s="3" t="s">
        <v>237</v>
      </c>
      <c r="W174" s="3" t="s">
        <v>102</v>
      </c>
    </row>
    <row r="175" ht="15.75" customHeight="1">
      <c r="A175" s="6" t="s">
        <v>1385</v>
      </c>
      <c r="B175" s="3" t="s">
        <v>3394</v>
      </c>
      <c r="C175" s="7">
        <v>27198.0</v>
      </c>
      <c r="D175" s="3" t="s">
        <v>63</v>
      </c>
      <c r="E175" s="3">
        <v>52.0</v>
      </c>
      <c r="F175" s="3" t="s">
        <v>183</v>
      </c>
      <c r="G175" s="6" t="s">
        <v>3400</v>
      </c>
      <c r="H175" s="3" t="s">
        <v>3401</v>
      </c>
      <c r="I175" s="3" t="s">
        <v>3403</v>
      </c>
      <c r="J175" s="3" t="s">
        <v>167</v>
      </c>
      <c r="K175" s="3" t="s">
        <v>169</v>
      </c>
      <c r="L175" s="6" t="s">
        <v>2535</v>
      </c>
      <c r="M175" s="3" t="s">
        <v>63</v>
      </c>
      <c r="N175" s="6" t="s">
        <v>2537</v>
      </c>
      <c r="O175" s="3" t="s">
        <v>63</v>
      </c>
      <c r="P175" s="3" t="s">
        <v>202</v>
      </c>
      <c r="Q175" s="3"/>
      <c r="R175" s="3" t="s">
        <v>258</v>
      </c>
      <c r="S175" s="7">
        <v>41646.0</v>
      </c>
      <c r="T175" s="3" t="s">
        <v>63</v>
      </c>
      <c r="U175" s="6" t="s">
        <v>129</v>
      </c>
      <c r="V175" s="3" t="s">
        <v>4</v>
      </c>
      <c r="W175" s="3" t="s">
        <v>378</v>
      </c>
    </row>
    <row r="176" ht="15.75" customHeight="1">
      <c r="A176" s="6" t="s">
        <v>2576</v>
      </c>
      <c r="B176" s="3" t="s">
        <v>3412</v>
      </c>
      <c r="C176" s="7">
        <v>32023.0</v>
      </c>
      <c r="D176" s="3" t="s">
        <v>63</v>
      </c>
      <c r="E176" s="3">
        <v>38.0</v>
      </c>
      <c r="F176" s="3" t="s">
        <v>183</v>
      </c>
      <c r="G176" s="6" t="s">
        <v>3417</v>
      </c>
      <c r="H176" s="3" t="s">
        <v>3418</v>
      </c>
      <c r="I176" s="3" t="s">
        <v>3419</v>
      </c>
      <c r="J176" s="3" t="s">
        <v>79</v>
      </c>
      <c r="K176" s="3" t="s">
        <v>81</v>
      </c>
      <c r="L176" s="6" t="s">
        <v>2578</v>
      </c>
      <c r="M176" s="3" t="s">
        <v>63</v>
      </c>
      <c r="N176" s="3"/>
      <c r="O176" s="3" t="s">
        <v>88</v>
      </c>
      <c r="P176" s="3" t="s">
        <v>324</v>
      </c>
      <c r="Q176" s="3"/>
      <c r="R176" s="3" t="s">
        <v>258</v>
      </c>
      <c r="S176" s="7">
        <v>44622.0</v>
      </c>
      <c r="T176" s="3" t="s">
        <v>63</v>
      </c>
      <c r="U176" s="6" t="s">
        <v>245</v>
      </c>
      <c r="V176" s="3" t="s">
        <v>4</v>
      </c>
      <c r="W176" s="3" t="s">
        <v>102</v>
      </c>
    </row>
    <row r="177" ht="15.75" customHeight="1">
      <c r="A177" s="6" t="s">
        <v>3429</v>
      </c>
      <c r="B177" s="3" t="s">
        <v>3430</v>
      </c>
      <c r="C177" s="7">
        <v>38281.0</v>
      </c>
      <c r="D177" s="3" t="s">
        <v>63</v>
      </c>
      <c r="E177" s="3">
        <v>21.0</v>
      </c>
      <c r="F177" s="3" t="s">
        <v>183</v>
      </c>
      <c r="G177" s="6" t="s">
        <v>3433</v>
      </c>
      <c r="H177" s="3" t="s">
        <v>3435</v>
      </c>
      <c r="I177" s="3" t="s">
        <v>3436</v>
      </c>
      <c r="J177" s="3" t="s">
        <v>305</v>
      </c>
      <c r="K177" s="3" t="s">
        <v>193</v>
      </c>
      <c r="L177" s="6" t="s">
        <v>3440</v>
      </c>
      <c r="M177" s="3" t="s">
        <v>63</v>
      </c>
      <c r="N177" s="6" t="s">
        <v>3441</v>
      </c>
      <c r="O177" s="3" t="s">
        <v>63</v>
      </c>
      <c r="P177" s="3" t="s">
        <v>127</v>
      </c>
      <c r="Q177" s="8">
        <v>1578691.0</v>
      </c>
      <c r="R177" s="3" t="s">
        <v>93</v>
      </c>
      <c r="S177" s="7">
        <v>43363.0</v>
      </c>
      <c r="T177" s="3" t="s">
        <v>63</v>
      </c>
      <c r="U177" s="6" t="s">
        <v>221</v>
      </c>
      <c r="V177" s="3" t="s">
        <v>4</v>
      </c>
      <c r="W177" s="3" t="s">
        <v>102</v>
      </c>
    </row>
    <row r="178" ht="15.75" customHeight="1">
      <c r="A178" s="6" t="s">
        <v>1679</v>
      </c>
      <c r="B178" s="3" t="s">
        <v>3449</v>
      </c>
      <c r="C178" s="7">
        <v>35792.0</v>
      </c>
      <c r="D178" s="3" t="s">
        <v>63</v>
      </c>
      <c r="E178" s="3">
        <v>28.0</v>
      </c>
      <c r="F178" s="3" t="s">
        <v>183</v>
      </c>
      <c r="G178" s="6" t="s">
        <v>3452</v>
      </c>
      <c r="H178" s="3" t="s">
        <v>3454</v>
      </c>
      <c r="I178" s="3" t="s">
        <v>3455</v>
      </c>
      <c r="J178" s="3" t="s">
        <v>213</v>
      </c>
      <c r="K178" s="3" t="s">
        <v>67</v>
      </c>
      <c r="L178" s="3"/>
      <c r="M178" s="3" t="s">
        <v>88</v>
      </c>
      <c r="N178" s="6" t="s">
        <v>3460</v>
      </c>
      <c r="O178" s="3" t="s">
        <v>63</v>
      </c>
      <c r="P178" s="3" t="s">
        <v>90</v>
      </c>
      <c r="Q178" s="8">
        <v>1561318.0</v>
      </c>
      <c r="R178" s="3" t="s">
        <v>93</v>
      </c>
      <c r="S178" s="7">
        <v>39198.0</v>
      </c>
      <c r="T178" s="3" t="s">
        <v>63</v>
      </c>
      <c r="U178" s="6" t="s">
        <v>92</v>
      </c>
      <c r="V178" s="3" t="s">
        <v>4</v>
      </c>
      <c r="W178" s="3" t="s">
        <v>102</v>
      </c>
    </row>
    <row r="179" ht="15.75" customHeight="1">
      <c r="A179" s="6" t="s">
        <v>3466</v>
      </c>
      <c r="B179" s="3" t="s">
        <v>3468</v>
      </c>
      <c r="C179" s="7">
        <v>36697.0</v>
      </c>
      <c r="D179" s="3" t="s">
        <v>63</v>
      </c>
      <c r="E179" s="3">
        <v>26.0</v>
      </c>
      <c r="F179" s="3" t="s">
        <v>70</v>
      </c>
      <c r="G179" s="6" t="s">
        <v>3471</v>
      </c>
      <c r="H179" s="3" t="s">
        <v>3475</v>
      </c>
      <c r="I179" s="3" t="s">
        <v>3476</v>
      </c>
      <c r="J179" s="3" t="s">
        <v>213</v>
      </c>
      <c r="K179" s="3" t="s">
        <v>67</v>
      </c>
      <c r="L179" s="6" t="s">
        <v>3478</v>
      </c>
      <c r="M179" s="3" t="s">
        <v>63</v>
      </c>
      <c r="N179" s="6" t="s">
        <v>3481</v>
      </c>
      <c r="O179" s="3" t="s">
        <v>63</v>
      </c>
      <c r="P179" s="3" t="s">
        <v>90</v>
      </c>
      <c r="Q179" s="3"/>
      <c r="R179" s="3" t="s">
        <v>258</v>
      </c>
      <c r="S179" s="7">
        <v>43784.0</v>
      </c>
      <c r="T179" s="3" t="s">
        <v>63</v>
      </c>
      <c r="U179" s="6" t="s">
        <v>234</v>
      </c>
      <c r="V179" s="3" t="s">
        <v>4</v>
      </c>
      <c r="W179" s="3" t="s">
        <v>102</v>
      </c>
    </row>
    <row r="180" ht="15.75" customHeight="1">
      <c r="A180" s="6" t="s">
        <v>3405</v>
      </c>
      <c r="B180" s="3" t="s">
        <v>3487</v>
      </c>
      <c r="C180" s="7">
        <v>23732.0</v>
      </c>
      <c r="D180" s="3" t="s">
        <v>63</v>
      </c>
      <c r="E180" s="3">
        <v>61.0</v>
      </c>
      <c r="F180" s="3" t="s">
        <v>183</v>
      </c>
      <c r="G180" s="6" t="s">
        <v>3490</v>
      </c>
      <c r="H180" s="3" t="s">
        <v>3492</v>
      </c>
      <c r="I180" s="3" t="s">
        <v>3494</v>
      </c>
      <c r="J180" s="3" t="s">
        <v>201</v>
      </c>
      <c r="K180" s="3" t="s">
        <v>203</v>
      </c>
      <c r="L180" s="6" t="s">
        <v>3406</v>
      </c>
      <c r="M180" s="3" t="s">
        <v>63</v>
      </c>
      <c r="N180" s="6" t="s">
        <v>3407</v>
      </c>
      <c r="O180" s="3" t="s">
        <v>63</v>
      </c>
      <c r="P180" s="3" t="s">
        <v>127</v>
      </c>
      <c r="Q180" s="3"/>
      <c r="R180" s="3" t="s">
        <v>258</v>
      </c>
      <c r="S180" s="7">
        <v>44712.0</v>
      </c>
      <c r="T180" s="3" t="s">
        <v>63</v>
      </c>
      <c r="U180" s="6" t="s">
        <v>262</v>
      </c>
      <c r="V180" s="3" t="s">
        <v>4</v>
      </c>
      <c r="W180" s="3" t="s">
        <v>102</v>
      </c>
    </row>
    <row r="181" ht="15.75" customHeight="1">
      <c r="A181" s="6" t="s">
        <v>350</v>
      </c>
      <c r="B181" s="3" t="s">
        <v>3503</v>
      </c>
      <c r="C181" s="7">
        <v>34376.0</v>
      </c>
      <c r="D181" s="3" t="s">
        <v>63</v>
      </c>
      <c r="E181" s="3">
        <v>32.0</v>
      </c>
      <c r="F181" s="3" t="s">
        <v>183</v>
      </c>
      <c r="G181" s="6" t="s">
        <v>3504</v>
      </c>
      <c r="H181" s="3" t="s">
        <v>3505</v>
      </c>
      <c r="I181" s="3" t="s">
        <v>3506</v>
      </c>
      <c r="J181" s="3" t="s">
        <v>250</v>
      </c>
      <c r="K181" s="3" t="s">
        <v>252</v>
      </c>
      <c r="L181" s="6" t="s">
        <v>351</v>
      </c>
      <c r="M181" s="3" t="s">
        <v>63</v>
      </c>
      <c r="N181" s="6" t="s">
        <v>353</v>
      </c>
      <c r="O181" s="3" t="s">
        <v>63</v>
      </c>
      <c r="P181" s="3" t="s">
        <v>90</v>
      </c>
      <c r="Q181" s="8">
        <v>2271681.0</v>
      </c>
      <c r="R181" s="3" t="s">
        <v>93</v>
      </c>
      <c r="S181" s="7">
        <v>40457.0</v>
      </c>
      <c r="T181" s="3" t="s">
        <v>63</v>
      </c>
      <c r="U181" s="6" t="s">
        <v>97</v>
      </c>
      <c r="V181" s="3" t="s">
        <v>4</v>
      </c>
      <c r="W181" s="3" t="s">
        <v>102</v>
      </c>
    </row>
    <row r="182" ht="15.75" customHeight="1">
      <c r="A182" s="6" t="s">
        <v>3022</v>
      </c>
      <c r="B182" s="3" t="s">
        <v>3514</v>
      </c>
      <c r="C182" s="7">
        <v>25240.0</v>
      </c>
      <c r="D182" s="3" t="s">
        <v>63</v>
      </c>
      <c r="E182" s="3">
        <v>57.0</v>
      </c>
      <c r="F182" s="3" t="s">
        <v>70</v>
      </c>
      <c r="G182" s="6" t="s">
        <v>3517</v>
      </c>
      <c r="H182" s="3" t="s">
        <v>3518</v>
      </c>
      <c r="I182" s="3" t="s">
        <v>3519</v>
      </c>
      <c r="J182" s="3" t="s">
        <v>250</v>
      </c>
      <c r="K182" s="3" t="s">
        <v>252</v>
      </c>
      <c r="L182" s="3"/>
      <c r="M182" s="3" t="s">
        <v>88</v>
      </c>
      <c r="N182" s="6" t="s">
        <v>3523</v>
      </c>
      <c r="O182" s="3" t="s">
        <v>63</v>
      </c>
      <c r="P182" s="3" t="s">
        <v>396</v>
      </c>
      <c r="Q182" s="8">
        <v>2290926.0</v>
      </c>
      <c r="R182" s="3" t="s">
        <v>93</v>
      </c>
      <c r="S182" s="7">
        <v>40343.0</v>
      </c>
      <c r="T182" s="3" t="s">
        <v>63</v>
      </c>
      <c r="U182" s="6" t="s">
        <v>109</v>
      </c>
      <c r="V182" s="3" t="s">
        <v>237</v>
      </c>
      <c r="W182" s="3" t="s">
        <v>102</v>
      </c>
    </row>
    <row r="183" ht="15.75" customHeight="1">
      <c r="A183" s="6" t="s">
        <v>2568</v>
      </c>
      <c r="B183" s="3" t="s">
        <v>3529</v>
      </c>
      <c r="C183" s="7">
        <v>21721.0</v>
      </c>
      <c r="D183" s="3" t="s">
        <v>63</v>
      </c>
      <c r="E183" s="3">
        <v>67.0</v>
      </c>
      <c r="F183" s="3" t="s">
        <v>70</v>
      </c>
      <c r="G183" s="6" t="s">
        <v>3533</v>
      </c>
      <c r="H183" s="3"/>
      <c r="I183" s="3" t="s">
        <v>3535</v>
      </c>
      <c r="J183" s="3" t="s">
        <v>119</v>
      </c>
      <c r="K183" s="3" t="s">
        <v>121</v>
      </c>
      <c r="L183" s="6" t="s">
        <v>3538</v>
      </c>
      <c r="M183" s="3" t="s">
        <v>63</v>
      </c>
      <c r="N183" s="3"/>
      <c r="O183" s="3" t="s">
        <v>88</v>
      </c>
      <c r="P183" s="3" t="s">
        <v>464</v>
      </c>
      <c r="Q183" s="8">
        <v>1700373.0</v>
      </c>
      <c r="R183" s="3" t="s">
        <v>93</v>
      </c>
      <c r="S183" s="7">
        <v>39055.0</v>
      </c>
      <c r="T183" s="3" t="s">
        <v>63</v>
      </c>
      <c r="U183" s="6" t="s">
        <v>266</v>
      </c>
      <c r="V183" s="3" t="s">
        <v>4</v>
      </c>
      <c r="W183" s="3" t="s">
        <v>102</v>
      </c>
    </row>
    <row r="184" ht="15.75" customHeight="1">
      <c r="A184" s="6" t="s">
        <v>3545</v>
      </c>
      <c r="B184" s="3" t="s">
        <v>3546</v>
      </c>
      <c r="C184" s="7">
        <v>32943.0</v>
      </c>
      <c r="D184" s="3" t="s">
        <v>63</v>
      </c>
      <c r="E184" s="3">
        <v>36.0</v>
      </c>
      <c r="F184" s="3" t="s">
        <v>183</v>
      </c>
      <c r="G184" s="6" t="s">
        <v>3550</v>
      </c>
      <c r="H184" s="3" t="s">
        <v>3554</v>
      </c>
      <c r="I184" s="3" t="s">
        <v>3556</v>
      </c>
      <c r="J184" s="3" t="s">
        <v>358</v>
      </c>
      <c r="K184" s="3" t="s">
        <v>360</v>
      </c>
      <c r="L184" s="6" t="s">
        <v>3557</v>
      </c>
      <c r="M184" s="3" t="s">
        <v>63</v>
      </c>
      <c r="N184" s="6" t="s">
        <v>3558</v>
      </c>
      <c r="O184" s="3" t="s">
        <v>63</v>
      </c>
      <c r="P184" s="3" t="s">
        <v>127</v>
      </c>
      <c r="Q184" s="3"/>
      <c r="R184" s="3" t="s">
        <v>258</v>
      </c>
      <c r="S184" s="7">
        <v>44803.0</v>
      </c>
      <c r="T184" s="3" t="s">
        <v>63</v>
      </c>
      <c r="U184" s="6" t="s">
        <v>197</v>
      </c>
      <c r="V184" s="3" t="s">
        <v>237</v>
      </c>
      <c r="W184" s="3" t="s">
        <v>102</v>
      </c>
    </row>
    <row r="185" ht="15.75" customHeight="1">
      <c r="A185" s="6" t="s">
        <v>2754</v>
      </c>
      <c r="B185" s="3" t="s">
        <v>3565</v>
      </c>
      <c r="C185" s="7">
        <v>34668.0</v>
      </c>
      <c r="D185" s="3" t="s">
        <v>63</v>
      </c>
      <c r="E185" s="3">
        <v>31.0</v>
      </c>
      <c r="F185" s="3" t="s">
        <v>183</v>
      </c>
      <c r="G185" s="6" t="s">
        <v>3570</v>
      </c>
      <c r="H185" s="3" t="s">
        <v>3571</v>
      </c>
      <c r="I185" s="3" t="s">
        <v>3572</v>
      </c>
      <c r="J185" s="3" t="s">
        <v>151</v>
      </c>
      <c r="K185" s="3" t="s">
        <v>121</v>
      </c>
      <c r="L185" s="3"/>
      <c r="M185" s="3" t="s">
        <v>88</v>
      </c>
      <c r="N185" s="6" t="s">
        <v>2755</v>
      </c>
      <c r="O185" s="3" t="s">
        <v>63</v>
      </c>
      <c r="P185" s="3" t="s">
        <v>372</v>
      </c>
      <c r="Q185" s="8">
        <v>1681826.0</v>
      </c>
      <c r="R185" s="3" t="s">
        <v>93</v>
      </c>
      <c r="S185" s="7">
        <v>39926.0</v>
      </c>
      <c r="T185" s="3" t="s">
        <v>63</v>
      </c>
      <c r="U185" s="6" t="s">
        <v>179</v>
      </c>
      <c r="V185" s="3" t="s">
        <v>4</v>
      </c>
      <c r="W185" s="3" t="s">
        <v>102</v>
      </c>
    </row>
    <row r="186" ht="15.75" customHeight="1">
      <c r="A186" s="6" t="s">
        <v>3582</v>
      </c>
      <c r="B186" s="3" t="s">
        <v>3584</v>
      </c>
      <c r="C186" s="7">
        <v>28059.0</v>
      </c>
      <c r="D186" s="3" t="s">
        <v>63</v>
      </c>
      <c r="E186" s="3">
        <v>49.0</v>
      </c>
      <c r="F186" s="3" t="s">
        <v>183</v>
      </c>
      <c r="G186" s="6" t="s">
        <v>3588</v>
      </c>
      <c r="H186" s="3" t="s">
        <v>3589</v>
      </c>
      <c r="I186" s="3" t="s">
        <v>3590</v>
      </c>
      <c r="J186" s="3" t="s">
        <v>379</v>
      </c>
      <c r="K186" s="3" t="s">
        <v>229</v>
      </c>
      <c r="L186" s="6" t="s">
        <v>3593</v>
      </c>
      <c r="M186" s="3" t="s">
        <v>63</v>
      </c>
      <c r="N186" s="6" t="s">
        <v>3594</v>
      </c>
      <c r="O186" s="3" t="s">
        <v>63</v>
      </c>
      <c r="P186" s="3" t="s">
        <v>300</v>
      </c>
      <c r="Q186" s="8">
        <v>834581.0</v>
      </c>
      <c r="R186" s="3" t="s">
        <v>93</v>
      </c>
      <c r="S186" s="7">
        <v>38695.0</v>
      </c>
      <c r="T186" s="3" t="s">
        <v>63</v>
      </c>
      <c r="U186" s="6" t="s">
        <v>208</v>
      </c>
      <c r="V186" s="3" t="s">
        <v>4</v>
      </c>
      <c r="W186" s="3" t="s">
        <v>102</v>
      </c>
    </row>
    <row r="187" ht="15.75" customHeight="1">
      <c r="A187" s="6" t="s">
        <v>3601</v>
      </c>
      <c r="B187" s="3" t="s">
        <v>3602</v>
      </c>
      <c r="C187" s="7">
        <v>23126.0</v>
      </c>
      <c r="D187" s="3" t="s">
        <v>63</v>
      </c>
      <c r="E187" s="3">
        <v>63.0</v>
      </c>
      <c r="F187" s="3" t="s">
        <v>70</v>
      </c>
      <c r="G187" s="6" t="s">
        <v>3607</v>
      </c>
      <c r="H187" s="3" t="s">
        <v>3608</v>
      </c>
      <c r="I187" s="3" t="s">
        <v>3610</v>
      </c>
      <c r="J187" s="3" t="s">
        <v>114</v>
      </c>
      <c r="K187" s="3" t="s">
        <v>118</v>
      </c>
      <c r="L187" s="6" t="s">
        <v>3612</v>
      </c>
      <c r="M187" s="3" t="s">
        <v>63</v>
      </c>
      <c r="N187" s="6" t="s">
        <v>3615</v>
      </c>
      <c r="O187" s="3" t="s">
        <v>63</v>
      </c>
      <c r="P187" s="3" t="s">
        <v>160</v>
      </c>
      <c r="Q187" s="8">
        <v>1130196.0</v>
      </c>
      <c r="R187" s="3" t="s">
        <v>93</v>
      </c>
      <c r="S187" s="7">
        <v>40138.0</v>
      </c>
      <c r="T187" s="3" t="s">
        <v>63</v>
      </c>
      <c r="U187" s="6" t="s">
        <v>288</v>
      </c>
      <c r="V187" s="3" t="s">
        <v>237</v>
      </c>
      <c r="W187" s="3" t="s">
        <v>102</v>
      </c>
    </row>
    <row r="188" ht="15.75" customHeight="1">
      <c r="A188" s="6" t="s">
        <v>2195</v>
      </c>
      <c r="B188" s="3" t="s">
        <v>3622</v>
      </c>
      <c r="C188" s="7">
        <v>34500.0</v>
      </c>
      <c r="D188" s="3" t="s">
        <v>63</v>
      </c>
      <c r="E188" s="3">
        <v>32.0</v>
      </c>
      <c r="F188" s="3" t="s">
        <v>183</v>
      </c>
      <c r="G188" s="6" t="s">
        <v>3626</v>
      </c>
      <c r="H188" s="3" t="s">
        <v>3628</v>
      </c>
      <c r="I188" s="3" t="s">
        <v>3629</v>
      </c>
      <c r="J188" s="3" t="s">
        <v>43</v>
      </c>
      <c r="K188" s="3" t="s">
        <v>45</v>
      </c>
      <c r="L188" s="6" t="s">
        <v>3636</v>
      </c>
      <c r="M188" s="3" t="s">
        <v>63</v>
      </c>
      <c r="N188" s="6" t="s">
        <v>3638</v>
      </c>
      <c r="O188" s="3" t="s">
        <v>63</v>
      </c>
      <c r="P188" s="3" t="s">
        <v>127</v>
      </c>
      <c r="Q188" s="8">
        <v>546386.0</v>
      </c>
      <c r="R188" s="3" t="s">
        <v>93</v>
      </c>
      <c r="S188" s="7">
        <v>40680.0</v>
      </c>
      <c r="T188" s="3" t="s">
        <v>63</v>
      </c>
      <c r="U188" s="6" t="s">
        <v>284</v>
      </c>
      <c r="V188" s="3" t="s">
        <v>4</v>
      </c>
      <c r="W188" s="3" t="s">
        <v>102</v>
      </c>
    </row>
    <row r="189" ht="15.75" customHeight="1">
      <c r="A189" s="6" t="s">
        <v>3645</v>
      </c>
      <c r="B189" s="3" t="s">
        <v>3647</v>
      </c>
      <c r="C189" s="7">
        <v>30283.0</v>
      </c>
      <c r="D189" s="3" t="s">
        <v>63</v>
      </c>
      <c r="E189" s="3">
        <v>43.0</v>
      </c>
      <c r="F189" s="3" t="s">
        <v>70</v>
      </c>
      <c r="G189" s="6" t="s">
        <v>3652</v>
      </c>
      <c r="H189" s="3" t="s">
        <v>3653</v>
      </c>
      <c r="I189" s="3" t="s">
        <v>3654</v>
      </c>
      <c r="J189" s="3" t="s">
        <v>227</v>
      </c>
      <c r="K189" s="3" t="s">
        <v>229</v>
      </c>
      <c r="L189" s="6" t="s">
        <v>3657</v>
      </c>
      <c r="M189" s="3" t="s">
        <v>620</v>
      </c>
      <c r="N189" s="6" t="s">
        <v>3659</v>
      </c>
      <c r="O189" s="3" t="s">
        <v>63</v>
      </c>
      <c r="P189" s="3" t="s">
        <v>396</v>
      </c>
      <c r="Q189" s="8">
        <v>2058363.0</v>
      </c>
      <c r="R189" s="3" t="s">
        <v>93</v>
      </c>
      <c r="S189" s="7">
        <v>38750.0</v>
      </c>
      <c r="T189" s="3" t="s">
        <v>63</v>
      </c>
      <c r="U189" s="6" t="s">
        <v>197</v>
      </c>
      <c r="V189" s="3" t="s">
        <v>4</v>
      </c>
      <c r="W189" s="3" t="s">
        <v>102</v>
      </c>
    </row>
    <row r="190" ht="15.75" customHeight="1">
      <c r="A190" s="6" t="s">
        <v>941</v>
      </c>
      <c r="B190" s="3" t="s">
        <v>3667</v>
      </c>
      <c r="C190" s="7">
        <v>38625.0</v>
      </c>
      <c r="D190" s="3" t="s">
        <v>63</v>
      </c>
      <c r="E190" s="3">
        <v>20.0</v>
      </c>
      <c r="F190" s="3" t="s">
        <v>70</v>
      </c>
      <c r="G190" s="6" t="s">
        <v>3670</v>
      </c>
      <c r="H190" s="3" t="s">
        <v>3672</v>
      </c>
      <c r="I190" s="3" t="s">
        <v>3674</v>
      </c>
      <c r="J190" s="3" t="s">
        <v>184</v>
      </c>
      <c r="K190" s="3" t="s">
        <v>187</v>
      </c>
      <c r="L190" s="6" t="s">
        <v>943</v>
      </c>
      <c r="M190" s="3" t="s">
        <v>63</v>
      </c>
      <c r="N190" s="6" t="s">
        <v>945</v>
      </c>
      <c r="O190" s="3" t="s">
        <v>63</v>
      </c>
      <c r="P190" s="3" t="s">
        <v>202</v>
      </c>
      <c r="Q190" s="8">
        <v>233584.0</v>
      </c>
      <c r="R190" s="3" t="s">
        <v>93</v>
      </c>
      <c r="S190" s="7">
        <v>38358.0</v>
      </c>
      <c r="T190" s="3" t="s">
        <v>1178</v>
      </c>
      <c r="U190" s="6" t="s">
        <v>401</v>
      </c>
      <c r="V190" s="3" t="s">
        <v>237</v>
      </c>
      <c r="W190" s="3" t="s">
        <v>102</v>
      </c>
    </row>
    <row r="191" ht="15.75" customHeight="1">
      <c r="A191" s="6" t="s">
        <v>3683</v>
      </c>
      <c r="B191" s="3" t="s">
        <v>3684</v>
      </c>
      <c r="C191" s="7">
        <v>35451.0</v>
      </c>
      <c r="D191" s="3" t="s">
        <v>63</v>
      </c>
      <c r="E191" s="3">
        <v>29.0</v>
      </c>
      <c r="F191" s="3" t="s">
        <v>183</v>
      </c>
      <c r="G191" s="3"/>
      <c r="H191" s="3" t="s">
        <v>3687</v>
      </c>
      <c r="I191" s="3" t="s">
        <v>3689</v>
      </c>
      <c r="J191" s="3" t="s">
        <v>134</v>
      </c>
      <c r="K191" s="3" t="s">
        <v>137</v>
      </c>
      <c r="L191" s="6" t="s">
        <v>3692</v>
      </c>
      <c r="M191" s="3" t="s">
        <v>63</v>
      </c>
      <c r="N191" s="3"/>
      <c r="O191" s="3" t="s">
        <v>88</v>
      </c>
      <c r="P191" s="3" t="s">
        <v>372</v>
      </c>
      <c r="Q191" s="8">
        <v>2027742.0</v>
      </c>
      <c r="R191" s="3" t="s">
        <v>93</v>
      </c>
      <c r="S191" s="7">
        <v>43630.0</v>
      </c>
      <c r="T191" s="3" t="s">
        <v>63</v>
      </c>
      <c r="U191" s="6" t="s">
        <v>284</v>
      </c>
      <c r="V191" s="3" t="s">
        <v>4</v>
      </c>
      <c r="W191" s="3" t="s">
        <v>102</v>
      </c>
    </row>
    <row r="192" ht="15.75" customHeight="1">
      <c r="A192" s="6" t="s">
        <v>3699</v>
      </c>
      <c r="B192" s="3" t="s">
        <v>3701</v>
      </c>
      <c r="C192" s="7">
        <v>34850.0</v>
      </c>
      <c r="D192" s="3" t="s">
        <v>63</v>
      </c>
      <c r="E192" s="3">
        <v>31.0</v>
      </c>
      <c r="F192" s="3" t="s">
        <v>183</v>
      </c>
      <c r="G192" s="6" t="s">
        <v>3704</v>
      </c>
      <c r="H192" s="3" t="s">
        <v>3705</v>
      </c>
      <c r="I192" s="3" t="s">
        <v>3706</v>
      </c>
      <c r="J192" s="3" t="s">
        <v>250</v>
      </c>
      <c r="K192" s="3" t="s">
        <v>252</v>
      </c>
      <c r="L192" s="6" t="s">
        <v>3708</v>
      </c>
      <c r="M192" s="3" t="s">
        <v>63</v>
      </c>
      <c r="N192" s="6" t="s">
        <v>3710</v>
      </c>
      <c r="O192" s="3" t="s">
        <v>63</v>
      </c>
      <c r="P192" s="3" t="s">
        <v>202</v>
      </c>
      <c r="Q192" s="8">
        <v>196529.0</v>
      </c>
      <c r="R192" s="3" t="s">
        <v>93</v>
      </c>
      <c r="S192" s="7">
        <v>44266.0</v>
      </c>
      <c r="T192" s="3" t="s">
        <v>63</v>
      </c>
      <c r="U192" s="6" t="s">
        <v>323</v>
      </c>
      <c r="V192" s="3" t="s">
        <v>4</v>
      </c>
      <c r="W192" s="3" t="s">
        <v>102</v>
      </c>
    </row>
    <row r="193" ht="15.75" customHeight="1">
      <c r="A193" s="6" t="s">
        <v>2514</v>
      </c>
      <c r="B193" s="3" t="s">
        <v>3718</v>
      </c>
      <c r="C193" s="7">
        <v>25501.0</v>
      </c>
      <c r="D193" s="3" t="s">
        <v>63</v>
      </c>
      <c r="E193" s="3">
        <v>56.0</v>
      </c>
      <c r="F193" s="3" t="s">
        <v>70</v>
      </c>
      <c r="G193" s="6" t="s">
        <v>3720</v>
      </c>
      <c r="H193" s="3" t="s">
        <v>3721</v>
      </c>
      <c r="I193" s="3" t="s">
        <v>3724</v>
      </c>
      <c r="J193" s="3" t="s">
        <v>250</v>
      </c>
      <c r="K193" s="3" t="s">
        <v>252</v>
      </c>
      <c r="L193" s="6" t="s">
        <v>2516</v>
      </c>
      <c r="M193" s="3" t="s">
        <v>63</v>
      </c>
      <c r="N193" s="6" t="s">
        <v>2518</v>
      </c>
      <c r="O193" s="3" t="s">
        <v>63</v>
      </c>
      <c r="P193" s="3" t="s">
        <v>127</v>
      </c>
      <c r="Q193" s="8">
        <v>1882705.0</v>
      </c>
      <c r="R193" s="3" t="s">
        <v>93</v>
      </c>
      <c r="S193" s="7">
        <v>45089.0</v>
      </c>
      <c r="T193" s="3" t="s">
        <v>63</v>
      </c>
      <c r="U193" s="6" t="s">
        <v>208</v>
      </c>
      <c r="V193" s="3" t="s">
        <v>4</v>
      </c>
      <c r="W193" s="3" t="s">
        <v>378</v>
      </c>
    </row>
    <row r="194" ht="15.75" customHeight="1">
      <c r="A194" s="6" t="s">
        <v>3732</v>
      </c>
      <c r="B194" s="3" t="s">
        <v>3733</v>
      </c>
      <c r="C194" s="7">
        <v>28164.0</v>
      </c>
      <c r="D194" s="3" t="s">
        <v>63</v>
      </c>
      <c r="E194" s="3">
        <v>49.0</v>
      </c>
      <c r="F194" s="3" t="s">
        <v>70</v>
      </c>
      <c r="G194" s="6" t="s">
        <v>3736</v>
      </c>
      <c r="H194" s="3" t="s">
        <v>3738</v>
      </c>
      <c r="I194" s="3" t="s">
        <v>3739</v>
      </c>
      <c r="J194" s="3" t="s">
        <v>65</v>
      </c>
      <c r="K194" s="3" t="s">
        <v>67</v>
      </c>
      <c r="L194" s="6" t="s">
        <v>3741</v>
      </c>
      <c r="M194" s="3" t="s">
        <v>63</v>
      </c>
      <c r="N194" s="6" t="s">
        <v>3743</v>
      </c>
      <c r="O194" s="3" t="s">
        <v>63</v>
      </c>
      <c r="P194" s="3" t="s">
        <v>90</v>
      </c>
      <c r="Q194" s="8">
        <v>1461277.0</v>
      </c>
      <c r="R194" s="3" t="s">
        <v>93</v>
      </c>
      <c r="S194" s="7">
        <v>43956.0</v>
      </c>
      <c r="T194" s="3" t="s">
        <v>63</v>
      </c>
      <c r="U194" s="6" t="s">
        <v>397</v>
      </c>
      <c r="V194" s="3" t="s">
        <v>4</v>
      </c>
      <c r="W194" s="3" t="s">
        <v>102</v>
      </c>
    </row>
    <row r="195" ht="15.75" customHeight="1">
      <c r="A195" s="6" t="s">
        <v>2953</v>
      </c>
      <c r="B195" s="3" t="s">
        <v>3750</v>
      </c>
      <c r="C195" s="7">
        <v>33033.0</v>
      </c>
      <c r="D195" s="3" t="s">
        <v>63</v>
      </c>
      <c r="E195" s="3">
        <v>36.0</v>
      </c>
      <c r="F195" s="3" t="s">
        <v>70</v>
      </c>
      <c r="G195" s="6" t="s">
        <v>3754</v>
      </c>
      <c r="H195" s="3" t="s">
        <v>3755</v>
      </c>
      <c r="I195" s="3" t="s">
        <v>3756</v>
      </c>
      <c r="J195" s="3" t="s">
        <v>349</v>
      </c>
      <c r="K195" s="3" t="s">
        <v>45</v>
      </c>
      <c r="L195" s="6" t="s">
        <v>3760</v>
      </c>
      <c r="M195" s="3" t="s">
        <v>63</v>
      </c>
      <c r="N195" s="6" t="s">
        <v>3762</v>
      </c>
      <c r="O195" s="3" t="s">
        <v>63</v>
      </c>
      <c r="P195" s="3" t="s">
        <v>160</v>
      </c>
      <c r="Q195" s="3"/>
      <c r="R195" s="3" t="s">
        <v>258</v>
      </c>
      <c r="S195" s="7">
        <v>45242.0</v>
      </c>
      <c r="T195" s="3" t="s">
        <v>63</v>
      </c>
      <c r="U195" s="6" t="s">
        <v>333</v>
      </c>
      <c r="V195" s="3" t="s">
        <v>4</v>
      </c>
      <c r="W195" s="3" t="s">
        <v>102</v>
      </c>
    </row>
    <row r="196" ht="15.75" customHeight="1">
      <c r="A196" s="6" t="s">
        <v>1910</v>
      </c>
      <c r="B196" s="3" t="s">
        <v>3767</v>
      </c>
      <c r="C196" s="7">
        <v>24921.0</v>
      </c>
      <c r="D196" s="3" t="s">
        <v>63</v>
      </c>
      <c r="E196" s="3">
        <v>58.0</v>
      </c>
      <c r="F196" s="3" t="s">
        <v>70</v>
      </c>
      <c r="G196" s="6" t="s">
        <v>3772</v>
      </c>
      <c r="H196" s="3" t="s">
        <v>3773</v>
      </c>
      <c r="I196" s="3" t="s">
        <v>3774</v>
      </c>
      <c r="J196" s="3" t="s">
        <v>184</v>
      </c>
      <c r="K196" s="3" t="s">
        <v>187</v>
      </c>
      <c r="L196" s="6" t="s">
        <v>1912</v>
      </c>
      <c r="M196" s="3" t="s">
        <v>63</v>
      </c>
      <c r="N196" s="6" t="s">
        <v>1914</v>
      </c>
      <c r="O196" s="3" t="s">
        <v>63</v>
      </c>
      <c r="P196" s="3" t="s">
        <v>372</v>
      </c>
      <c r="Q196" s="3"/>
      <c r="R196" s="3" t="s">
        <v>258</v>
      </c>
      <c r="S196" s="7">
        <v>41595.0</v>
      </c>
      <c r="T196" s="3" t="s">
        <v>63</v>
      </c>
      <c r="U196" s="6" t="s">
        <v>97</v>
      </c>
      <c r="V196" s="3" t="s">
        <v>4</v>
      </c>
      <c r="W196" s="3" t="s">
        <v>102</v>
      </c>
    </row>
    <row r="197" ht="15.75" customHeight="1">
      <c r="A197" s="6" t="s">
        <v>3252</v>
      </c>
      <c r="B197" s="3" t="s">
        <v>3787</v>
      </c>
      <c r="C197" s="7">
        <v>20205.0</v>
      </c>
      <c r="D197" s="3" t="s">
        <v>63</v>
      </c>
      <c r="E197" s="3">
        <v>71.0</v>
      </c>
      <c r="F197" s="3" t="s">
        <v>70</v>
      </c>
      <c r="G197" s="6" t="s">
        <v>3789</v>
      </c>
      <c r="H197" s="3" t="s">
        <v>3790</v>
      </c>
      <c r="I197" s="3" t="s">
        <v>3792</v>
      </c>
      <c r="J197" s="3" t="s">
        <v>153</v>
      </c>
      <c r="K197" s="3" t="s">
        <v>67</v>
      </c>
      <c r="L197" s="6" t="s">
        <v>3796</v>
      </c>
      <c r="M197" s="3" t="s">
        <v>63</v>
      </c>
      <c r="N197" s="6" t="s">
        <v>3797</v>
      </c>
      <c r="O197" s="3" t="s">
        <v>63</v>
      </c>
      <c r="P197" s="3" t="s">
        <v>324</v>
      </c>
      <c r="Q197" s="3"/>
      <c r="R197" s="3" t="s">
        <v>258</v>
      </c>
      <c r="S197" s="7">
        <v>44863.0</v>
      </c>
      <c r="T197" s="3" t="s">
        <v>63</v>
      </c>
      <c r="U197" s="6" t="s">
        <v>60</v>
      </c>
      <c r="V197" s="3" t="s">
        <v>4</v>
      </c>
      <c r="W197" s="3" t="s">
        <v>102</v>
      </c>
    </row>
    <row r="198" ht="15.75" customHeight="1">
      <c r="A198" s="6" t="s">
        <v>3226</v>
      </c>
      <c r="B198" s="3" t="s">
        <v>3804</v>
      </c>
      <c r="C198" s="7">
        <v>23811.0</v>
      </c>
      <c r="D198" s="3" t="s">
        <v>63</v>
      </c>
      <c r="E198" s="3">
        <v>61.0</v>
      </c>
      <c r="F198" s="3" t="s">
        <v>183</v>
      </c>
      <c r="G198" s="6" t="s">
        <v>3808</v>
      </c>
      <c r="H198" s="3" t="s">
        <v>3809</v>
      </c>
      <c r="I198" s="3" t="s">
        <v>3811</v>
      </c>
      <c r="J198" s="3" t="s">
        <v>134</v>
      </c>
      <c r="K198" s="3" t="s">
        <v>137</v>
      </c>
      <c r="L198" s="3"/>
      <c r="M198" s="3" t="s">
        <v>88</v>
      </c>
      <c r="N198" s="6" t="s">
        <v>3229</v>
      </c>
      <c r="O198" s="3" t="s">
        <v>63</v>
      </c>
      <c r="P198" s="3" t="s">
        <v>396</v>
      </c>
      <c r="Q198" s="8">
        <v>2353100.0</v>
      </c>
      <c r="R198" s="3" t="s">
        <v>93</v>
      </c>
      <c r="S198" s="7">
        <v>42419.0</v>
      </c>
      <c r="T198" s="3" t="s">
        <v>63</v>
      </c>
      <c r="U198" s="6" t="s">
        <v>163</v>
      </c>
      <c r="V198" s="3" t="s">
        <v>4</v>
      </c>
      <c r="W198" s="3" t="s">
        <v>102</v>
      </c>
    </row>
    <row r="199" ht="15.75" customHeight="1">
      <c r="A199" s="6" t="s">
        <v>2945</v>
      </c>
      <c r="B199" s="3" t="s">
        <v>3819</v>
      </c>
      <c r="C199" s="7">
        <v>24483.0</v>
      </c>
      <c r="D199" s="3" t="s">
        <v>63</v>
      </c>
      <c r="E199" s="3">
        <v>59.0</v>
      </c>
      <c r="F199" s="3" t="s">
        <v>70</v>
      </c>
      <c r="G199" s="6" t="s">
        <v>3822</v>
      </c>
      <c r="H199" s="3" t="s">
        <v>3823</v>
      </c>
      <c r="I199" s="3" t="s">
        <v>3825</v>
      </c>
      <c r="J199" s="3" t="s">
        <v>227</v>
      </c>
      <c r="K199" s="3" t="s">
        <v>229</v>
      </c>
      <c r="L199" s="6" t="s">
        <v>3827</v>
      </c>
      <c r="M199" s="3" t="s">
        <v>63</v>
      </c>
      <c r="N199" s="3"/>
      <c r="O199" s="3" t="s">
        <v>88</v>
      </c>
      <c r="P199" s="3" t="s">
        <v>127</v>
      </c>
      <c r="Q199" s="8">
        <v>1746611.0</v>
      </c>
      <c r="R199" s="3" t="s">
        <v>93</v>
      </c>
      <c r="S199" s="7">
        <v>42724.0</v>
      </c>
      <c r="T199" s="3" t="s">
        <v>63</v>
      </c>
      <c r="U199" s="6" t="s">
        <v>197</v>
      </c>
      <c r="V199" s="3" t="s">
        <v>4</v>
      </c>
      <c r="W199" s="3" t="s">
        <v>102</v>
      </c>
    </row>
    <row r="200" ht="15.75" customHeight="1">
      <c r="A200" s="6" t="s">
        <v>3834</v>
      </c>
      <c r="B200" s="3" t="s">
        <v>3835</v>
      </c>
      <c r="C200" s="7">
        <v>30434.0</v>
      </c>
      <c r="D200" s="3" t="s">
        <v>63</v>
      </c>
      <c r="E200" s="3">
        <v>43.0</v>
      </c>
      <c r="F200" s="3" t="s">
        <v>183</v>
      </c>
      <c r="G200" s="6" t="s">
        <v>3838</v>
      </c>
      <c r="H200" s="3" t="s">
        <v>3840</v>
      </c>
      <c r="I200" s="3" t="s">
        <v>3841</v>
      </c>
      <c r="J200" s="3" t="s">
        <v>250</v>
      </c>
      <c r="K200" s="3" t="s">
        <v>252</v>
      </c>
      <c r="L200" s="6" t="s">
        <v>3844</v>
      </c>
      <c r="M200" s="3" t="s">
        <v>63</v>
      </c>
      <c r="N200" s="6" t="s">
        <v>3846</v>
      </c>
      <c r="O200" s="3" t="s">
        <v>63</v>
      </c>
      <c r="P200" s="3" t="s">
        <v>160</v>
      </c>
      <c r="Q200" s="8">
        <v>922855.0</v>
      </c>
      <c r="R200" s="3" t="s">
        <v>93</v>
      </c>
      <c r="S200" s="7">
        <v>40855.0</v>
      </c>
      <c r="T200" s="3" t="s">
        <v>63</v>
      </c>
      <c r="U200" s="6" t="s">
        <v>333</v>
      </c>
      <c r="V200" s="3" t="s">
        <v>4</v>
      </c>
      <c r="W200" s="3" t="s">
        <v>102</v>
      </c>
    </row>
    <row r="201" ht="15.75" customHeight="1">
      <c r="A201" s="6" t="s">
        <v>1493</v>
      </c>
      <c r="B201" s="3" t="s">
        <v>3858</v>
      </c>
      <c r="C201" s="7">
        <v>33188.0</v>
      </c>
      <c r="D201" s="3" t="s">
        <v>63</v>
      </c>
      <c r="E201" s="3">
        <v>35.0</v>
      </c>
      <c r="F201" s="3" t="s">
        <v>183</v>
      </c>
      <c r="G201" s="6" t="s">
        <v>3863</v>
      </c>
      <c r="H201" s="3"/>
      <c r="I201" s="3" t="s">
        <v>3864</v>
      </c>
      <c r="J201" s="3" t="s">
        <v>250</v>
      </c>
      <c r="K201" s="3" t="s">
        <v>252</v>
      </c>
      <c r="L201" s="6" t="s">
        <v>3866</v>
      </c>
      <c r="M201" s="3" t="s">
        <v>63</v>
      </c>
      <c r="N201" s="6" t="s">
        <v>3867</v>
      </c>
      <c r="O201" s="3" t="s">
        <v>63</v>
      </c>
      <c r="P201" s="3" t="s">
        <v>127</v>
      </c>
      <c r="Q201" s="3"/>
      <c r="R201" s="3" t="s">
        <v>258</v>
      </c>
      <c r="S201" s="7">
        <v>41339.0</v>
      </c>
      <c r="T201" s="3" t="s">
        <v>63</v>
      </c>
      <c r="U201" s="6" t="s">
        <v>284</v>
      </c>
      <c r="V201" s="3" t="s">
        <v>4</v>
      </c>
      <c r="W201" s="3" t="s">
        <v>102</v>
      </c>
    </row>
    <row r="202" ht="15.75" customHeight="1">
      <c r="A202" s="6" t="s">
        <v>2158</v>
      </c>
      <c r="B202" s="3" t="s">
        <v>3872</v>
      </c>
      <c r="C202" s="7">
        <v>47377.0</v>
      </c>
      <c r="D202" s="3" t="s">
        <v>1155</v>
      </c>
      <c r="E202" s="3"/>
      <c r="F202" s="3" t="s">
        <v>70</v>
      </c>
      <c r="G202" s="6" t="s">
        <v>3874</v>
      </c>
      <c r="H202" s="3" t="s">
        <v>3876</v>
      </c>
      <c r="I202" s="3" t="s">
        <v>3877</v>
      </c>
      <c r="J202" s="3" t="s">
        <v>271</v>
      </c>
      <c r="K202" s="3" t="s">
        <v>273</v>
      </c>
      <c r="L202" s="6" t="s">
        <v>3695</v>
      </c>
      <c r="M202" s="3" t="s">
        <v>63</v>
      </c>
      <c r="N202" s="3"/>
      <c r="O202" s="3" t="s">
        <v>88</v>
      </c>
      <c r="P202" s="3" t="s">
        <v>396</v>
      </c>
      <c r="Q202" s="8">
        <v>2262733.0</v>
      </c>
      <c r="R202" s="3" t="s">
        <v>93</v>
      </c>
      <c r="S202" s="7">
        <v>41628.0</v>
      </c>
      <c r="T202" s="3" t="s">
        <v>1178</v>
      </c>
      <c r="U202" s="6" t="s">
        <v>284</v>
      </c>
      <c r="V202" s="3" t="s">
        <v>4</v>
      </c>
      <c r="W202" s="3" t="s">
        <v>102</v>
      </c>
    </row>
    <row r="203" ht="15.75" customHeight="1">
      <c r="A203" s="6" t="s">
        <v>1476</v>
      </c>
      <c r="B203" s="3" t="s">
        <v>3887</v>
      </c>
      <c r="C203" s="7">
        <v>27185.0</v>
      </c>
      <c r="D203" s="3" t="s">
        <v>63</v>
      </c>
      <c r="E203" s="3">
        <v>52.0</v>
      </c>
      <c r="F203" s="3" t="s">
        <v>183</v>
      </c>
      <c r="G203" s="6" t="s">
        <v>3890</v>
      </c>
      <c r="H203" s="3" t="s">
        <v>3895</v>
      </c>
      <c r="I203" s="3" t="s">
        <v>3896</v>
      </c>
      <c r="J203" s="3" t="s">
        <v>337</v>
      </c>
      <c r="K203" s="3" t="s">
        <v>137</v>
      </c>
      <c r="L203" s="6" t="s">
        <v>3900</v>
      </c>
      <c r="M203" s="3" t="s">
        <v>63</v>
      </c>
      <c r="N203" s="6" t="s">
        <v>3902</v>
      </c>
      <c r="O203" s="3" t="s">
        <v>63</v>
      </c>
      <c r="P203" s="3" t="s">
        <v>90</v>
      </c>
      <c r="Q203" s="3"/>
      <c r="R203" s="3" t="s">
        <v>258</v>
      </c>
      <c r="S203" s="7">
        <v>43165.0</v>
      </c>
      <c r="T203" s="3" t="s">
        <v>63</v>
      </c>
      <c r="U203" s="6" t="s">
        <v>397</v>
      </c>
      <c r="V203" s="3" t="s">
        <v>4</v>
      </c>
      <c r="W203" s="3" t="s">
        <v>102</v>
      </c>
    </row>
    <row r="204" ht="15.75" customHeight="1">
      <c r="A204" s="6" t="s">
        <v>435</v>
      </c>
      <c r="B204" s="3" t="s">
        <v>3908</v>
      </c>
      <c r="C204" s="7">
        <v>26057.0</v>
      </c>
      <c r="D204" s="3" t="s">
        <v>63</v>
      </c>
      <c r="E204" s="3">
        <v>55.0</v>
      </c>
      <c r="F204" s="3" t="s">
        <v>70</v>
      </c>
      <c r="G204" s="6" t="s">
        <v>3912</v>
      </c>
      <c r="H204" s="3" t="s">
        <v>3914</v>
      </c>
      <c r="I204" s="3" t="s">
        <v>3915</v>
      </c>
      <c r="J204" s="3" t="s">
        <v>134</v>
      </c>
      <c r="K204" s="3" t="s">
        <v>137</v>
      </c>
      <c r="L204" s="6" t="s">
        <v>436</v>
      </c>
      <c r="M204" s="3" t="s">
        <v>63</v>
      </c>
      <c r="N204" s="6" t="s">
        <v>437</v>
      </c>
      <c r="O204" s="3" t="s">
        <v>63</v>
      </c>
      <c r="P204" s="3" t="s">
        <v>396</v>
      </c>
      <c r="Q204" s="3"/>
      <c r="R204" s="3" t="s">
        <v>258</v>
      </c>
      <c r="S204" s="7">
        <v>40455.0</v>
      </c>
      <c r="T204" s="3" t="s">
        <v>63</v>
      </c>
      <c r="U204" s="6" t="s">
        <v>352</v>
      </c>
      <c r="V204" s="3" t="s">
        <v>4</v>
      </c>
      <c r="W204" s="3" t="s">
        <v>102</v>
      </c>
    </row>
    <row r="205" ht="15.75" customHeight="1">
      <c r="A205" s="6" t="s">
        <v>512</v>
      </c>
      <c r="B205" s="3" t="s">
        <v>3925</v>
      </c>
      <c r="C205" s="7">
        <v>38307.0</v>
      </c>
      <c r="D205" s="3" t="s">
        <v>63</v>
      </c>
      <c r="E205" s="3">
        <v>21.0</v>
      </c>
      <c r="F205" s="3" t="s">
        <v>183</v>
      </c>
      <c r="G205" s="6" t="s">
        <v>3928</v>
      </c>
      <c r="H205" s="3" t="s">
        <v>3930</v>
      </c>
      <c r="I205" s="3" t="s">
        <v>3932</v>
      </c>
      <c r="J205" s="3" t="s">
        <v>379</v>
      </c>
      <c r="K205" s="3" t="s">
        <v>229</v>
      </c>
      <c r="L205" s="6" t="s">
        <v>513</v>
      </c>
      <c r="M205" s="3" t="s">
        <v>63</v>
      </c>
      <c r="N205" s="6" t="s">
        <v>514</v>
      </c>
      <c r="O205" s="3" t="s">
        <v>63</v>
      </c>
      <c r="P205" s="3" t="s">
        <v>324</v>
      </c>
      <c r="Q205" s="8">
        <v>725609.0</v>
      </c>
      <c r="R205" s="3" t="s">
        <v>93</v>
      </c>
      <c r="S205" s="7">
        <v>39986.0</v>
      </c>
      <c r="T205" s="3" t="s">
        <v>63</v>
      </c>
      <c r="U205" s="6" t="s">
        <v>163</v>
      </c>
      <c r="V205" s="3" t="s">
        <v>4</v>
      </c>
      <c r="W205" s="3" t="s">
        <v>102</v>
      </c>
    </row>
    <row r="206" ht="15.75" customHeight="1">
      <c r="A206" s="6" t="s">
        <v>3473</v>
      </c>
      <c r="B206" s="3" t="s">
        <v>3941</v>
      </c>
      <c r="C206" s="7">
        <v>34487.0</v>
      </c>
      <c r="D206" s="3" t="s">
        <v>63</v>
      </c>
      <c r="E206" s="3">
        <v>32.0</v>
      </c>
      <c r="F206" s="3" t="s">
        <v>183</v>
      </c>
      <c r="G206" s="6" t="s">
        <v>3945</v>
      </c>
      <c r="H206" s="3" t="s">
        <v>3947</v>
      </c>
      <c r="I206" s="3" t="s">
        <v>3949</v>
      </c>
      <c r="J206" s="3" t="s">
        <v>271</v>
      </c>
      <c r="K206" s="3" t="s">
        <v>273</v>
      </c>
      <c r="L206" s="6" t="s">
        <v>3951</v>
      </c>
      <c r="M206" s="3" t="s">
        <v>63</v>
      </c>
      <c r="N206" s="6" t="s">
        <v>3953</v>
      </c>
      <c r="O206" s="3" t="s">
        <v>63</v>
      </c>
      <c r="P206" s="3" t="s">
        <v>396</v>
      </c>
      <c r="Q206" s="8">
        <v>219510.0</v>
      </c>
      <c r="R206" s="3" t="s">
        <v>93</v>
      </c>
      <c r="S206" s="7">
        <v>43043.0</v>
      </c>
      <c r="T206" s="3" t="s">
        <v>63</v>
      </c>
      <c r="U206" s="6" t="s">
        <v>163</v>
      </c>
      <c r="V206" s="3" t="s">
        <v>4</v>
      </c>
      <c r="W206" s="3" t="s">
        <v>102</v>
      </c>
    </row>
    <row r="207" ht="15.75" customHeight="1">
      <c r="A207" s="6" t="s">
        <v>1042</v>
      </c>
      <c r="B207" s="3" t="s">
        <v>3961</v>
      </c>
      <c r="C207" s="7">
        <v>47486.0</v>
      </c>
      <c r="D207" s="3" t="s">
        <v>1155</v>
      </c>
      <c r="E207" s="3"/>
      <c r="F207" s="3" t="s">
        <v>70</v>
      </c>
      <c r="G207" s="6" t="s">
        <v>3962</v>
      </c>
      <c r="H207" s="3" t="s">
        <v>3964</v>
      </c>
      <c r="I207" s="3" t="s">
        <v>3966</v>
      </c>
      <c r="J207" s="3" t="s">
        <v>305</v>
      </c>
      <c r="K207" s="3" t="s">
        <v>193</v>
      </c>
      <c r="L207" s="6" t="s">
        <v>2419</v>
      </c>
      <c r="M207" s="3" t="s">
        <v>63</v>
      </c>
      <c r="N207" s="6" t="s">
        <v>2420</v>
      </c>
      <c r="O207" s="3" t="s">
        <v>63</v>
      </c>
      <c r="P207" s="3" t="s">
        <v>324</v>
      </c>
      <c r="Q207" s="8">
        <v>2083567.0</v>
      </c>
      <c r="R207" s="3" t="s">
        <v>93</v>
      </c>
      <c r="S207" s="7">
        <v>45175.0</v>
      </c>
      <c r="T207" s="3" t="s">
        <v>1178</v>
      </c>
      <c r="U207" s="6" t="s">
        <v>171</v>
      </c>
      <c r="V207" s="3" t="s">
        <v>237</v>
      </c>
      <c r="W207" s="3" t="s">
        <v>378</v>
      </c>
    </row>
    <row r="208" ht="15.75" customHeight="1">
      <c r="A208" s="6" t="s">
        <v>1731</v>
      </c>
      <c r="B208" s="3" t="s">
        <v>3975</v>
      </c>
      <c r="C208" s="7">
        <v>30414.0</v>
      </c>
      <c r="D208" s="3" t="s">
        <v>63</v>
      </c>
      <c r="E208" s="3">
        <v>43.0</v>
      </c>
      <c r="F208" s="3" t="s">
        <v>70</v>
      </c>
      <c r="G208" s="6" t="s">
        <v>3978</v>
      </c>
      <c r="H208" s="3" t="s">
        <v>3979</v>
      </c>
      <c r="I208" s="3" t="s">
        <v>3981</v>
      </c>
      <c r="J208" s="3" t="s">
        <v>167</v>
      </c>
      <c r="K208" s="3" t="s">
        <v>169</v>
      </c>
      <c r="L208" s="6" t="s">
        <v>3477</v>
      </c>
      <c r="M208" s="3" t="s">
        <v>63</v>
      </c>
      <c r="N208" s="6" t="s">
        <v>3479</v>
      </c>
      <c r="O208" s="3" t="s">
        <v>63</v>
      </c>
      <c r="P208" s="3" t="s">
        <v>372</v>
      </c>
      <c r="Q208" s="8">
        <v>325432.0</v>
      </c>
      <c r="R208" s="3" t="s">
        <v>93</v>
      </c>
      <c r="S208" s="7">
        <v>44252.0</v>
      </c>
      <c r="T208" s="3" t="s">
        <v>63</v>
      </c>
      <c r="U208" s="6" t="s">
        <v>234</v>
      </c>
      <c r="V208" s="3" t="s">
        <v>237</v>
      </c>
      <c r="W208" s="3" t="s">
        <v>102</v>
      </c>
    </row>
    <row r="209" ht="15.75" customHeight="1">
      <c r="A209" s="6" t="s">
        <v>831</v>
      </c>
      <c r="B209" s="3" t="s">
        <v>3991</v>
      </c>
      <c r="C209" s="7">
        <v>29169.0</v>
      </c>
      <c r="D209" s="3" t="s">
        <v>63</v>
      </c>
      <c r="E209" s="3">
        <v>46.0</v>
      </c>
      <c r="F209" s="3" t="s">
        <v>70</v>
      </c>
      <c r="G209" s="6" t="s">
        <v>3994</v>
      </c>
      <c r="H209" s="3" t="s">
        <v>3997</v>
      </c>
      <c r="I209" s="3" t="s">
        <v>3999</v>
      </c>
      <c r="J209" s="3" t="s">
        <v>305</v>
      </c>
      <c r="K209" s="3" t="s">
        <v>193</v>
      </c>
      <c r="L209" s="6" t="s">
        <v>4002</v>
      </c>
      <c r="M209" s="3" t="s">
        <v>63</v>
      </c>
      <c r="N209" s="6" t="s">
        <v>4003</v>
      </c>
      <c r="O209" s="3" t="s">
        <v>63</v>
      </c>
      <c r="P209" s="3" t="s">
        <v>396</v>
      </c>
      <c r="Q209" s="8">
        <v>1885902.0</v>
      </c>
      <c r="R209" s="3" t="s">
        <v>93</v>
      </c>
      <c r="S209" s="7">
        <v>41465.0</v>
      </c>
      <c r="T209" s="3" t="s">
        <v>63</v>
      </c>
      <c r="U209" s="6" t="s">
        <v>301</v>
      </c>
      <c r="V209" s="3" t="s">
        <v>4</v>
      </c>
      <c r="W209" s="3" t="s">
        <v>102</v>
      </c>
    </row>
    <row r="210" ht="15.75" customHeight="1">
      <c r="A210" s="6" t="s">
        <v>1591</v>
      </c>
      <c r="B210" s="3" t="s">
        <v>4012</v>
      </c>
      <c r="C210" s="7">
        <v>29413.0</v>
      </c>
      <c r="D210" s="3" t="s">
        <v>63</v>
      </c>
      <c r="E210" s="3">
        <v>46.0</v>
      </c>
      <c r="F210" s="3" t="s">
        <v>183</v>
      </c>
      <c r="G210" s="6" t="s">
        <v>4016</v>
      </c>
      <c r="H210" s="3" t="s">
        <v>4017</v>
      </c>
      <c r="I210" s="3" t="s">
        <v>4019</v>
      </c>
      <c r="J210" s="3" t="s">
        <v>379</v>
      </c>
      <c r="K210" s="3" t="s">
        <v>229</v>
      </c>
      <c r="L210" s="6" t="s">
        <v>1593</v>
      </c>
      <c r="M210" s="3" t="s">
        <v>63</v>
      </c>
      <c r="N210" s="6" t="s">
        <v>1594</v>
      </c>
      <c r="O210" s="3" t="s">
        <v>63</v>
      </c>
      <c r="P210" s="3" t="s">
        <v>464</v>
      </c>
      <c r="Q210" s="3"/>
      <c r="R210" s="3" t="s">
        <v>258</v>
      </c>
      <c r="S210" s="7">
        <v>40275.0</v>
      </c>
      <c r="T210" s="3" t="s">
        <v>63</v>
      </c>
      <c r="U210" s="6" t="s">
        <v>323</v>
      </c>
      <c r="V210" s="3" t="s">
        <v>237</v>
      </c>
      <c r="W210" s="3" t="s">
        <v>102</v>
      </c>
    </row>
    <row r="211" ht="15.75" customHeight="1">
      <c r="A211" s="6" t="s">
        <v>2511</v>
      </c>
      <c r="B211" s="3" t="s">
        <v>4030</v>
      </c>
      <c r="C211" s="7">
        <v>34123.0</v>
      </c>
      <c r="D211" s="3" t="s">
        <v>63</v>
      </c>
      <c r="E211" s="3">
        <v>33.0</v>
      </c>
      <c r="F211" s="3" t="s">
        <v>183</v>
      </c>
      <c r="G211" s="6" t="s">
        <v>4033</v>
      </c>
      <c r="H211" s="3" t="s">
        <v>4035</v>
      </c>
      <c r="I211" s="3" t="s">
        <v>4037</v>
      </c>
      <c r="J211" s="3" t="s">
        <v>151</v>
      </c>
      <c r="K211" s="3" t="s">
        <v>121</v>
      </c>
      <c r="L211" s="6" t="s">
        <v>3971</v>
      </c>
      <c r="M211" s="3" t="s">
        <v>63</v>
      </c>
      <c r="N211" s="6" t="s">
        <v>3972</v>
      </c>
      <c r="O211" s="3" t="s">
        <v>63</v>
      </c>
      <c r="P211" s="3" t="s">
        <v>464</v>
      </c>
      <c r="Q211" s="8">
        <v>2374733.0</v>
      </c>
      <c r="R211" s="3" t="s">
        <v>93</v>
      </c>
      <c r="S211" s="7">
        <v>43667.0</v>
      </c>
      <c r="T211" s="3" t="s">
        <v>63</v>
      </c>
      <c r="U211" s="6" t="s">
        <v>245</v>
      </c>
      <c r="V211" s="3" t="s">
        <v>4</v>
      </c>
      <c r="W211" s="3" t="s">
        <v>102</v>
      </c>
    </row>
    <row r="212" ht="15.75" customHeight="1">
      <c r="A212" s="6" t="s">
        <v>3277</v>
      </c>
      <c r="B212" s="3" t="s">
        <v>4044</v>
      </c>
      <c r="C212" s="7">
        <v>34978.0</v>
      </c>
      <c r="D212" s="3" t="s">
        <v>63</v>
      </c>
      <c r="E212" s="3">
        <v>30.0</v>
      </c>
      <c r="F212" s="3" t="s">
        <v>70</v>
      </c>
      <c r="G212" s="6" t="s">
        <v>4046</v>
      </c>
      <c r="H212" s="3"/>
      <c r="I212" s="3" t="s">
        <v>4047</v>
      </c>
      <c r="J212" s="3" t="s">
        <v>85</v>
      </c>
      <c r="K212" s="3" t="s">
        <v>67</v>
      </c>
      <c r="L212" s="6" t="s">
        <v>4049</v>
      </c>
      <c r="M212" s="3" t="s">
        <v>63</v>
      </c>
      <c r="N212" s="6" t="s">
        <v>4051</v>
      </c>
      <c r="O212" s="3" t="s">
        <v>63</v>
      </c>
      <c r="P212" s="3" t="s">
        <v>90</v>
      </c>
      <c r="Q212" s="3"/>
      <c r="R212" s="3" t="s">
        <v>258</v>
      </c>
      <c r="S212" s="7">
        <v>41582.0</v>
      </c>
      <c r="T212" s="3" t="s">
        <v>63</v>
      </c>
      <c r="U212" s="6" t="s">
        <v>352</v>
      </c>
      <c r="V212" s="3" t="s">
        <v>4</v>
      </c>
      <c r="W212" s="3" t="s">
        <v>102</v>
      </c>
    </row>
    <row r="213" ht="15.75" customHeight="1">
      <c r="A213" s="6" t="s">
        <v>1964</v>
      </c>
      <c r="B213" s="3" t="s">
        <v>4056</v>
      </c>
      <c r="C213" s="7">
        <v>26313.0</v>
      </c>
      <c r="D213" s="3" t="s">
        <v>63</v>
      </c>
      <c r="E213" s="3">
        <v>54.0</v>
      </c>
      <c r="F213" s="3" t="s">
        <v>183</v>
      </c>
      <c r="G213" s="6" t="s">
        <v>4060</v>
      </c>
      <c r="H213" s="3" t="s">
        <v>4061</v>
      </c>
      <c r="I213" s="3" t="s">
        <v>4064</v>
      </c>
      <c r="J213" s="3" t="s">
        <v>153</v>
      </c>
      <c r="K213" s="3" t="s">
        <v>67</v>
      </c>
      <c r="L213" s="6" t="s">
        <v>4066</v>
      </c>
      <c r="M213" s="3" t="s">
        <v>63</v>
      </c>
      <c r="N213" s="6" t="s">
        <v>4068</v>
      </c>
      <c r="O213" s="3" t="s">
        <v>63</v>
      </c>
      <c r="P213" s="3" t="s">
        <v>160</v>
      </c>
      <c r="Q213" s="3"/>
      <c r="R213" s="3" t="s">
        <v>258</v>
      </c>
      <c r="S213" s="7">
        <v>42347.0</v>
      </c>
      <c r="T213" s="3" t="s">
        <v>63</v>
      </c>
      <c r="U213" s="6" t="s">
        <v>323</v>
      </c>
      <c r="V213" s="3" t="s">
        <v>4</v>
      </c>
      <c r="W213" s="3" t="s">
        <v>102</v>
      </c>
    </row>
    <row r="214" ht="15.75" customHeight="1">
      <c r="A214" s="6" t="s">
        <v>3333</v>
      </c>
      <c r="B214" s="3" t="s">
        <v>485</v>
      </c>
      <c r="C214" s="7">
        <v>36972.0</v>
      </c>
      <c r="D214" s="3" t="s">
        <v>63</v>
      </c>
      <c r="E214" s="3">
        <v>25.0</v>
      </c>
      <c r="F214" s="3" t="s">
        <v>183</v>
      </c>
      <c r="G214" s="6" t="s">
        <v>4076</v>
      </c>
      <c r="H214" s="3" t="s">
        <v>4077</v>
      </c>
      <c r="I214" s="3" t="s">
        <v>4078</v>
      </c>
      <c r="J214" s="3" t="s">
        <v>327</v>
      </c>
      <c r="K214" s="3" t="s">
        <v>169</v>
      </c>
      <c r="L214" s="6" t="s">
        <v>4082</v>
      </c>
      <c r="M214" s="3" t="s">
        <v>63</v>
      </c>
      <c r="N214" s="6" t="s">
        <v>4083</v>
      </c>
      <c r="O214" s="3" t="s">
        <v>63</v>
      </c>
      <c r="P214" s="3" t="s">
        <v>202</v>
      </c>
      <c r="Q214" s="8">
        <v>2434240.0</v>
      </c>
      <c r="R214" s="3" t="s">
        <v>93</v>
      </c>
      <c r="S214" s="7">
        <v>42712.0</v>
      </c>
      <c r="T214" s="3" t="s">
        <v>63</v>
      </c>
      <c r="U214" s="6" t="s">
        <v>301</v>
      </c>
      <c r="V214" s="3" t="s">
        <v>237</v>
      </c>
      <c r="W214" s="3" t="s">
        <v>102</v>
      </c>
    </row>
    <row r="215" ht="15.75" customHeight="1">
      <c r="A215" s="6" t="s">
        <v>2896</v>
      </c>
      <c r="B215" s="3" t="s">
        <v>4090</v>
      </c>
      <c r="C215" s="7">
        <v>29671.0</v>
      </c>
      <c r="D215" s="3" t="s">
        <v>63</v>
      </c>
      <c r="E215" s="3">
        <v>45.0</v>
      </c>
      <c r="F215" s="3" t="s">
        <v>183</v>
      </c>
      <c r="G215" s="6" t="s">
        <v>4092</v>
      </c>
      <c r="H215" s="3" t="s">
        <v>4094</v>
      </c>
      <c r="I215" s="3" t="s">
        <v>4095</v>
      </c>
      <c r="J215" s="3" t="s">
        <v>98</v>
      </c>
      <c r="K215" s="3" t="s">
        <v>101</v>
      </c>
      <c r="L215" s="6" t="s">
        <v>4102</v>
      </c>
      <c r="M215" s="3" t="s">
        <v>63</v>
      </c>
      <c r="N215" s="6" t="s">
        <v>4103</v>
      </c>
      <c r="O215" s="3" t="s">
        <v>63</v>
      </c>
      <c r="P215" s="3" t="s">
        <v>300</v>
      </c>
      <c r="Q215" s="8">
        <v>1181661.0</v>
      </c>
      <c r="R215" s="3" t="s">
        <v>93</v>
      </c>
      <c r="S215" s="7">
        <v>42614.0</v>
      </c>
      <c r="T215" s="3" t="s">
        <v>63</v>
      </c>
      <c r="U215" s="6" t="s">
        <v>277</v>
      </c>
      <c r="V215" s="3" t="s">
        <v>4</v>
      </c>
      <c r="W215" s="3" t="s">
        <v>102</v>
      </c>
    </row>
    <row r="216" ht="15.75" customHeight="1">
      <c r="A216" s="6" t="s">
        <v>1728</v>
      </c>
      <c r="B216" s="3" t="s">
        <v>4109</v>
      </c>
      <c r="C216" s="7">
        <v>34516.0</v>
      </c>
      <c r="D216" s="3" t="s">
        <v>63</v>
      </c>
      <c r="E216" s="3">
        <v>32.0</v>
      </c>
      <c r="F216" s="3" t="s">
        <v>70</v>
      </c>
      <c r="G216" s="6" t="s">
        <v>4114</v>
      </c>
      <c r="H216" s="3" t="s">
        <v>4116</v>
      </c>
      <c r="I216" s="3" t="s">
        <v>4118</v>
      </c>
      <c r="J216" s="3" t="s">
        <v>153</v>
      </c>
      <c r="K216" s="3" t="s">
        <v>67</v>
      </c>
      <c r="L216" s="6" t="s">
        <v>4119</v>
      </c>
      <c r="M216" s="3" t="s">
        <v>63</v>
      </c>
      <c r="N216" s="6" t="s">
        <v>4121</v>
      </c>
      <c r="O216" s="3" t="s">
        <v>63</v>
      </c>
      <c r="P216" s="3" t="s">
        <v>202</v>
      </c>
      <c r="Q216" s="8">
        <v>413128.0</v>
      </c>
      <c r="R216" s="3" t="s">
        <v>93</v>
      </c>
      <c r="S216" s="7">
        <v>39223.0</v>
      </c>
      <c r="T216" s="3" t="s">
        <v>63</v>
      </c>
      <c r="U216" s="6" t="s">
        <v>284</v>
      </c>
      <c r="V216" s="3" t="s">
        <v>4</v>
      </c>
      <c r="W216" s="3" t="s">
        <v>102</v>
      </c>
    </row>
    <row r="217" ht="15.75" customHeight="1">
      <c r="A217" s="6" t="s">
        <v>1144</v>
      </c>
      <c r="B217" s="3" t="s">
        <v>4128</v>
      </c>
      <c r="C217" s="7">
        <v>24208.0</v>
      </c>
      <c r="D217" s="3" t="s">
        <v>63</v>
      </c>
      <c r="E217" s="3">
        <v>60.0</v>
      </c>
      <c r="F217" s="3" t="s">
        <v>70</v>
      </c>
      <c r="G217" s="6" t="s">
        <v>4130</v>
      </c>
      <c r="H217" s="3" t="s">
        <v>4131</v>
      </c>
      <c r="I217" s="3" t="s">
        <v>4132</v>
      </c>
      <c r="J217" s="3" t="s">
        <v>227</v>
      </c>
      <c r="K217" s="3" t="s">
        <v>229</v>
      </c>
      <c r="L217" s="6" t="s">
        <v>1146</v>
      </c>
      <c r="M217" s="3" t="s">
        <v>63</v>
      </c>
      <c r="N217" s="6" t="s">
        <v>1148</v>
      </c>
      <c r="O217" s="3" t="s">
        <v>63</v>
      </c>
      <c r="P217" s="3" t="s">
        <v>300</v>
      </c>
      <c r="Q217" s="8">
        <v>1866364.0</v>
      </c>
      <c r="R217" s="3" t="s">
        <v>93</v>
      </c>
      <c r="S217" s="7">
        <v>41306.0</v>
      </c>
      <c r="T217" s="3" t="s">
        <v>63</v>
      </c>
      <c r="U217" s="6" t="s">
        <v>266</v>
      </c>
      <c r="V217" s="3" t="s">
        <v>4</v>
      </c>
      <c r="W217" s="3" t="s">
        <v>102</v>
      </c>
    </row>
    <row r="218" ht="15.75" customHeight="1">
      <c r="A218" s="6" t="s">
        <v>2760</v>
      </c>
      <c r="B218" s="3" t="s">
        <v>4143</v>
      </c>
      <c r="C218" s="7">
        <v>37787.0</v>
      </c>
      <c r="D218" s="3" t="s">
        <v>63</v>
      </c>
      <c r="E218" s="3">
        <v>23.0</v>
      </c>
      <c r="F218" s="3" t="s">
        <v>70</v>
      </c>
      <c r="G218" s="6" t="s">
        <v>4147</v>
      </c>
      <c r="H218" s="3" t="s">
        <v>4149</v>
      </c>
      <c r="I218" s="3" t="s">
        <v>4151</v>
      </c>
      <c r="J218" s="3" t="s">
        <v>153</v>
      </c>
      <c r="K218" s="3" t="s">
        <v>67</v>
      </c>
      <c r="L218" s="3"/>
      <c r="M218" s="3" t="s">
        <v>88</v>
      </c>
      <c r="N218" s="6" t="s">
        <v>2761</v>
      </c>
      <c r="O218" s="3" t="s">
        <v>63</v>
      </c>
      <c r="P218" s="3" t="s">
        <v>127</v>
      </c>
      <c r="Q218" s="3"/>
      <c r="R218" s="3" t="s">
        <v>258</v>
      </c>
      <c r="S218" s="7">
        <v>44904.0</v>
      </c>
      <c r="T218" s="3" t="s">
        <v>63</v>
      </c>
      <c r="U218" s="6" t="s">
        <v>221</v>
      </c>
      <c r="V218" s="3" t="s">
        <v>4</v>
      </c>
      <c r="W218" s="3" t="s">
        <v>102</v>
      </c>
    </row>
    <row r="219" ht="15.75" customHeight="1">
      <c r="A219" s="6" t="s">
        <v>4137</v>
      </c>
      <c r="B219" s="3" t="s">
        <v>4160</v>
      </c>
      <c r="C219" s="7">
        <v>23908.0</v>
      </c>
      <c r="D219" s="3" t="s">
        <v>63</v>
      </c>
      <c r="E219" s="3">
        <v>61.0</v>
      </c>
      <c r="F219" s="3" t="s">
        <v>183</v>
      </c>
      <c r="G219" s="6" t="s">
        <v>4165</v>
      </c>
      <c r="H219" s="3" t="s">
        <v>4167</v>
      </c>
      <c r="I219" s="3" t="s">
        <v>4168</v>
      </c>
      <c r="J219" s="3" t="s">
        <v>271</v>
      </c>
      <c r="K219" s="3" t="s">
        <v>273</v>
      </c>
      <c r="L219" s="6" t="s">
        <v>4138</v>
      </c>
      <c r="M219" s="3" t="s">
        <v>63</v>
      </c>
      <c r="N219" s="6" t="s">
        <v>4139</v>
      </c>
      <c r="O219" s="3" t="s">
        <v>63</v>
      </c>
      <c r="P219" s="3" t="s">
        <v>324</v>
      </c>
      <c r="Q219" s="3"/>
      <c r="R219" s="3" t="s">
        <v>258</v>
      </c>
      <c r="S219" s="7">
        <v>44035.0</v>
      </c>
      <c r="T219" s="3" t="s">
        <v>63</v>
      </c>
      <c r="U219" s="6" t="s">
        <v>385</v>
      </c>
      <c r="V219" s="3" t="s">
        <v>4</v>
      </c>
      <c r="W219" s="3" t="s">
        <v>102</v>
      </c>
    </row>
    <row r="220" ht="15.75" customHeight="1">
      <c r="A220" s="6" t="s">
        <v>3955</v>
      </c>
      <c r="B220" s="3" t="s">
        <v>4174</v>
      </c>
      <c r="C220" s="7">
        <v>31244.0</v>
      </c>
      <c r="D220" s="3" t="s">
        <v>63</v>
      </c>
      <c r="E220" s="3">
        <v>41.0</v>
      </c>
      <c r="F220" s="3" t="s">
        <v>183</v>
      </c>
      <c r="G220" s="6" t="s">
        <v>4178</v>
      </c>
      <c r="H220" s="3" t="s">
        <v>4179</v>
      </c>
      <c r="I220" s="3" t="s">
        <v>4180</v>
      </c>
      <c r="J220" s="3" t="s">
        <v>98</v>
      </c>
      <c r="K220" s="3" t="s">
        <v>101</v>
      </c>
      <c r="L220" s="6" t="s">
        <v>3956</v>
      </c>
      <c r="M220" s="3" t="s">
        <v>63</v>
      </c>
      <c r="N220" s="6" t="s">
        <v>3957</v>
      </c>
      <c r="O220" s="3" t="s">
        <v>63</v>
      </c>
      <c r="P220" s="3" t="s">
        <v>127</v>
      </c>
      <c r="Q220" s="8">
        <v>265716.0</v>
      </c>
      <c r="R220" s="3" t="s">
        <v>93</v>
      </c>
      <c r="S220" s="7">
        <v>41822.0</v>
      </c>
      <c r="T220" s="3" t="s">
        <v>63</v>
      </c>
      <c r="U220" s="6" t="s">
        <v>221</v>
      </c>
      <c r="V220" s="3" t="s">
        <v>4</v>
      </c>
      <c r="W220" s="3" t="s">
        <v>102</v>
      </c>
    </row>
    <row r="221" ht="15.75" customHeight="1">
      <c r="A221" s="6" t="s">
        <v>3341</v>
      </c>
      <c r="B221" s="3" t="s">
        <v>4189</v>
      </c>
      <c r="C221" s="7">
        <v>22640.0</v>
      </c>
      <c r="D221" s="3" t="s">
        <v>63</v>
      </c>
      <c r="E221" s="3">
        <v>64.0</v>
      </c>
      <c r="F221" s="3" t="s">
        <v>183</v>
      </c>
      <c r="G221" s="6" t="s">
        <v>4191</v>
      </c>
      <c r="H221" s="3" t="s">
        <v>4192</v>
      </c>
      <c r="I221" s="3" t="s">
        <v>4193</v>
      </c>
      <c r="J221" s="3" t="s">
        <v>213</v>
      </c>
      <c r="K221" s="3" t="s">
        <v>67</v>
      </c>
      <c r="L221" s="6" t="s">
        <v>3343</v>
      </c>
      <c r="M221" s="3" t="s">
        <v>63</v>
      </c>
      <c r="N221" s="6" t="s">
        <v>3345</v>
      </c>
      <c r="O221" s="3" t="s">
        <v>63</v>
      </c>
      <c r="P221" s="3" t="s">
        <v>160</v>
      </c>
      <c r="Q221" s="3"/>
      <c r="R221" s="3" t="s">
        <v>258</v>
      </c>
      <c r="S221" s="7">
        <v>39227.0</v>
      </c>
      <c r="T221" s="3" t="s">
        <v>63</v>
      </c>
      <c r="U221" s="6" t="s">
        <v>208</v>
      </c>
      <c r="V221" s="3" t="s">
        <v>237</v>
      </c>
      <c r="W221" s="3" t="s">
        <v>102</v>
      </c>
    </row>
    <row r="222" ht="15.75" customHeight="1">
      <c r="A222" s="6" t="s">
        <v>1849</v>
      </c>
      <c r="B222" s="3" t="s">
        <v>4202</v>
      </c>
      <c r="C222" s="7">
        <v>22690.0</v>
      </c>
      <c r="D222" s="3" t="s">
        <v>63</v>
      </c>
      <c r="E222" s="3">
        <v>64.0</v>
      </c>
      <c r="F222" s="3" t="s">
        <v>70</v>
      </c>
      <c r="G222" s="6" t="s">
        <v>4205</v>
      </c>
      <c r="H222" s="3" t="s">
        <v>4206</v>
      </c>
      <c r="I222" s="3" t="s">
        <v>4208</v>
      </c>
      <c r="J222" s="3" t="s">
        <v>201</v>
      </c>
      <c r="K222" s="3" t="s">
        <v>203</v>
      </c>
      <c r="L222" s="6" t="s">
        <v>1852</v>
      </c>
      <c r="M222" s="3" t="s">
        <v>63</v>
      </c>
      <c r="N222" s="6" t="s">
        <v>1854</v>
      </c>
      <c r="O222" s="3" t="s">
        <v>620</v>
      </c>
      <c r="P222" s="3" t="s">
        <v>372</v>
      </c>
      <c r="Q222" s="3"/>
      <c r="R222" s="3" t="s">
        <v>258</v>
      </c>
      <c r="S222" s="7">
        <v>42283.0</v>
      </c>
      <c r="T222" s="3" t="s">
        <v>63</v>
      </c>
      <c r="U222" s="6" t="s">
        <v>109</v>
      </c>
      <c r="V222" s="3" t="s">
        <v>237</v>
      </c>
      <c r="W222" s="3" t="s">
        <v>102</v>
      </c>
    </row>
    <row r="223" ht="15.75" customHeight="1">
      <c r="A223" s="6" t="s">
        <v>3377</v>
      </c>
      <c r="B223" s="3" t="s">
        <v>4217</v>
      </c>
      <c r="C223" s="7">
        <v>24217.0</v>
      </c>
      <c r="D223" s="3" t="s">
        <v>63</v>
      </c>
      <c r="E223" s="3">
        <v>60.0</v>
      </c>
      <c r="F223" s="3" t="s">
        <v>70</v>
      </c>
      <c r="G223" s="6" t="s">
        <v>4219</v>
      </c>
      <c r="H223" s="3" t="s">
        <v>4220</v>
      </c>
      <c r="I223" s="3" t="s">
        <v>4221</v>
      </c>
      <c r="J223" s="3" t="s">
        <v>201</v>
      </c>
      <c r="K223" s="3" t="s">
        <v>203</v>
      </c>
      <c r="L223" s="6" t="s">
        <v>4225</v>
      </c>
      <c r="M223" s="3" t="s">
        <v>63</v>
      </c>
      <c r="N223" s="6" t="s">
        <v>4228</v>
      </c>
      <c r="O223" s="3" t="s">
        <v>63</v>
      </c>
      <c r="P223" s="3" t="s">
        <v>160</v>
      </c>
      <c r="Q223" s="3"/>
      <c r="R223" s="3" t="s">
        <v>258</v>
      </c>
      <c r="S223" s="7">
        <v>43614.0</v>
      </c>
      <c r="T223" s="3" t="s">
        <v>63</v>
      </c>
      <c r="U223" s="6" t="s">
        <v>60</v>
      </c>
      <c r="V223" s="3" t="s">
        <v>4</v>
      </c>
      <c r="W223" s="3" t="s">
        <v>102</v>
      </c>
    </row>
    <row r="224" ht="15.75" customHeight="1">
      <c r="A224" s="6" t="s">
        <v>3728</v>
      </c>
      <c r="B224" s="3" t="s">
        <v>4235</v>
      </c>
      <c r="C224" s="7">
        <v>33575.0</v>
      </c>
      <c r="D224" s="3" t="s">
        <v>63</v>
      </c>
      <c r="E224" s="3">
        <v>34.0</v>
      </c>
      <c r="F224" s="3" t="s">
        <v>183</v>
      </c>
      <c r="G224" s="6" t="s">
        <v>4238</v>
      </c>
      <c r="H224" s="3" t="s">
        <v>4239</v>
      </c>
      <c r="I224" s="3" t="s">
        <v>4240</v>
      </c>
      <c r="J224" s="3" t="s">
        <v>167</v>
      </c>
      <c r="K224" s="3" t="s">
        <v>169</v>
      </c>
      <c r="L224" s="6" t="s">
        <v>3729</v>
      </c>
      <c r="M224" s="3" t="s">
        <v>63</v>
      </c>
      <c r="N224" s="6" t="s">
        <v>3731</v>
      </c>
      <c r="O224" s="3" t="s">
        <v>63</v>
      </c>
      <c r="P224" s="3" t="s">
        <v>202</v>
      </c>
      <c r="Q224" s="3"/>
      <c r="R224" s="3" t="s">
        <v>258</v>
      </c>
      <c r="S224" s="7">
        <v>42366.0</v>
      </c>
      <c r="T224" s="3" t="s">
        <v>63</v>
      </c>
      <c r="U224" s="6" t="s">
        <v>179</v>
      </c>
      <c r="V224" s="3" t="s">
        <v>4</v>
      </c>
      <c r="W224" s="3" t="s">
        <v>102</v>
      </c>
    </row>
    <row r="225" ht="15.75" customHeight="1">
      <c r="A225" s="6" t="s">
        <v>1221</v>
      </c>
      <c r="B225" s="3" t="s">
        <v>4250</v>
      </c>
      <c r="C225" s="7">
        <v>22743.0</v>
      </c>
      <c r="D225" s="3" t="s">
        <v>63</v>
      </c>
      <c r="E225" s="3">
        <v>64.0</v>
      </c>
      <c r="F225" s="3" t="s">
        <v>70</v>
      </c>
      <c r="G225" s="6" t="s">
        <v>4251</v>
      </c>
      <c r="H225" s="3" t="s">
        <v>4252</v>
      </c>
      <c r="I225" s="3" t="s">
        <v>4253</v>
      </c>
      <c r="J225" s="3" t="s">
        <v>250</v>
      </c>
      <c r="K225" s="3" t="s">
        <v>252</v>
      </c>
      <c r="L225" s="6" t="s">
        <v>4255</v>
      </c>
      <c r="M225" s="3" t="s">
        <v>63</v>
      </c>
      <c r="N225" s="6" t="s">
        <v>4259</v>
      </c>
      <c r="O225" s="3" t="s">
        <v>63</v>
      </c>
      <c r="P225" s="3" t="s">
        <v>127</v>
      </c>
      <c r="Q225" s="8">
        <v>432461.0</v>
      </c>
      <c r="R225" s="3" t="s">
        <v>93</v>
      </c>
      <c r="S225" s="7">
        <v>45211.0</v>
      </c>
      <c r="T225" s="3" t="s">
        <v>63</v>
      </c>
      <c r="U225" s="6" t="s">
        <v>284</v>
      </c>
      <c r="V225" s="3" t="s">
        <v>4</v>
      </c>
      <c r="W225" s="3" t="s">
        <v>102</v>
      </c>
    </row>
    <row r="226" ht="15.75" customHeight="1">
      <c r="A226" s="6" t="s">
        <v>2757</v>
      </c>
      <c r="B226" s="3" t="s">
        <v>4265</v>
      </c>
      <c r="C226" s="7">
        <v>21952.0</v>
      </c>
      <c r="D226" s="3" t="s">
        <v>63</v>
      </c>
      <c r="E226" s="3">
        <v>66.0</v>
      </c>
      <c r="F226" s="3" t="s">
        <v>70</v>
      </c>
      <c r="G226" s="6" t="s">
        <v>4268</v>
      </c>
      <c r="H226" s="3" t="s">
        <v>4270</v>
      </c>
      <c r="I226" s="3" t="s">
        <v>4272</v>
      </c>
      <c r="J226" s="3" t="s">
        <v>190</v>
      </c>
      <c r="K226" s="3" t="s">
        <v>193</v>
      </c>
      <c r="L226" s="6" t="s">
        <v>4275</v>
      </c>
      <c r="M226" s="3" t="s">
        <v>63</v>
      </c>
      <c r="N226" s="6" t="s">
        <v>4276</v>
      </c>
      <c r="O226" s="3" t="s">
        <v>63</v>
      </c>
      <c r="P226" s="3" t="s">
        <v>127</v>
      </c>
      <c r="Q226" s="3"/>
      <c r="R226" s="3" t="s">
        <v>258</v>
      </c>
      <c r="S226" s="7">
        <v>42344.0</v>
      </c>
      <c r="T226" s="3" t="s">
        <v>63</v>
      </c>
      <c r="U226" s="6" t="s">
        <v>136</v>
      </c>
      <c r="V226" s="3" t="s">
        <v>237</v>
      </c>
      <c r="W226" s="3" t="s">
        <v>102</v>
      </c>
    </row>
    <row r="227" ht="15.75" customHeight="1">
      <c r="A227" s="6" t="s">
        <v>3567</v>
      </c>
      <c r="B227" s="3" t="s">
        <v>4283</v>
      </c>
      <c r="C227" s="7">
        <v>23499.0</v>
      </c>
      <c r="D227" s="3" t="s">
        <v>63</v>
      </c>
      <c r="E227" s="3">
        <v>62.0</v>
      </c>
      <c r="F227" s="3" t="s">
        <v>70</v>
      </c>
      <c r="G227" s="6" t="s">
        <v>4289</v>
      </c>
      <c r="H227" s="3" t="s">
        <v>4290</v>
      </c>
      <c r="I227" s="3" t="s">
        <v>4291</v>
      </c>
      <c r="J227" s="3" t="s">
        <v>305</v>
      </c>
      <c r="K227" s="3" t="s">
        <v>193</v>
      </c>
      <c r="L227" s="6" t="s">
        <v>3568</v>
      </c>
      <c r="M227" s="3" t="s">
        <v>63</v>
      </c>
      <c r="N227" s="6" t="s">
        <v>3569</v>
      </c>
      <c r="O227" s="3" t="s">
        <v>63</v>
      </c>
      <c r="P227" s="3" t="s">
        <v>324</v>
      </c>
      <c r="Q227" s="8">
        <v>2205557.0</v>
      </c>
      <c r="R227" s="3" t="s">
        <v>93</v>
      </c>
      <c r="S227" s="7">
        <v>40442.0</v>
      </c>
      <c r="T227" s="3" t="s">
        <v>63</v>
      </c>
      <c r="U227" s="6" t="s">
        <v>129</v>
      </c>
      <c r="V227" s="3" t="s">
        <v>4</v>
      </c>
      <c r="W227" s="3" t="s">
        <v>102</v>
      </c>
    </row>
    <row r="228" ht="15.75" customHeight="1">
      <c r="A228" s="6" t="s">
        <v>1119</v>
      </c>
      <c r="B228" s="3" t="s">
        <v>4298</v>
      </c>
      <c r="C228" s="7">
        <v>28161.0</v>
      </c>
      <c r="D228" s="3" t="s">
        <v>63</v>
      </c>
      <c r="E228" s="3">
        <v>49.0</v>
      </c>
      <c r="F228" s="3" t="s">
        <v>70</v>
      </c>
      <c r="G228" s="6" t="s">
        <v>4300</v>
      </c>
      <c r="H228" s="3" t="s">
        <v>4301</v>
      </c>
      <c r="I228" s="3" t="s">
        <v>4303</v>
      </c>
      <c r="J228" s="3" t="s">
        <v>98</v>
      </c>
      <c r="K228" s="3" t="s">
        <v>101</v>
      </c>
      <c r="L228" s="6" t="s">
        <v>4305</v>
      </c>
      <c r="M228" s="3" t="s">
        <v>63</v>
      </c>
      <c r="N228" s="6" t="s">
        <v>4308</v>
      </c>
      <c r="O228" s="3" t="s">
        <v>63</v>
      </c>
      <c r="P228" s="3" t="s">
        <v>324</v>
      </c>
      <c r="Q228" s="8">
        <v>2261495.0</v>
      </c>
      <c r="R228" s="3" t="s">
        <v>93</v>
      </c>
      <c r="S228" s="7">
        <v>40225.0</v>
      </c>
      <c r="T228" s="3" t="s">
        <v>63</v>
      </c>
      <c r="U228" s="6" t="s">
        <v>109</v>
      </c>
      <c r="V228" s="3" t="s">
        <v>237</v>
      </c>
      <c r="W228" s="3" t="s">
        <v>102</v>
      </c>
    </row>
    <row r="229" ht="15.75" customHeight="1">
      <c r="A229" s="6" t="s">
        <v>4316</v>
      </c>
      <c r="B229" s="3" t="s">
        <v>4318</v>
      </c>
      <c r="C229" s="7">
        <v>27877.0</v>
      </c>
      <c r="D229" s="3" t="s">
        <v>63</v>
      </c>
      <c r="E229" s="3">
        <v>50.0</v>
      </c>
      <c r="F229" s="3" t="s">
        <v>183</v>
      </c>
      <c r="G229" s="6" t="s">
        <v>4320</v>
      </c>
      <c r="H229" s="3" t="s">
        <v>4322</v>
      </c>
      <c r="I229" s="3" t="s">
        <v>4325</v>
      </c>
      <c r="J229" s="3" t="s">
        <v>225</v>
      </c>
      <c r="K229" s="3" t="s">
        <v>101</v>
      </c>
      <c r="L229" s="6" t="s">
        <v>4329</v>
      </c>
      <c r="M229" s="3" t="s">
        <v>63</v>
      </c>
      <c r="N229" s="6" t="s">
        <v>4330</v>
      </c>
      <c r="O229" s="3" t="s">
        <v>63</v>
      </c>
      <c r="P229" s="3" t="s">
        <v>396</v>
      </c>
      <c r="Q229" s="3"/>
      <c r="R229" s="3" t="s">
        <v>258</v>
      </c>
      <c r="S229" s="7">
        <v>42411.0</v>
      </c>
      <c r="T229" s="3" t="s">
        <v>63</v>
      </c>
      <c r="U229" s="6" t="s">
        <v>136</v>
      </c>
      <c r="V229" s="3" t="s">
        <v>237</v>
      </c>
      <c r="W229" s="3" t="s">
        <v>102</v>
      </c>
    </row>
    <row r="230" ht="15.75" customHeight="1">
      <c r="A230" s="6" t="s">
        <v>4336</v>
      </c>
      <c r="B230" s="3" t="s">
        <v>4337</v>
      </c>
      <c r="C230" s="7">
        <v>37359.0</v>
      </c>
      <c r="D230" s="3" t="s">
        <v>63</v>
      </c>
      <c r="E230" s="3">
        <v>24.0</v>
      </c>
      <c r="F230" s="3" t="s">
        <v>70</v>
      </c>
      <c r="G230" s="6" t="s">
        <v>4345</v>
      </c>
      <c r="H230" s="3" t="s">
        <v>4346</v>
      </c>
      <c r="I230" s="3" t="s">
        <v>4347</v>
      </c>
      <c r="J230" s="3" t="s">
        <v>184</v>
      </c>
      <c r="K230" s="3" t="s">
        <v>187</v>
      </c>
      <c r="L230" s="6" t="s">
        <v>4349</v>
      </c>
      <c r="M230" s="3" t="s">
        <v>63</v>
      </c>
      <c r="N230" s="3"/>
      <c r="O230" s="3" t="s">
        <v>88</v>
      </c>
      <c r="P230" s="3" t="s">
        <v>464</v>
      </c>
      <c r="Q230" s="3"/>
      <c r="R230" s="3" t="s">
        <v>258</v>
      </c>
      <c r="S230" s="7">
        <v>39034.0</v>
      </c>
      <c r="T230" s="3" t="s">
        <v>63</v>
      </c>
      <c r="U230" s="6" t="s">
        <v>109</v>
      </c>
      <c r="V230" s="3" t="s">
        <v>237</v>
      </c>
      <c r="W230" s="3" t="s">
        <v>102</v>
      </c>
    </row>
    <row r="231" ht="15.75" customHeight="1">
      <c r="A231" s="6" t="s">
        <v>3150</v>
      </c>
      <c r="B231" s="3" t="s">
        <v>4357</v>
      </c>
      <c r="C231" s="7">
        <v>20369.0</v>
      </c>
      <c r="D231" s="3" t="s">
        <v>63</v>
      </c>
      <c r="E231" s="3">
        <v>70.0</v>
      </c>
      <c r="F231" s="3" t="s">
        <v>183</v>
      </c>
      <c r="G231" s="6" t="s">
        <v>4361</v>
      </c>
      <c r="H231" s="3" t="s">
        <v>4362</v>
      </c>
      <c r="I231" s="3" t="s">
        <v>4363</v>
      </c>
      <c r="J231" s="3" t="s">
        <v>114</v>
      </c>
      <c r="K231" s="3" t="s">
        <v>118</v>
      </c>
      <c r="L231" s="3"/>
      <c r="M231" s="3" t="s">
        <v>88</v>
      </c>
      <c r="N231" s="6" t="s">
        <v>3152</v>
      </c>
      <c r="O231" s="3" t="s">
        <v>63</v>
      </c>
      <c r="P231" s="3" t="s">
        <v>324</v>
      </c>
      <c r="Q231" s="3"/>
      <c r="R231" s="3" t="s">
        <v>258</v>
      </c>
      <c r="S231" s="7">
        <v>42363.0</v>
      </c>
      <c r="T231" s="3" t="s">
        <v>63</v>
      </c>
      <c r="U231" s="6" t="s">
        <v>262</v>
      </c>
      <c r="V231" s="3" t="s">
        <v>4</v>
      </c>
      <c r="W231" s="3" t="s">
        <v>102</v>
      </c>
    </row>
    <row r="232" ht="15.75" customHeight="1">
      <c r="A232" s="6" t="s">
        <v>1129</v>
      </c>
      <c r="B232" s="3" t="s">
        <v>4377</v>
      </c>
      <c r="C232" s="7">
        <v>27395.0</v>
      </c>
      <c r="D232" s="3" t="s">
        <v>63</v>
      </c>
      <c r="E232" s="3">
        <v>51.0</v>
      </c>
      <c r="F232" s="3" t="s">
        <v>183</v>
      </c>
      <c r="G232" s="6" t="s">
        <v>4381</v>
      </c>
      <c r="H232" s="3"/>
      <c r="I232" s="3" t="s">
        <v>4384</v>
      </c>
      <c r="J232" s="3" t="s">
        <v>190</v>
      </c>
      <c r="K232" s="3" t="s">
        <v>193</v>
      </c>
      <c r="L232" s="6" t="s">
        <v>3542</v>
      </c>
      <c r="M232" s="3" t="s">
        <v>63</v>
      </c>
      <c r="N232" s="6" t="s">
        <v>3543</v>
      </c>
      <c r="O232" s="3" t="s">
        <v>63</v>
      </c>
      <c r="P232" s="3" t="s">
        <v>160</v>
      </c>
      <c r="Q232" s="8">
        <v>1247944.0</v>
      </c>
      <c r="R232" s="3" t="s">
        <v>93</v>
      </c>
      <c r="S232" s="7">
        <v>43126.0</v>
      </c>
      <c r="T232" s="3" t="s">
        <v>63</v>
      </c>
      <c r="U232" s="6" t="s">
        <v>333</v>
      </c>
      <c r="V232" s="3" t="s">
        <v>237</v>
      </c>
      <c r="W232" s="3" t="s">
        <v>102</v>
      </c>
    </row>
    <row r="233" ht="15.75" customHeight="1">
      <c r="A233" s="6" t="s">
        <v>4269</v>
      </c>
      <c r="B233" s="3" t="s">
        <v>4394</v>
      </c>
      <c r="C233" s="7">
        <v>38045.0</v>
      </c>
      <c r="D233" s="3" t="s">
        <v>63</v>
      </c>
      <c r="E233" s="3">
        <v>22.0</v>
      </c>
      <c r="F233" s="3" t="s">
        <v>183</v>
      </c>
      <c r="G233" s="6" t="s">
        <v>4396</v>
      </c>
      <c r="H233" s="3" t="s">
        <v>4397</v>
      </c>
      <c r="I233" s="3" t="s">
        <v>4398</v>
      </c>
      <c r="J233" s="3" t="s">
        <v>167</v>
      </c>
      <c r="K233" s="3" t="s">
        <v>169</v>
      </c>
      <c r="L233" s="6" t="s">
        <v>4271</v>
      </c>
      <c r="M233" s="3" t="s">
        <v>63</v>
      </c>
      <c r="N233" s="6" t="s">
        <v>4274</v>
      </c>
      <c r="O233" s="3" t="s">
        <v>63</v>
      </c>
      <c r="P233" s="3" t="s">
        <v>160</v>
      </c>
      <c r="Q233" s="8">
        <v>2455859.0</v>
      </c>
      <c r="R233" s="3" t="s">
        <v>93</v>
      </c>
      <c r="S233" s="7">
        <v>40708.0</v>
      </c>
      <c r="T233" s="3" t="s">
        <v>63</v>
      </c>
      <c r="U233" s="6" t="s">
        <v>352</v>
      </c>
      <c r="V233" s="3" t="s">
        <v>4</v>
      </c>
      <c r="W233" s="3" t="s">
        <v>378</v>
      </c>
    </row>
    <row r="234" ht="15.75" customHeight="1">
      <c r="A234" s="6" t="s">
        <v>3486</v>
      </c>
      <c r="B234" s="3" t="s">
        <v>4406</v>
      </c>
      <c r="C234" s="7">
        <v>37021.0</v>
      </c>
      <c r="D234" s="3" t="s">
        <v>63</v>
      </c>
      <c r="E234" s="3">
        <v>25.0</v>
      </c>
      <c r="F234" s="3" t="s">
        <v>183</v>
      </c>
      <c r="G234" s="6" t="s">
        <v>4409</v>
      </c>
      <c r="H234" s="3" t="s">
        <v>4410</v>
      </c>
      <c r="I234" s="3" t="s">
        <v>4412</v>
      </c>
      <c r="J234" s="3" t="s">
        <v>98</v>
      </c>
      <c r="K234" s="3" t="s">
        <v>101</v>
      </c>
      <c r="L234" s="6" t="s">
        <v>4414</v>
      </c>
      <c r="M234" s="3" t="s">
        <v>63</v>
      </c>
      <c r="N234" s="6" t="s">
        <v>4416</v>
      </c>
      <c r="O234" s="3" t="s">
        <v>63</v>
      </c>
      <c r="P234" s="3" t="s">
        <v>464</v>
      </c>
      <c r="Q234" s="8">
        <v>820568.0</v>
      </c>
      <c r="R234" s="3" t="s">
        <v>93</v>
      </c>
      <c r="S234" s="7">
        <v>42640.0</v>
      </c>
      <c r="T234" s="3" t="s">
        <v>63</v>
      </c>
      <c r="U234" s="6" t="s">
        <v>80</v>
      </c>
      <c r="V234" s="3" t="s">
        <v>237</v>
      </c>
      <c r="W234" s="3" t="s">
        <v>102</v>
      </c>
    </row>
    <row r="235" ht="15.75" customHeight="1">
      <c r="A235" s="6" t="s">
        <v>689</v>
      </c>
      <c r="B235" s="3" t="s">
        <v>4424</v>
      </c>
      <c r="C235" s="7">
        <v>23170.0</v>
      </c>
      <c r="D235" s="3" t="s">
        <v>63</v>
      </c>
      <c r="E235" s="3">
        <v>63.0</v>
      </c>
      <c r="F235" s="3" t="s">
        <v>70</v>
      </c>
      <c r="G235" s="6" t="s">
        <v>4425</v>
      </c>
      <c r="H235" s="3"/>
      <c r="I235" s="3" t="s">
        <v>4428</v>
      </c>
      <c r="J235" s="3" t="s">
        <v>213</v>
      </c>
      <c r="K235" s="3" t="s">
        <v>67</v>
      </c>
      <c r="L235" s="6" t="s">
        <v>4429</v>
      </c>
      <c r="M235" s="3" t="s">
        <v>63</v>
      </c>
      <c r="N235" s="6" t="s">
        <v>4432</v>
      </c>
      <c r="O235" s="3" t="s">
        <v>63</v>
      </c>
      <c r="P235" s="3" t="s">
        <v>127</v>
      </c>
      <c r="Q235" s="3"/>
      <c r="R235" s="3" t="s">
        <v>258</v>
      </c>
      <c r="S235" s="7">
        <v>44287.0</v>
      </c>
      <c r="T235" s="3" t="s">
        <v>63</v>
      </c>
      <c r="U235" s="6" t="s">
        <v>352</v>
      </c>
      <c r="V235" s="3" t="s">
        <v>4</v>
      </c>
      <c r="W235" s="3" t="s">
        <v>102</v>
      </c>
    </row>
    <row r="236" ht="15.75" customHeight="1">
      <c r="A236" s="6" t="s">
        <v>4439</v>
      </c>
      <c r="B236" s="3" t="s">
        <v>4441</v>
      </c>
      <c r="C236" s="7">
        <v>27248.0</v>
      </c>
      <c r="D236" s="3" t="s">
        <v>63</v>
      </c>
      <c r="E236" s="3">
        <v>52.0</v>
      </c>
      <c r="F236" s="3" t="s">
        <v>70</v>
      </c>
      <c r="G236" s="6" t="s">
        <v>1049</v>
      </c>
      <c r="H236" s="3" t="s">
        <v>4444</v>
      </c>
      <c r="I236" s="3" t="s">
        <v>4445</v>
      </c>
      <c r="J236" s="3" t="s">
        <v>190</v>
      </c>
      <c r="K236" s="3" t="s">
        <v>193</v>
      </c>
      <c r="L236" s="6" t="s">
        <v>4448</v>
      </c>
      <c r="M236" s="3" t="s">
        <v>63</v>
      </c>
      <c r="N236" s="6" t="s">
        <v>4451</v>
      </c>
      <c r="O236" s="3" t="s">
        <v>63</v>
      </c>
      <c r="P236" s="3" t="s">
        <v>202</v>
      </c>
      <c r="Q236" s="3"/>
      <c r="R236" s="3" t="s">
        <v>258</v>
      </c>
      <c r="S236" s="7">
        <v>40589.0</v>
      </c>
      <c r="T236" s="3" t="s">
        <v>63</v>
      </c>
      <c r="U236" s="6" t="s">
        <v>277</v>
      </c>
      <c r="V236" s="3" t="s">
        <v>237</v>
      </c>
      <c r="W236" s="3" t="s">
        <v>102</v>
      </c>
    </row>
    <row r="237" ht="15.75" customHeight="1">
      <c r="A237" s="6" t="s">
        <v>1320</v>
      </c>
      <c r="B237" s="3" t="s">
        <v>4458</v>
      </c>
      <c r="C237" s="7">
        <v>38114.0</v>
      </c>
      <c r="D237" s="3" t="s">
        <v>63</v>
      </c>
      <c r="E237" s="3">
        <v>22.0</v>
      </c>
      <c r="F237" s="3" t="s">
        <v>183</v>
      </c>
      <c r="G237" s="6" t="s">
        <v>4460</v>
      </c>
      <c r="H237" s="3" t="s">
        <v>4462</v>
      </c>
      <c r="I237" s="3" t="s">
        <v>1004</v>
      </c>
      <c r="J237" s="3" t="s">
        <v>282</v>
      </c>
      <c r="K237" s="3" t="s">
        <v>229</v>
      </c>
      <c r="L237" s="3"/>
      <c r="M237" s="3" t="s">
        <v>88</v>
      </c>
      <c r="N237" s="6" t="s">
        <v>1324</v>
      </c>
      <c r="O237" s="3" t="s">
        <v>63</v>
      </c>
      <c r="P237" s="3" t="s">
        <v>372</v>
      </c>
      <c r="Q237" s="3"/>
      <c r="R237" s="3" t="s">
        <v>258</v>
      </c>
      <c r="S237" s="7">
        <v>44408.0</v>
      </c>
      <c r="T237" s="3" t="s">
        <v>63</v>
      </c>
      <c r="U237" s="6" t="s">
        <v>288</v>
      </c>
      <c r="V237" s="3" t="s">
        <v>4</v>
      </c>
      <c r="W237" s="3" t="s">
        <v>102</v>
      </c>
    </row>
    <row r="238" ht="15.75" customHeight="1">
      <c r="A238" s="6" t="s">
        <v>3209</v>
      </c>
      <c r="B238" s="3" t="s">
        <v>4469</v>
      </c>
      <c r="C238" s="7">
        <v>21654.0</v>
      </c>
      <c r="D238" s="3" t="s">
        <v>63</v>
      </c>
      <c r="E238" s="3">
        <v>67.0</v>
      </c>
      <c r="F238" s="3" t="s">
        <v>70</v>
      </c>
      <c r="G238" s="6" t="s">
        <v>4471</v>
      </c>
      <c r="H238" s="3" t="s">
        <v>4472</v>
      </c>
      <c r="I238" s="3" t="s">
        <v>4473</v>
      </c>
      <c r="J238" s="3" t="s">
        <v>201</v>
      </c>
      <c r="K238" s="3" t="s">
        <v>203</v>
      </c>
      <c r="L238" s="6" t="s">
        <v>3210</v>
      </c>
      <c r="M238" s="3" t="s">
        <v>63</v>
      </c>
      <c r="N238" s="6" t="s">
        <v>3211</v>
      </c>
      <c r="O238" s="3" t="s">
        <v>63</v>
      </c>
      <c r="P238" s="3" t="s">
        <v>90</v>
      </c>
      <c r="Q238" s="3"/>
      <c r="R238" s="3" t="s">
        <v>258</v>
      </c>
      <c r="S238" s="7">
        <v>38904.0</v>
      </c>
      <c r="T238" s="3" t="s">
        <v>63</v>
      </c>
      <c r="U238" s="6" t="s">
        <v>245</v>
      </c>
      <c r="V238" s="3" t="s">
        <v>4</v>
      </c>
      <c r="W238" s="3" t="s">
        <v>102</v>
      </c>
    </row>
    <row r="239" ht="15.75" customHeight="1">
      <c r="A239" s="6" t="s">
        <v>2087</v>
      </c>
      <c r="B239" s="3" t="s">
        <v>4482</v>
      </c>
      <c r="C239" s="7">
        <v>36574.0</v>
      </c>
      <c r="D239" s="3" t="s">
        <v>63</v>
      </c>
      <c r="E239" s="3">
        <v>26.0</v>
      </c>
      <c r="F239" s="3" t="s">
        <v>70</v>
      </c>
      <c r="G239" s="6" t="s">
        <v>4484</v>
      </c>
      <c r="H239" s="3" t="s">
        <v>4485</v>
      </c>
      <c r="I239" s="3" t="s">
        <v>4486</v>
      </c>
      <c r="J239" s="3" t="s">
        <v>358</v>
      </c>
      <c r="K239" s="3" t="s">
        <v>360</v>
      </c>
      <c r="L239" s="6" t="s">
        <v>4489</v>
      </c>
      <c r="M239" s="3" t="s">
        <v>63</v>
      </c>
      <c r="N239" s="6" t="s">
        <v>4491</v>
      </c>
      <c r="O239" s="3" t="s">
        <v>63</v>
      </c>
      <c r="P239" s="3" t="s">
        <v>90</v>
      </c>
      <c r="Q239" s="8">
        <v>1255431.0</v>
      </c>
      <c r="R239" s="3" t="s">
        <v>93</v>
      </c>
      <c r="S239" s="7">
        <v>43514.0</v>
      </c>
      <c r="T239" s="3" t="s">
        <v>63</v>
      </c>
      <c r="U239" s="6" t="s">
        <v>208</v>
      </c>
      <c r="V239" s="3" t="s">
        <v>237</v>
      </c>
      <c r="W239" s="3" t="s">
        <v>102</v>
      </c>
    </row>
    <row r="240" ht="15.75" customHeight="1">
      <c r="A240" s="6" t="s">
        <v>1700</v>
      </c>
      <c r="B240" s="3" t="s">
        <v>2058</v>
      </c>
      <c r="C240" s="7">
        <v>24956.0</v>
      </c>
      <c r="D240" s="3" t="s">
        <v>63</v>
      </c>
      <c r="E240" s="3">
        <v>58.0</v>
      </c>
      <c r="F240" s="3" t="s">
        <v>183</v>
      </c>
      <c r="G240" s="6" t="s">
        <v>1049</v>
      </c>
      <c r="H240" s="3" t="s">
        <v>2062</v>
      </c>
      <c r="I240" s="3" t="s">
        <v>2063</v>
      </c>
      <c r="J240" s="3" t="s">
        <v>271</v>
      </c>
      <c r="K240" s="3" t="s">
        <v>273</v>
      </c>
      <c r="L240" s="6" t="s">
        <v>1740</v>
      </c>
      <c r="M240" s="3" t="s">
        <v>63</v>
      </c>
      <c r="N240" s="6" t="s">
        <v>1743</v>
      </c>
      <c r="O240" s="3" t="s">
        <v>63</v>
      </c>
      <c r="P240" s="3" t="s">
        <v>127</v>
      </c>
      <c r="Q240" s="8">
        <v>756076.0</v>
      </c>
      <c r="R240" s="3" t="s">
        <v>93</v>
      </c>
      <c r="S240" s="7">
        <v>39852.0</v>
      </c>
      <c r="T240" s="3" t="s">
        <v>63</v>
      </c>
      <c r="U240" s="6" t="s">
        <v>208</v>
      </c>
      <c r="V240" s="3" t="s">
        <v>4</v>
      </c>
      <c r="W240" s="3" t="s">
        <v>378</v>
      </c>
    </row>
    <row r="241" ht="15.75" customHeight="1">
      <c r="A241" s="6" t="s">
        <v>4508</v>
      </c>
      <c r="B241" s="3" t="s">
        <v>4509</v>
      </c>
      <c r="C241" s="7">
        <v>35829.0</v>
      </c>
      <c r="D241" s="3" t="s">
        <v>63</v>
      </c>
      <c r="E241" s="3">
        <v>28.0</v>
      </c>
      <c r="F241" s="3" t="s">
        <v>70</v>
      </c>
      <c r="G241" s="6" t="s">
        <v>4512</v>
      </c>
      <c r="H241" s="3" t="s">
        <v>4514</v>
      </c>
      <c r="I241" s="3" t="s">
        <v>4516</v>
      </c>
      <c r="J241" s="3" t="s">
        <v>151</v>
      </c>
      <c r="K241" s="3" t="s">
        <v>121</v>
      </c>
      <c r="L241" s="3"/>
      <c r="M241" s="3" t="s">
        <v>88</v>
      </c>
      <c r="N241" s="6" t="s">
        <v>4521</v>
      </c>
      <c r="O241" s="3" t="s">
        <v>63</v>
      </c>
      <c r="P241" s="3" t="s">
        <v>464</v>
      </c>
      <c r="Q241" s="8">
        <v>1138354.0</v>
      </c>
      <c r="R241" s="3" t="s">
        <v>93</v>
      </c>
      <c r="S241" s="7">
        <v>40801.0</v>
      </c>
      <c r="T241" s="3" t="s">
        <v>63</v>
      </c>
      <c r="U241" s="6" t="s">
        <v>234</v>
      </c>
      <c r="V241" s="3" t="s">
        <v>4</v>
      </c>
      <c r="W241" s="3" t="s">
        <v>102</v>
      </c>
    </row>
    <row r="242" ht="15.75" customHeight="1">
      <c r="A242" s="6" t="s">
        <v>448</v>
      </c>
      <c r="B242" s="3" t="s">
        <v>4526</v>
      </c>
      <c r="C242" s="7">
        <v>33771.0</v>
      </c>
      <c r="D242" s="3" t="s">
        <v>63</v>
      </c>
      <c r="E242" s="3">
        <v>34.0</v>
      </c>
      <c r="F242" s="3" t="s">
        <v>183</v>
      </c>
      <c r="G242" s="6" t="s">
        <v>4529</v>
      </c>
      <c r="H242" s="3" t="s">
        <v>4530</v>
      </c>
      <c r="I242" s="3" t="s">
        <v>4532</v>
      </c>
      <c r="J242" s="3" t="s">
        <v>98</v>
      </c>
      <c r="K242" s="3" t="s">
        <v>101</v>
      </c>
      <c r="L242" s="3"/>
      <c r="M242" s="3" t="s">
        <v>88</v>
      </c>
      <c r="N242" s="6" t="s">
        <v>449</v>
      </c>
      <c r="O242" s="3" t="s">
        <v>63</v>
      </c>
      <c r="P242" s="3" t="s">
        <v>396</v>
      </c>
      <c r="Q242" s="3"/>
      <c r="R242" s="3" t="s">
        <v>258</v>
      </c>
      <c r="S242" s="7">
        <v>41162.0</v>
      </c>
      <c r="T242" s="3" t="s">
        <v>63</v>
      </c>
      <c r="U242" s="6" t="s">
        <v>352</v>
      </c>
      <c r="V242" s="3" t="s">
        <v>4</v>
      </c>
      <c r="W242" s="3" t="s">
        <v>102</v>
      </c>
    </row>
    <row r="243" ht="15.75" customHeight="1">
      <c r="A243" s="6" t="s">
        <v>968</v>
      </c>
      <c r="B243" s="3" t="s">
        <v>4541</v>
      </c>
      <c r="C243" s="7">
        <v>30028.0</v>
      </c>
      <c r="D243" s="3" t="s">
        <v>63</v>
      </c>
      <c r="E243" s="3">
        <v>44.0</v>
      </c>
      <c r="F243" s="3" t="s">
        <v>70</v>
      </c>
      <c r="G243" s="6" t="s">
        <v>4544</v>
      </c>
      <c r="H243" s="3" t="s">
        <v>4545</v>
      </c>
      <c r="I243" s="3" t="s">
        <v>4547</v>
      </c>
      <c r="J243" s="3" t="s">
        <v>65</v>
      </c>
      <c r="K243" s="3" t="s">
        <v>67</v>
      </c>
      <c r="L243" s="6" t="s">
        <v>970</v>
      </c>
      <c r="M243" s="3" t="s">
        <v>63</v>
      </c>
      <c r="N243" s="6" t="s">
        <v>973</v>
      </c>
      <c r="O243" s="3" t="s">
        <v>63</v>
      </c>
      <c r="P243" s="3" t="s">
        <v>160</v>
      </c>
      <c r="Q243" s="8">
        <v>2365578.0</v>
      </c>
      <c r="R243" s="3" t="s">
        <v>93</v>
      </c>
      <c r="S243" s="7">
        <v>43159.0</v>
      </c>
      <c r="T243" s="3" t="s">
        <v>63</v>
      </c>
      <c r="U243" s="6" t="s">
        <v>288</v>
      </c>
      <c r="V243" s="3" t="s">
        <v>4</v>
      </c>
      <c r="W243" s="3" t="s">
        <v>102</v>
      </c>
    </row>
    <row r="244" ht="15.75" customHeight="1">
      <c r="A244" s="6" t="s">
        <v>1472</v>
      </c>
      <c r="B244" s="3" t="s">
        <v>4551</v>
      </c>
      <c r="C244" s="7">
        <v>20522.0</v>
      </c>
      <c r="D244" s="3" t="s">
        <v>63</v>
      </c>
      <c r="E244" s="3">
        <v>70.0</v>
      </c>
      <c r="F244" s="3" t="s">
        <v>183</v>
      </c>
      <c r="G244" s="6" t="s">
        <v>4553</v>
      </c>
      <c r="H244" s="3" t="s">
        <v>4555</v>
      </c>
      <c r="I244" s="3" t="s">
        <v>4556</v>
      </c>
      <c r="J244" s="3" t="s">
        <v>250</v>
      </c>
      <c r="K244" s="3" t="s">
        <v>252</v>
      </c>
      <c r="L244" s="6" t="s">
        <v>1474</v>
      </c>
      <c r="M244" s="3" t="s">
        <v>63</v>
      </c>
      <c r="N244" s="3"/>
      <c r="O244" s="3" t="s">
        <v>88</v>
      </c>
      <c r="P244" s="3" t="s">
        <v>127</v>
      </c>
      <c r="Q244" s="8">
        <v>1849112.0</v>
      </c>
      <c r="R244" s="3" t="s">
        <v>93</v>
      </c>
      <c r="S244" s="7">
        <v>39703.0</v>
      </c>
      <c r="T244" s="3" t="s">
        <v>63</v>
      </c>
      <c r="U244" s="6" t="s">
        <v>352</v>
      </c>
      <c r="V244" s="3" t="s">
        <v>4</v>
      </c>
      <c r="W244" s="3" t="s">
        <v>102</v>
      </c>
    </row>
    <row r="245" ht="15.75" customHeight="1">
      <c r="A245" s="6" t="s">
        <v>3944</v>
      </c>
      <c r="B245" s="3" t="s">
        <v>4561</v>
      </c>
      <c r="C245" s="7">
        <v>24106.0</v>
      </c>
      <c r="D245" s="3" t="s">
        <v>63</v>
      </c>
      <c r="E245" s="3">
        <v>60.0</v>
      </c>
      <c r="F245" s="3" t="s">
        <v>70</v>
      </c>
      <c r="G245" s="6" t="s">
        <v>4564</v>
      </c>
      <c r="H245" s="3" t="s">
        <v>4566</v>
      </c>
      <c r="I245" s="3" t="s">
        <v>4567</v>
      </c>
      <c r="J245" s="3" t="s">
        <v>349</v>
      </c>
      <c r="K245" s="3" t="s">
        <v>45</v>
      </c>
      <c r="L245" s="6" t="s">
        <v>3946</v>
      </c>
      <c r="M245" s="3" t="s">
        <v>63</v>
      </c>
      <c r="N245" s="6" t="s">
        <v>3948</v>
      </c>
      <c r="O245" s="3" t="s">
        <v>63</v>
      </c>
      <c r="P245" s="3" t="s">
        <v>202</v>
      </c>
      <c r="Q245" s="3"/>
      <c r="R245" s="3" t="s">
        <v>258</v>
      </c>
      <c r="S245" s="7">
        <v>42502.0</v>
      </c>
      <c r="T245" s="3" t="s">
        <v>63</v>
      </c>
      <c r="U245" s="6" t="s">
        <v>97</v>
      </c>
      <c r="V245" s="3" t="s">
        <v>4</v>
      </c>
      <c r="W245" s="3" t="s">
        <v>102</v>
      </c>
    </row>
    <row r="246" ht="15.75" customHeight="1">
      <c r="A246" s="6" t="s">
        <v>3336</v>
      </c>
      <c r="B246" s="3" t="s">
        <v>4572</v>
      </c>
      <c r="C246" s="7">
        <v>35474.0</v>
      </c>
      <c r="D246" s="3" t="s">
        <v>63</v>
      </c>
      <c r="E246" s="3">
        <v>29.0</v>
      </c>
      <c r="F246" s="3" t="s">
        <v>183</v>
      </c>
      <c r="G246" s="6" t="s">
        <v>4575</v>
      </c>
      <c r="H246" s="3"/>
      <c r="I246" s="3" t="s">
        <v>4576</v>
      </c>
      <c r="J246" s="3" t="s">
        <v>250</v>
      </c>
      <c r="K246" s="3" t="s">
        <v>252</v>
      </c>
      <c r="L246" s="6" t="s">
        <v>3337</v>
      </c>
      <c r="M246" s="3" t="s">
        <v>63</v>
      </c>
      <c r="N246" s="6" t="s">
        <v>3338</v>
      </c>
      <c r="O246" s="3" t="s">
        <v>63</v>
      </c>
      <c r="P246" s="3" t="s">
        <v>127</v>
      </c>
      <c r="Q246" s="8">
        <v>2176705.0</v>
      </c>
      <c r="R246" s="3" t="s">
        <v>93</v>
      </c>
      <c r="S246" s="7">
        <v>38481.0</v>
      </c>
      <c r="T246" s="3" t="s">
        <v>63</v>
      </c>
      <c r="U246" s="6" t="s">
        <v>288</v>
      </c>
      <c r="V246" s="3" t="s">
        <v>4</v>
      </c>
      <c r="W246" s="3" t="s">
        <v>102</v>
      </c>
    </row>
    <row r="247" ht="15.75" customHeight="1">
      <c r="A247" s="6" t="s">
        <v>2021</v>
      </c>
      <c r="B247" s="3" t="s">
        <v>3203</v>
      </c>
      <c r="C247" s="7">
        <v>36189.0</v>
      </c>
      <c r="D247" s="3" t="s">
        <v>63</v>
      </c>
      <c r="E247" s="3">
        <v>27.0</v>
      </c>
      <c r="F247" s="3" t="s">
        <v>183</v>
      </c>
      <c r="G247" s="6" t="s">
        <v>4582</v>
      </c>
      <c r="H247" s="3" t="s">
        <v>3206</v>
      </c>
      <c r="I247" s="3" t="s">
        <v>1230</v>
      </c>
      <c r="J247" s="3" t="s">
        <v>43</v>
      </c>
      <c r="K247" s="3" t="s">
        <v>45</v>
      </c>
      <c r="L247" s="6" t="s">
        <v>2024</v>
      </c>
      <c r="M247" s="3" t="s">
        <v>63</v>
      </c>
      <c r="N247" s="6" t="s">
        <v>2028</v>
      </c>
      <c r="O247" s="3" t="s">
        <v>63</v>
      </c>
      <c r="P247" s="3" t="s">
        <v>396</v>
      </c>
      <c r="Q247" s="8">
        <v>1193658.0</v>
      </c>
      <c r="R247" s="3" t="s">
        <v>93</v>
      </c>
      <c r="S247" s="7">
        <v>42344.0</v>
      </c>
      <c r="T247" s="3" t="s">
        <v>63</v>
      </c>
      <c r="U247" s="6" t="s">
        <v>197</v>
      </c>
      <c r="V247" s="3" t="s">
        <v>4</v>
      </c>
      <c r="W247" s="3" t="s">
        <v>378</v>
      </c>
    </row>
    <row r="248" ht="15.75" customHeight="1">
      <c r="A248" s="6" t="s">
        <v>4431</v>
      </c>
      <c r="B248" s="3" t="s">
        <v>4599</v>
      </c>
      <c r="C248" s="7">
        <v>25672.0</v>
      </c>
      <c r="D248" s="3" t="s">
        <v>63</v>
      </c>
      <c r="E248" s="3">
        <v>56.0</v>
      </c>
      <c r="F248" s="3" t="s">
        <v>183</v>
      </c>
      <c r="G248" s="6" t="s">
        <v>4603</v>
      </c>
      <c r="H248" s="3" t="s">
        <v>4605</v>
      </c>
      <c r="I248" s="3" t="s">
        <v>4606</v>
      </c>
      <c r="J248" s="3" t="s">
        <v>153</v>
      </c>
      <c r="K248" s="3" t="s">
        <v>67</v>
      </c>
      <c r="L248" s="6" t="s">
        <v>4433</v>
      </c>
      <c r="M248" s="3" t="s">
        <v>63</v>
      </c>
      <c r="N248" s="6" t="s">
        <v>4434</v>
      </c>
      <c r="O248" s="3" t="s">
        <v>63</v>
      </c>
      <c r="P248" s="3" t="s">
        <v>464</v>
      </c>
      <c r="Q248" s="8">
        <v>560461.0</v>
      </c>
      <c r="R248" s="3" t="s">
        <v>93</v>
      </c>
      <c r="S248" s="7">
        <v>42344.0</v>
      </c>
      <c r="T248" s="3" t="s">
        <v>63</v>
      </c>
      <c r="U248" s="6" t="s">
        <v>92</v>
      </c>
      <c r="V248" s="3" t="s">
        <v>237</v>
      </c>
      <c r="W248" s="3" t="s">
        <v>102</v>
      </c>
    </row>
    <row r="249" ht="15.75" customHeight="1">
      <c r="A249" s="6" t="s">
        <v>4374</v>
      </c>
      <c r="B249" s="3" t="s">
        <v>4618</v>
      </c>
      <c r="C249" s="7">
        <v>37679.0</v>
      </c>
      <c r="D249" s="3" t="s">
        <v>63</v>
      </c>
      <c r="E249" s="3">
        <v>23.0</v>
      </c>
      <c r="F249" s="3" t="s">
        <v>183</v>
      </c>
      <c r="G249" s="6" t="s">
        <v>4622</v>
      </c>
      <c r="H249" s="3" t="s">
        <v>4625</v>
      </c>
      <c r="I249" s="3" t="s">
        <v>4626</v>
      </c>
      <c r="J249" s="3" t="s">
        <v>167</v>
      </c>
      <c r="K249" s="3" t="s">
        <v>169</v>
      </c>
      <c r="L249" s="6" t="s">
        <v>4375</v>
      </c>
      <c r="M249" s="3" t="s">
        <v>620</v>
      </c>
      <c r="N249" s="6" t="s">
        <v>4376</v>
      </c>
      <c r="O249" s="3" t="s">
        <v>63</v>
      </c>
      <c r="P249" s="3" t="s">
        <v>160</v>
      </c>
      <c r="Q249" s="8">
        <v>691305.0</v>
      </c>
      <c r="R249" s="3" t="s">
        <v>93</v>
      </c>
      <c r="S249" s="7">
        <v>41637.0</v>
      </c>
      <c r="T249" s="3" t="s">
        <v>63</v>
      </c>
      <c r="U249" s="6" t="s">
        <v>234</v>
      </c>
      <c r="V249" s="3" t="s">
        <v>4</v>
      </c>
      <c r="W249" s="3" t="s">
        <v>102</v>
      </c>
    </row>
    <row r="250" ht="15.75" customHeight="1">
      <c r="A250" s="6" t="s">
        <v>4641</v>
      </c>
      <c r="B250" s="3" t="s">
        <v>4643</v>
      </c>
      <c r="C250" s="7">
        <v>36584.0</v>
      </c>
      <c r="D250" s="3" t="s">
        <v>63</v>
      </c>
      <c r="E250" s="3">
        <v>26.0</v>
      </c>
      <c r="F250" s="3" t="s">
        <v>183</v>
      </c>
      <c r="G250" s="6" t="s">
        <v>4651</v>
      </c>
      <c r="H250" s="3" t="s">
        <v>4654</v>
      </c>
      <c r="I250" s="3" t="s">
        <v>4656</v>
      </c>
      <c r="J250" s="3" t="s">
        <v>167</v>
      </c>
      <c r="K250" s="3" t="s">
        <v>169</v>
      </c>
      <c r="L250" s="6" t="s">
        <v>4659</v>
      </c>
      <c r="M250" s="3" t="s">
        <v>63</v>
      </c>
      <c r="N250" s="6" t="s">
        <v>4660</v>
      </c>
      <c r="O250" s="3" t="s">
        <v>63</v>
      </c>
      <c r="P250" s="3" t="s">
        <v>464</v>
      </c>
      <c r="Q250" s="8">
        <v>445134.0</v>
      </c>
      <c r="R250" s="3" t="s">
        <v>93</v>
      </c>
      <c r="S250" s="7">
        <v>40483.0</v>
      </c>
      <c r="T250" s="3" t="s">
        <v>63</v>
      </c>
      <c r="U250" s="6" t="s">
        <v>92</v>
      </c>
      <c r="V250" s="3" t="s">
        <v>4</v>
      </c>
      <c r="W250" s="3" t="s">
        <v>102</v>
      </c>
    </row>
    <row r="251" ht="15.75" customHeight="1">
      <c r="A251" s="6" t="s">
        <v>3458</v>
      </c>
      <c r="B251" s="3" t="s">
        <v>4681</v>
      </c>
      <c r="C251" s="7">
        <v>22231.0</v>
      </c>
      <c r="D251" s="3" t="s">
        <v>63</v>
      </c>
      <c r="E251" s="3">
        <v>65.0</v>
      </c>
      <c r="F251" s="3" t="s">
        <v>183</v>
      </c>
      <c r="G251" s="6" t="s">
        <v>4684</v>
      </c>
      <c r="H251" s="3"/>
      <c r="I251" s="3" t="s">
        <v>4686</v>
      </c>
      <c r="J251" s="3" t="s">
        <v>305</v>
      </c>
      <c r="K251" s="3" t="s">
        <v>193</v>
      </c>
      <c r="L251" s="3"/>
      <c r="M251" s="3" t="s">
        <v>88</v>
      </c>
      <c r="N251" s="6" t="s">
        <v>4687</v>
      </c>
      <c r="O251" s="3" t="s">
        <v>63</v>
      </c>
      <c r="P251" s="3" t="s">
        <v>464</v>
      </c>
      <c r="Q251" s="8">
        <v>1120881.0</v>
      </c>
      <c r="R251" s="3" t="s">
        <v>93</v>
      </c>
      <c r="S251" s="7">
        <v>44144.0</v>
      </c>
      <c r="T251" s="3" t="s">
        <v>63</v>
      </c>
      <c r="U251" s="6" t="s">
        <v>97</v>
      </c>
      <c r="V251" s="3" t="s">
        <v>4</v>
      </c>
      <c r="W251" s="3" t="s">
        <v>102</v>
      </c>
    </row>
    <row r="252" ht="15.75" customHeight="1">
      <c r="A252" s="6" t="s">
        <v>787</v>
      </c>
      <c r="B252" s="3" t="s">
        <v>4694</v>
      </c>
      <c r="C252" s="7">
        <v>35366.0</v>
      </c>
      <c r="D252" s="3" t="s">
        <v>63</v>
      </c>
      <c r="E252" s="3">
        <v>29.0</v>
      </c>
      <c r="F252" s="3" t="s">
        <v>70</v>
      </c>
      <c r="G252" s="6" t="s">
        <v>4697</v>
      </c>
      <c r="H252" s="3" t="s">
        <v>4698</v>
      </c>
      <c r="I252" s="3" t="s">
        <v>4700</v>
      </c>
      <c r="J252" s="3" t="s">
        <v>305</v>
      </c>
      <c r="K252" s="3" t="s">
        <v>193</v>
      </c>
      <c r="L252" s="6" t="s">
        <v>4702</v>
      </c>
      <c r="M252" s="3" t="s">
        <v>63</v>
      </c>
      <c r="N252" s="6" t="s">
        <v>4703</v>
      </c>
      <c r="O252" s="3" t="s">
        <v>63</v>
      </c>
      <c r="P252" s="3" t="s">
        <v>202</v>
      </c>
      <c r="Q252" s="3"/>
      <c r="R252" s="3" t="s">
        <v>258</v>
      </c>
      <c r="S252" s="7">
        <v>44811.0</v>
      </c>
      <c r="T252" s="3" t="s">
        <v>63</v>
      </c>
      <c r="U252" s="6" t="s">
        <v>109</v>
      </c>
      <c r="V252" s="3" t="s">
        <v>237</v>
      </c>
      <c r="W252" s="3" t="s">
        <v>102</v>
      </c>
    </row>
    <row r="253" ht="15.75" customHeight="1">
      <c r="A253" s="6" t="s">
        <v>4294</v>
      </c>
      <c r="B253" s="3" t="s">
        <v>4708</v>
      </c>
      <c r="C253" s="7">
        <v>23656.0</v>
      </c>
      <c r="D253" s="3" t="s">
        <v>63</v>
      </c>
      <c r="E253" s="3">
        <v>61.0</v>
      </c>
      <c r="F253" s="3" t="s">
        <v>183</v>
      </c>
      <c r="G253" s="6" t="s">
        <v>4710</v>
      </c>
      <c r="H253" s="3" t="s">
        <v>4713</v>
      </c>
      <c r="I253" s="3" t="s">
        <v>4714</v>
      </c>
      <c r="J253" s="3" t="s">
        <v>251</v>
      </c>
      <c r="K253" s="3" t="s">
        <v>251</v>
      </c>
      <c r="L253" s="6" t="s">
        <v>4699</v>
      </c>
      <c r="M253" s="3" t="s">
        <v>63</v>
      </c>
      <c r="N253" s="6" t="s">
        <v>4701</v>
      </c>
      <c r="O253" s="3" t="s">
        <v>63</v>
      </c>
      <c r="P253" s="3" t="s">
        <v>202</v>
      </c>
      <c r="Q253" s="3"/>
      <c r="R253" s="3" t="s">
        <v>258</v>
      </c>
      <c r="S253" s="7">
        <v>40518.0</v>
      </c>
      <c r="T253" s="3" t="s">
        <v>63</v>
      </c>
      <c r="U253" s="6" t="s">
        <v>163</v>
      </c>
      <c r="V253" s="3" t="s">
        <v>4</v>
      </c>
      <c r="W253" s="3" t="s">
        <v>102</v>
      </c>
    </row>
    <row r="254" ht="15.75" customHeight="1">
      <c r="A254" s="6" t="s">
        <v>3606</v>
      </c>
      <c r="B254" s="3" t="s">
        <v>4719</v>
      </c>
      <c r="C254" s="7">
        <v>25287.0</v>
      </c>
      <c r="D254" s="3" t="s">
        <v>63</v>
      </c>
      <c r="E254" s="3">
        <v>57.0</v>
      </c>
      <c r="F254" s="3" t="s">
        <v>70</v>
      </c>
      <c r="G254" s="3"/>
      <c r="H254" s="3" t="s">
        <v>4722</v>
      </c>
      <c r="I254" s="3" t="s">
        <v>4723</v>
      </c>
      <c r="J254" s="3" t="s">
        <v>251</v>
      </c>
      <c r="K254" s="3" t="s">
        <v>251</v>
      </c>
      <c r="L254" s="3"/>
      <c r="M254" s="3" t="s">
        <v>88</v>
      </c>
      <c r="N254" s="6" t="s">
        <v>4725</v>
      </c>
      <c r="O254" s="3" t="s">
        <v>63</v>
      </c>
      <c r="P254" s="3" t="s">
        <v>464</v>
      </c>
      <c r="Q254" s="3"/>
      <c r="R254" s="3" t="s">
        <v>258</v>
      </c>
      <c r="S254" s="7">
        <v>38842.0</v>
      </c>
      <c r="T254" s="3" t="s">
        <v>63</v>
      </c>
      <c r="U254" s="6" t="s">
        <v>323</v>
      </c>
      <c r="V254" s="3" t="s">
        <v>4</v>
      </c>
      <c r="W254" s="3" t="s">
        <v>102</v>
      </c>
    </row>
    <row r="255" ht="15.75" customHeight="1">
      <c r="A255" s="6" t="s">
        <v>893</v>
      </c>
      <c r="B255" s="3" t="s">
        <v>4730</v>
      </c>
      <c r="C255" s="7">
        <v>30693.0</v>
      </c>
      <c r="D255" s="3" t="s">
        <v>63</v>
      </c>
      <c r="E255" s="3">
        <v>42.0</v>
      </c>
      <c r="F255" s="3" t="s">
        <v>70</v>
      </c>
      <c r="G255" s="6" t="s">
        <v>4735</v>
      </c>
      <c r="H255" s="3" t="s">
        <v>4737</v>
      </c>
      <c r="I255" s="3" t="s">
        <v>4738</v>
      </c>
      <c r="J255" s="3" t="s">
        <v>184</v>
      </c>
      <c r="K255" s="3" t="s">
        <v>187</v>
      </c>
      <c r="L255" s="6" t="s">
        <v>4739</v>
      </c>
      <c r="M255" s="3" t="s">
        <v>63</v>
      </c>
      <c r="N255" s="6" t="s">
        <v>4741</v>
      </c>
      <c r="O255" s="3" t="s">
        <v>63</v>
      </c>
      <c r="P255" s="3" t="s">
        <v>127</v>
      </c>
      <c r="Q255" s="8">
        <v>1148227.0</v>
      </c>
      <c r="R255" s="3" t="s">
        <v>93</v>
      </c>
      <c r="S255" s="7">
        <v>40970.0</v>
      </c>
      <c r="T255" s="3" t="s">
        <v>63</v>
      </c>
      <c r="U255" s="6" t="s">
        <v>323</v>
      </c>
      <c r="V255" s="3" t="s">
        <v>4</v>
      </c>
      <c r="W255" s="3" t="s">
        <v>102</v>
      </c>
    </row>
    <row r="256" ht="15.75" customHeight="1">
      <c r="A256" s="6" t="s">
        <v>1663</v>
      </c>
      <c r="B256" s="3" t="s">
        <v>4746</v>
      </c>
      <c r="C256" s="7">
        <v>33245.0</v>
      </c>
      <c r="D256" s="3" t="s">
        <v>63</v>
      </c>
      <c r="E256" s="3">
        <v>35.0</v>
      </c>
      <c r="F256" s="3" t="s">
        <v>70</v>
      </c>
      <c r="G256" s="6" t="s">
        <v>4747</v>
      </c>
      <c r="H256" s="3" t="s">
        <v>4748</v>
      </c>
      <c r="I256" s="3" t="s">
        <v>4749</v>
      </c>
      <c r="J256" s="3" t="s">
        <v>305</v>
      </c>
      <c r="K256" s="3" t="s">
        <v>193</v>
      </c>
      <c r="L256" s="6" t="s">
        <v>1666</v>
      </c>
      <c r="M256" s="3" t="s">
        <v>63</v>
      </c>
      <c r="N256" s="6" t="s">
        <v>1668</v>
      </c>
      <c r="O256" s="3" t="s">
        <v>63</v>
      </c>
      <c r="P256" s="3" t="s">
        <v>396</v>
      </c>
      <c r="Q256" s="3"/>
      <c r="R256" s="3" t="s">
        <v>258</v>
      </c>
      <c r="S256" s="7">
        <v>45242.0</v>
      </c>
      <c r="T256" s="3" t="s">
        <v>63</v>
      </c>
      <c r="U256" s="6" t="s">
        <v>385</v>
      </c>
      <c r="V256" s="3" t="s">
        <v>4</v>
      </c>
      <c r="W256" s="3" t="s">
        <v>102</v>
      </c>
    </row>
    <row r="257" ht="15.75" customHeight="1">
      <c r="A257" s="6" t="s">
        <v>419</v>
      </c>
      <c r="B257" s="3" t="s">
        <v>405</v>
      </c>
      <c r="C257" s="7">
        <v>22194.0</v>
      </c>
      <c r="D257" s="3" t="s">
        <v>63</v>
      </c>
      <c r="E257" s="3">
        <v>65.0</v>
      </c>
      <c r="F257" s="3" t="s">
        <v>183</v>
      </c>
      <c r="G257" s="6" t="s">
        <v>4758</v>
      </c>
      <c r="H257" s="3" t="s">
        <v>4759</v>
      </c>
      <c r="I257" s="3" t="s">
        <v>4760</v>
      </c>
      <c r="J257" s="3" t="s">
        <v>43</v>
      </c>
      <c r="K257" s="3" t="s">
        <v>45</v>
      </c>
      <c r="L257" s="6" t="s">
        <v>420</v>
      </c>
      <c r="M257" s="3" t="s">
        <v>63</v>
      </c>
      <c r="N257" s="6" t="s">
        <v>421</v>
      </c>
      <c r="O257" s="3" t="s">
        <v>63</v>
      </c>
      <c r="P257" s="3" t="s">
        <v>396</v>
      </c>
      <c r="Q257" s="8">
        <v>2474968.0</v>
      </c>
      <c r="R257" s="3" t="s">
        <v>93</v>
      </c>
      <c r="S257" s="7">
        <v>44212.0</v>
      </c>
      <c r="T257" s="3" t="s">
        <v>63</v>
      </c>
      <c r="U257" s="6" t="s">
        <v>262</v>
      </c>
      <c r="V257" s="3" t="s">
        <v>4</v>
      </c>
      <c r="W257" s="3" t="s">
        <v>102</v>
      </c>
    </row>
    <row r="258" ht="15.75" customHeight="1">
      <c r="A258" s="6" t="s">
        <v>1631</v>
      </c>
      <c r="B258" s="3" t="s">
        <v>4766</v>
      </c>
      <c r="C258" s="7">
        <v>20706.0</v>
      </c>
      <c r="D258" s="3" t="s">
        <v>63</v>
      </c>
      <c r="E258" s="3">
        <v>69.0</v>
      </c>
      <c r="F258" s="3" t="s">
        <v>183</v>
      </c>
      <c r="G258" s="3"/>
      <c r="H258" s="3" t="s">
        <v>4768</v>
      </c>
      <c r="I258" s="3" t="s">
        <v>4770</v>
      </c>
      <c r="J258" s="3" t="s">
        <v>79</v>
      </c>
      <c r="K258" s="3" t="s">
        <v>81</v>
      </c>
      <c r="L258" s="6" t="s">
        <v>1633</v>
      </c>
      <c r="M258" s="3" t="s">
        <v>63</v>
      </c>
      <c r="N258" s="6" t="s">
        <v>1635</v>
      </c>
      <c r="O258" s="3" t="s">
        <v>63</v>
      </c>
      <c r="P258" s="3" t="s">
        <v>90</v>
      </c>
      <c r="Q258" s="8">
        <v>342952.0</v>
      </c>
      <c r="R258" s="3" t="s">
        <v>93</v>
      </c>
      <c r="S258" s="7">
        <v>43719.0</v>
      </c>
      <c r="T258" s="3" t="s">
        <v>63</v>
      </c>
      <c r="U258" s="6" t="s">
        <v>262</v>
      </c>
      <c r="V258" s="3" t="s">
        <v>4</v>
      </c>
      <c r="W258" s="3" t="s">
        <v>102</v>
      </c>
    </row>
    <row r="259" ht="15.75" customHeight="1">
      <c r="A259" s="6" t="s">
        <v>1189</v>
      </c>
      <c r="B259" s="3" t="s">
        <v>4778</v>
      </c>
      <c r="C259" s="7">
        <v>29907.0</v>
      </c>
      <c r="D259" s="3" t="s">
        <v>63</v>
      </c>
      <c r="E259" s="3">
        <v>44.0</v>
      </c>
      <c r="F259" s="3" t="s">
        <v>70</v>
      </c>
      <c r="G259" s="6" t="s">
        <v>4780</v>
      </c>
      <c r="H259" s="3" t="s">
        <v>4781</v>
      </c>
      <c r="I259" s="3" t="s">
        <v>4783</v>
      </c>
      <c r="J259" s="3" t="s">
        <v>98</v>
      </c>
      <c r="K259" s="3" t="s">
        <v>101</v>
      </c>
      <c r="L259" s="6" t="s">
        <v>3917</v>
      </c>
      <c r="M259" s="3" t="s">
        <v>63</v>
      </c>
      <c r="N259" s="6" t="s">
        <v>3918</v>
      </c>
      <c r="O259" s="3" t="s">
        <v>63</v>
      </c>
      <c r="P259" s="3" t="s">
        <v>324</v>
      </c>
      <c r="Q259" s="3"/>
      <c r="R259" s="3" t="s">
        <v>258</v>
      </c>
      <c r="S259" s="7">
        <v>45732.0</v>
      </c>
      <c r="T259" s="3" t="s">
        <v>63</v>
      </c>
      <c r="U259" s="6" t="s">
        <v>163</v>
      </c>
      <c r="V259" s="3" t="s">
        <v>237</v>
      </c>
      <c r="W259" s="3" t="s">
        <v>378</v>
      </c>
    </row>
    <row r="260" ht="15.75" customHeight="1">
      <c r="A260" s="6" t="s">
        <v>2323</v>
      </c>
      <c r="B260" s="3" t="s">
        <v>836</v>
      </c>
      <c r="C260" s="7">
        <v>24054.0</v>
      </c>
      <c r="D260" s="3" t="s">
        <v>63</v>
      </c>
      <c r="E260" s="3">
        <v>60.0</v>
      </c>
      <c r="F260" s="3" t="s">
        <v>183</v>
      </c>
      <c r="G260" s="6" t="s">
        <v>4791</v>
      </c>
      <c r="H260" s="3" t="s">
        <v>841</v>
      </c>
      <c r="I260" s="3" t="s">
        <v>842</v>
      </c>
      <c r="J260" s="3" t="s">
        <v>250</v>
      </c>
      <c r="K260" s="3" t="s">
        <v>252</v>
      </c>
      <c r="L260" s="3"/>
      <c r="M260" s="3" t="s">
        <v>88</v>
      </c>
      <c r="N260" s="6" t="s">
        <v>847</v>
      </c>
      <c r="O260" s="3" t="s">
        <v>63</v>
      </c>
      <c r="P260" s="3" t="s">
        <v>324</v>
      </c>
      <c r="Q260" s="8">
        <v>1153905.0</v>
      </c>
      <c r="R260" s="3" t="s">
        <v>93</v>
      </c>
      <c r="S260" s="7">
        <v>43137.0</v>
      </c>
      <c r="T260" s="3" t="s">
        <v>63</v>
      </c>
      <c r="U260" s="6" t="s">
        <v>284</v>
      </c>
      <c r="V260" s="3" t="s">
        <v>4</v>
      </c>
      <c r="W260" s="3" t="s">
        <v>378</v>
      </c>
    </row>
    <row r="261" ht="15.75" customHeight="1">
      <c r="A261" s="6" t="s">
        <v>4799</v>
      </c>
      <c r="B261" s="3" t="s">
        <v>4800</v>
      </c>
      <c r="C261" s="7">
        <v>32444.0</v>
      </c>
      <c r="D261" s="3" t="s">
        <v>63</v>
      </c>
      <c r="E261" s="3">
        <v>37.0</v>
      </c>
      <c r="F261" s="3" t="s">
        <v>70</v>
      </c>
      <c r="G261" s="6" t="s">
        <v>4802</v>
      </c>
      <c r="H261" s="3" t="s">
        <v>4803</v>
      </c>
      <c r="I261" s="3" t="s">
        <v>4805</v>
      </c>
      <c r="J261" s="3" t="s">
        <v>282</v>
      </c>
      <c r="K261" s="3" t="s">
        <v>229</v>
      </c>
      <c r="L261" s="6" t="s">
        <v>4807</v>
      </c>
      <c r="M261" s="3" t="s">
        <v>63</v>
      </c>
      <c r="N261" s="6" t="s">
        <v>4808</v>
      </c>
      <c r="O261" s="3" t="s">
        <v>63</v>
      </c>
      <c r="P261" s="3" t="s">
        <v>324</v>
      </c>
      <c r="Q261" s="8">
        <v>432246.0</v>
      </c>
      <c r="R261" s="3" t="s">
        <v>93</v>
      </c>
      <c r="S261" s="7">
        <v>39002.0</v>
      </c>
      <c r="T261" s="3" t="s">
        <v>63</v>
      </c>
      <c r="U261" s="6" t="s">
        <v>284</v>
      </c>
      <c r="V261" s="3" t="s">
        <v>4</v>
      </c>
      <c r="W261" s="3" t="s">
        <v>102</v>
      </c>
    </row>
    <row r="262" ht="15.75" customHeight="1">
      <c r="A262" s="6" t="s">
        <v>1058</v>
      </c>
      <c r="B262" s="3" t="s">
        <v>4813</v>
      </c>
      <c r="C262" s="7">
        <v>34833.0</v>
      </c>
      <c r="D262" s="3" t="s">
        <v>63</v>
      </c>
      <c r="E262" s="3">
        <v>31.0</v>
      </c>
      <c r="F262" s="3" t="s">
        <v>183</v>
      </c>
      <c r="G262" s="6" t="s">
        <v>4817</v>
      </c>
      <c r="H262" s="3" t="s">
        <v>4818</v>
      </c>
      <c r="I262" s="3" t="s">
        <v>4819</v>
      </c>
      <c r="J262" s="3" t="s">
        <v>153</v>
      </c>
      <c r="K262" s="3" t="s">
        <v>67</v>
      </c>
      <c r="L262" s="6" t="s">
        <v>3185</v>
      </c>
      <c r="M262" s="3" t="s">
        <v>63</v>
      </c>
      <c r="N262" s="6" t="s">
        <v>3186</v>
      </c>
      <c r="O262" s="3" t="s">
        <v>63</v>
      </c>
      <c r="P262" s="3" t="s">
        <v>127</v>
      </c>
      <c r="Q262" s="8">
        <v>1697325.0</v>
      </c>
      <c r="R262" s="3" t="s">
        <v>93</v>
      </c>
      <c r="S262" s="7">
        <v>44936.0</v>
      </c>
      <c r="T262" s="3" t="s">
        <v>63</v>
      </c>
      <c r="U262" s="6" t="s">
        <v>109</v>
      </c>
      <c r="V262" s="3" t="s">
        <v>4</v>
      </c>
      <c r="W262" s="3" t="s">
        <v>102</v>
      </c>
    </row>
    <row r="263" ht="15.75" customHeight="1">
      <c r="A263" s="6" t="s">
        <v>2474</v>
      </c>
      <c r="B263" s="3" t="s">
        <v>4827</v>
      </c>
      <c r="C263" s="7">
        <v>31296.0</v>
      </c>
      <c r="D263" s="3" t="s">
        <v>63</v>
      </c>
      <c r="E263" s="3">
        <v>40.0</v>
      </c>
      <c r="F263" s="3" t="s">
        <v>70</v>
      </c>
      <c r="G263" s="3"/>
      <c r="H263" s="3" t="s">
        <v>4829</v>
      </c>
      <c r="I263" s="3" t="s">
        <v>4831</v>
      </c>
      <c r="J263" s="3" t="s">
        <v>282</v>
      </c>
      <c r="K263" s="3" t="s">
        <v>229</v>
      </c>
      <c r="L263" s="6" t="s">
        <v>4201</v>
      </c>
      <c r="M263" s="3" t="s">
        <v>63</v>
      </c>
      <c r="N263" s="6" t="s">
        <v>4203</v>
      </c>
      <c r="O263" s="3" t="s">
        <v>63</v>
      </c>
      <c r="P263" s="3" t="s">
        <v>90</v>
      </c>
      <c r="Q263" s="8">
        <v>1399806.0</v>
      </c>
      <c r="R263" s="3" t="s">
        <v>93</v>
      </c>
      <c r="S263" s="7">
        <v>44169.0</v>
      </c>
      <c r="T263" s="3" t="s">
        <v>63</v>
      </c>
      <c r="U263" s="6" t="s">
        <v>197</v>
      </c>
      <c r="V263" s="3" t="s">
        <v>4</v>
      </c>
      <c r="W263" s="3" t="s">
        <v>102</v>
      </c>
    </row>
    <row r="264" ht="15.75" customHeight="1">
      <c r="A264" s="6" t="s">
        <v>4835</v>
      </c>
      <c r="B264" s="3" t="s">
        <v>4836</v>
      </c>
      <c r="C264" s="7">
        <v>20250.0</v>
      </c>
      <c r="D264" s="3" t="s">
        <v>63</v>
      </c>
      <c r="E264" s="3">
        <v>71.0</v>
      </c>
      <c r="F264" s="3" t="s">
        <v>183</v>
      </c>
      <c r="G264" s="6" t="s">
        <v>4840</v>
      </c>
      <c r="H264" s="3" t="s">
        <v>4841</v>
      </c>
      <c r="I264" s="3" t="s">
        <v>4842</v>
      </c>
      <c r="J264" s="3" t="s">
        <v>167</v>
      </c>
      <c r="K264" s="3" t="s">
        <v>169</v>
      </c>
      <c r="L264" s="6" t="s">
        <v>4844</v>
      </c>
      <c r="M264" s="3" t="s">
        <v>63</v>
      </c>
      <c r="N264" s="3"/>
      <c r="O264" s="3" t="s">
        <v>88</v>
      </c>
      <c r="P264" s="3" t="s">
        <v>90</v>
      </c>
      <c r="Q264" s="8">
        <v>1493304.0</v>
      </c>
      <c r="R264" s="3" t="s">
        <v>93</v>
      </c>
      <c r="S264" s="7">
        <v>43999.0</v>
      </c>
      <c r="T264" s="3" t="s">
        <v>63</v>
      </c>
      <c r="U264" s="6" t="s">
        <v>97</v>
      </c>
      <c r="V264" s="3" t="s">
        <v>4</v>
      </c>
      <c r="W264" s="3" t="s">
        <v>102</v>
      </c>
    </row>
    <row r="265" ht="15.75" customHeight="1">
      <c r="A265" s="6" t="s">
        <v>4850</v>
      </c>
      <c r="B265" s="3" t="s">
        <v>4852</v>
      </c>
      <c r="C265" s="7">
        <v>25718.0</v>
      </c>
      <c r="D265" s="3" t="s">
        <v>63</v>
      </c>
      <c r="E265" s="3">
        <v>56.0</v>
      </c>
      <c r="F265" s="3" t="s">
        <v>70</v>
      </c>
      <c r="G265" s="6" t="s">
        <v>4854</v>
      </c>
      <c r="H265" s="3" t="s">
        <v>4855</v>
      </c>
      <c r="I265" s="3" t="s">
        <v>4856</v>
      </c>
      <c r="J265" s="3" t="s">
        <v>65</v>
      </c>
      <c r="K265" s="3" t="s">
        <v>67</v>
      </c>
      <c r="L265" s="6" t="s">
        <v>672</v>
      </c>
      <c r="M265" s="3" t="s">
        <v>63</v>
      </c>
      <c r="N265" s="6" t="s">
        <v>673</v>
      </c>
      <c r="O265" s="3" t="s">
        <v>63</v>
      </c>
      <c r="P265" s="3" t="s">
        <v>90</v>
      </c>
      <c r="Q265" s="3"/>
      <c r="R265" s="3" t="s">
        <v>258</v>
      </c>
      <c r="S265" s="7">
        <v>43203.0</v>
      </c>
      <c r="T265" s="3" t="s">
        <v>63</v>
      </c>
      <c r="U265" s="6" t="s">
        <v>109</v>
      </c>
      <c r="V265" s="3" t="s">
        <v>4</v>
      </c>
      <c r="W265" s="3" t="s">
        <v>378</v>
      </c>
    </row>
    <row r="266" ht="15.75" customHeight="1">
      <c r="A266" s="6" t="s">
        <v>2655</v>
      </c>
      <c r="B266" s="3" t="s">
        <v>4865</v>
      </c>
      <c r="C266" s="7">
        <v>30191.0</v>
      </c>
      <c r="D266" s="3" t="s">
        <v>63</v>
      </c>
      <c r="E266" s="3">
        <v>43.0</v>
      </c>
      <c r="F266" s="3" t="s">
        <v>70</v>
      </c>
      <c r="G266" s="6" t="s">
        <v>4866</v>
      </c>
      <c r="H266" s="3" t="s">
        <v>4867</v>
      </c>
      <c r="I266" s="3" t="s">
        <v>4869</v>
      </c>
      <c r="J266" s="3" t="s">
        <v>227</v>
      </c>
      <c r="K266" s="3" t="s">
        <v>229</v>
      </c>
      <c r="L266" s="6" t="s">
        <v>4721</v>
      </c>
      <c r="M266" s="3" t="s">
        <v>63</v>
      </c>
      <c r="N266" s="3"/>
      <c r="O266" s="3" t="s">
        <v>88</v>
      </c>
      <c r="P266" s="3" t="s">
        <v>464</v>
      </c>
      <c r="Q266" s="3"/>
      <c r="R266" s="3" t="s">
        <v>258</v>
      </c>
      <c r="S266" s="7">
        <v>38546.0</v>
      </c>
      <c r="T266" s="3" t="s">
        <v>63</v>
      </c>
      <c r="U266" s="6" t="s">
        <v>234</v>
      </c>
      <c r="V266" s="3" t="s">
        <v>4</v>
      </c>
      <c r="W266" s="3" t="s">
        <v>102</v>
      </c>
    </row>
    <row r="267" ht="15.75" customHeight="1">
      <c r="A267" s="6" t="s">
        <v>3045</v>
      </c>
      <c r="B267" s="3" t="s">
        <v>4876</v>
      </c>
      <c r="C267" s="7">
        <v>38100.0</v>
      </c>
      <c r="D267" s="3" t="s">
        <v>63</v>
      </c>
      <c r="E267" s="3">
        <v>22.0</v>
      </c>
      <c r="F267" s="3" t="s">
        <v>70</v>
      </c>
      <c r="G267" s="6" t="s">
        <v>4877</v>
      </c>
      <c r="H267" s="3" t="s">
        <v>4879</v>
      </c>
      <c r="I267" s="3" t="s">
        <v>4880</v>
      </c>
      <c r="J267" s="3" t="s">
        <v>190</v>
      </c>
      <c r="K267" s="3" t="s">
        <v>193</v>
      </c>
      <c r="L267" s="6" t="s">
        <v>3048</v>
      </c>
      <c r="M267" s="3" t="s">
        <v>620</v>
      </c>
      <c r="N267" s="6" t="s">
        <v>3050</v>
      </c>
      <c r="O267" s="3" t="s">
        <v>63</v>
      </c>
      <c r="P267" s="3" t="s">
        <v>300</v>
      </c>
      <c r="Q267" s="3"/>
      <c r="R267" s="3" t="s">
        <v>258</v>
      </c>
      <c r="S267" s="7">
        <v>39884.0</v>
      </c>
      <c r="T267" s="3" t="s">
        <v>63</v>
      </c>
      <c r="U267" s="6" t="s">
        <v>36</v>
      </c>
      <c r="V267" s="3" t="s">
        <v>4</v>
      </c>
      <c r="W267" s="3" t="s">
        <v>102</v>
      </c>
    </row>
    <row r="268" ht="15.75" customHeight="1">
      <c r="A268" s="6" t="s">
        <v>4883</v>
      </c>
      <c r="B268" s="3" t="s">
        <v>4884</v>
      </c>
      <c r="C268" s="7">
        <v>37330.0</v>
      </c>
      <c r="D268" s="3" t="s">
        <v>63</v>
      </c>
      <c r="E268" s="3">
        <v>24.0</v>
      </c>
      <c r="F268" s="3" t="s">
        <v>70</v>
      </c>
      <c r="G268" s="6" t="s">
        <v>4887</v>
      </c>
      <c r="H268" s="3" t="s">
        <v>4888</v>
      </c>
      <c r="I268" s="3" t="s">
        <v>4889</v>
      </c>
      <c r="J268" s="3" t="s">
        <v>225</v>
      </c>
      <c r="K268" s="3" t="s">
        <v>101</v>
      </c>
      <c r="L268" s="6" t="s">
        <v>4890</v>
      </c>
      <c r="M268" s="3" t="s">
        <v>63</v>
      </c>
      <c r="N268" s="6" t="s">
        <v>4892</v>
      </c>
      <c r="O268" s="3" t="s">
        <v>63</v>
      </c>
      <c r="P268" s="3" t="s">
        <v>300</v>
      </c>
      <c r="Q268" s="3"/>
      <c r="R268" s="3" t="s">
        <v>258</v>
      </c>
      <c r="S268" s="7">
        <v>44678.0</v>
      </c>
      <c r="T268" s="3" t="s">
        <v>63</v>
      </c>
      <c r="U268" s="6" t="s">
        <v>262</v>
      </c>
      <c r="V268" s="3" t="s">
        <v>237</v>
      </c>
      <c r="W268" s="3" t="s">
        <v>102</v>
      </c>
    </row>
    <row r="269" ht="15.75" customHeight="1">
      <c r="A269" s="6" t="s">
        <v>1746</v>
      </c>
      <c r="B269" s="3" t="s">
        <v>4897</v>
      </c>
      <c r="C269" s="7">
        <v>25544.0</v>
      </c>
      <c r="D269" s="3" t="s">
        <v>63</v>
      </c>
      <c r="E269" s="3">
        <v>56.0</v>
      </c>
      <c r="F269" s="3" t="s">
        <v>70</v>
      </c>
      <c r="G269" s="6" t="s">
        <v>4898</v>
      </c>
      <c r="H269" s="3" t="s">
        <v>4899</v>
      </c>
      <c r="I269" s="3" t="s">
        <v>4900</v>
      </c>
      <c r="J269" s="3" t="s">
        <v>114</v>
      </c>
      <c r="K269" s="3" t="s">
        <v>118</v>
      </c>
      <c r="L269" s="6" t="s">
        <v>4901</v>
      </c>
      <c r="M269" s="3" t="s">
        <v>63</v>
      </c>
      <c r="N269" s="3"/>
      <c r="O269" s="3" t="s">
        <v>88</v>
      </c>
      <c r="P269" s="3" t="s">
        <v>372</v>
      </c>
      <c r="Q269" s="3"/>
      <c r="R269" s="3" t="s">
        <v>258</v>
      </c>
      <c r="S269" s="7">
        <v>39085.0</v>
      </c>
      <c r="T269" s="3" t="s">
        <v>63</v>
      </c>
      <c r="U269" s="6" t="s">
        <v>60</v>
      </c>
      <c r="V269" s="3" t="s">
        <v>4</v>
      </c>
      <c r="W269" s="3" t="s">
        <v>102</v>
      </c>
    </row>
    <row r="270" ht="15.75" customHeight="1">
      <c r="A270" s="6" t="s">
        <v>1295</v>
      </c>
      <c r="B270" s="3" t="s">
        <v>172</v>
      </c>
      <c r="C270" s="7">
        <v>33302.0</v>
      </c>
      <c r="D270" s="3" t="s">
        <v>63</v>
      </c>
      <c r="E270" s="3">
        <v>35.0</v>
      </c>
      <c r="F270" s="3" t="s">
        <v>70</v>
      </c>
      <c r="G270" s="6" t="s">
        <v>4909</v>
      </c>
      <c r="H270" s="3" t="s">
        <v>4910</v>
      </c>
      <c r="I270" s="3" t="s">
        <v>4911</v>
      </c>
      <c r="J270" s="3" t="s">
        <v>201</v>
      </c>
      <c r="K270" s="3" t="s">
        <v>203</v>
      </c>
      <c r="L270" s="6" t="s">
        <v>4912</v>
      </c>
      <c r="M270" s="3" t="s">
        <v>63</v>
      </c>
      <c r="N270" s="6" t="s">
        <v>4913</v>
      </c>
      <c r="O270" s="3" t="s">
        <v>63</v>
      </c>
      <c r="P270" s="3" t="s">
        <v>324</v>
      </c>
      <c r="Q270" s="8">
        <v>1034021.0</v>
      </c>
      <c r="R270" s="3" t="s">
        <v>93</v>
      </c>
      <c r="S270" s="7">
        <v>38460.0</v>
      </c>
      <c r="T270" s="3" t="s">
        <v>63</v>
      </c>
      <c r="U270" s="6" t="s">
        <v>163</v>
      </c>
      <c r="V270" s="3" t="s">
        <v>4</v>
      </c>
      <c r="W270" s="3" t="s">
        <v>102</v>
      </c>
    </row>
    <row r="271" ht="15.75" customHeight="1">
      <c r="A271" s="6" t="s">
        <v>1796</v>
      </c>
      <c r="B271" s="3" t="s">
        <v>4918</v>
      </c>
      <c r="C271" s="7">
        <v>38063.0</v>
      </c>
      <c r="D271" s="3" t="s">
        <v>63</v>
      </c>
      <c r="E271" s="3">
        <v>22.0</v>
      </c>
      <c r="F271" s="3" t="s">
        <v>70</v>
      </c>
      <c r="G271" s="6" t="s">
        <v>4920</v>
      </c>
      <c r="H271" s="3" t="s">
        <v>4921</v>
      </c>
      <c r="I271" s="3" t="s">
        <v>4923</v>
      </c>
      <c r="J271" s="3" t="s">
        <v>227</v>
      </c>
      <c r="K271" s="3" t="s">
        <v>229</v>
      </c>
      <c r="L271" s="6" t="s">
        <v>1798</v>
      </c>
      <c r="M271" s="3" t="s">
        <v>63</v>
      </c>
      <c r="N271" s="6" t="s">
        <v>1800</v>
      </c>
      <c r="O271" s="3" t="s">
        <v>63</v>
      </c>
      <c r="P271" s="3" t="s">
        <v>464</v>
      </c>
      <c r="Q271" s="3"/>
      <c r="R271" s="3" t="s">
        <v>258</v>
      </c>
      <c r="S271" s="7">
        <v>43989.0</v>
      </c>
      <c r="T271" s="3" t="s">
        <v>63</v>
      </c>
      <c r="U271" s="6" t="s">
        <v>179</v>
      </c>
      <c r="V271" s="3" t="s">
        <v>4</v>
      </c>
      <c r="W271" s="3" t="s">
        <v>102</v>
      </c>
    </row>
    <row r="272" ht="15.75" customHeight="1">
      <c r="A272" s="6" t="s">
        <v>2792</v>
      </c>
      <c r="B272" s="3" t="s">
        <v>4929</v>
      </c>
      <c r="C272" s="7">
        <v>47772.0</v>
      </c>
      <c r="D272" s="3" t="s">
        <v>1155</v>
      </c>
      <c r="E272" s="3"/>
      <c r="F272" s="3" t="s">
        <v>183</v>
      </c>
      <c r="G272" s="6" t="s">
        <v>4930</v>
      </c>
      <c r="H272" s="3" t="s">
        <v>4931</v>
      </c>
      <c r="I272" s="3" t="s">
        <v>4932</v>
      </c>
      <c r="J272" s="3" t="s">
        <v>114</v>
      </c>
      <c r="K272" s="3" t="s">
        <v>118</v>
      </c>
      <c r="L272" s="6" t="s">
        <v>3511</v>
      </c>
      <c r="M272" s="3" t="s">
        <v>63</v>
      </c>
      <c r="N272" s="6" t="s">
        <v>3512</v>
      </c>
      <c r="O272" s="3" t="s">
        <v>63</v>
      </c>
      <c r="P272" s="3" t="s">
        <v>372</v>
      </c>
      <c r="Q272" s="3"/>
      <c r="R272" s="3" t="s">
        <v>258</v>
      </c>
      <c r="S272" s="7">
        <v>42994.0</v>
      </c>
      <c r="T272" s="3" t="s">
        <v>1178</v>
      </c>
      <c r="U272" s="6" t="s">
        <v>385</v>
      </c>
      <c r="V272" s="3" t="s">
        <v>4</v>
      </c>
      <c r="W272" s="3" t="s">
        <v>378</v>
      </c>
    </row>
    <row r="273" ht="15.75" customHeight="1">
      <c r="A273" s="6" t="s">
        <v>4244</v>
      </c>
      <c r="B273" s="3" t="s">
        <v>4937</v>
      </c>
      <c r="C273" s="7">
        <v>38581.0</v>
      </c>
      <c r="D273" s="3" t="s">
        <v>63</v>
      </c>
      <c r="E273" s="3">
        <v>20.0</v>
      </c>
      <c r="F273" s="3" t="s">
        <v>183</v>
      </c>
      <c r="G273" s="6" t="s">
        <v>4939</v>
      </c>
      <c r="H273" s="3" t="s">
        <v>4940</v>
      </c>
      <c r="I273" s="3" t="s">
        <v>4941</v>
      </c>
      <c r="J273" s="3" t="s">
        <v>167</v>
      </c>
      <c r="K273" s="3" t="s">
        <v>169</v>
      </c>
      <c r="L273" s="6" t="s">
        <v>4245</v>
      </c>
      <c r="M273" s="3" t="s">
        <v>63</v>
      </c>
      <c r="N273" s="6" t="s">
        <v>4246</v>
      </c>
      <c r="O273" s="3" t="s">
        <v>63</v>
      </c>
      <c r="P273" s="3" t="s">
        <v>396</v>
      </c>
      <c r="Q273" s="8">
        <v>1724270.0</v>
      </c>
      <c r="R273" s="3" t="s">
        <v>93</v>
      </c>
      <c r="S273" s="7">
        <v>41826.0</v>
      </c>
      <c r="T273" s="3" t="s">
        <v>63</v>
      </c>
      <c r="U273" s="6" t="s">
        <v>36</v>
      </c>
      <c r="V273" s="3" t="s">
        <v>4</v>
      </c>
      <c r="W273" s="3" t="s">
        <v>102</v>
      </c>
    </row>
    <row r="274" ht="15.75" customHeight="1">
      <c r="A274" s="6" t="s">
        <v>2707</v>
      </c>
      <c r="B274" s="3" t="s">
        <v>4946</v>
      </c>
      <c r="C274" s="7">
        <v>38103.0</v>
      </c>
      <c r="D274" s="3" t="s">
        <v>63</v>
      </c>
      <c r="E274" s="3">
        <v>22.0</v>
      </c>
      <c r="F274" s="3" t="s">
        <v>70</v>
      </c>
      <c r="G274" s="6" t="s">
        <v>4950</v>
      </c>
      <c r="H274" s="3" t="s">
        <v>4952</v>
      </c>
      <c r="I274" s="3" t="s">
        <v>4954</v>
      </c>
      <c r="J274" s="3" t="s">
        <v>225</v>
      </c>
      <c r="K274" s="3" t="s">
        <v>101</v>
      </c>
      <c r="L274" s="6" t="s">
        <v>4863</v>
      </c>
      <c r="M274" s="3" t="s">
        <v>63</v>
      </c>
      <c r="N274" s="6" t="s">
        <v>4864</v>
      </c>
      <c r="O274" s="3" t="s">
        <v>63</v>
      </c>
      <c r="P274" s="3" t="s">
        <v>324</v>
      </c>
      <c r="Q274" s="8">
        <v>303020.0</v>
      </c>
      <c r="R274" s="3" t="s">
        <v>93</v>
      </c>
      <c r="S274" s="7">
        <v>39418.0</v>
      </c>
      <c r="T274" s="3" t="s">
        <v>63</v>
      </c>
      <c r="U274" s="6" t="s">
        <v>288</v>
      </c>
      <c r="V274" s="3" t="s">
        <v>4</v>
      </c>
      <c r="W274" s="3" t="s">
        <v>102</v>
      </c>
    </row>
    <row r="275" ht="15.75" customHeight="1">
      <c r="A275" s="6" t="s">
        <v>944</v>
      </c>
      <c r="B275" s="3" t="s">
        <v>4960</v>
      </c>
      <c r="C275" s="7">
        <v>26506.0</v>
      </c>
      <c r="D275" s="3" t="s">
        <v>63</v>
      </c>
      <c r="E275" s="3">
        <v>54.0</v>
      </c>
      <c r="F275" s="3" t="s">
        <v>183</v>
      </c>
      <c r="G275" s="6" t="s">
        <v>4962</v>
      </c>
      <c r="H275" s="3" t="s">
        <v>4963</v>
      </c>
      <c r="I275" s="3" t="s">
        <v>4964</v>
      </c>
      <c r="J275" s="3" t="s">
        <v>134</v>
      </c>
      <c r="K275" s="3" t="s">
        <v>137</v>
      </c>
      <c r="L275" s="6" t="s">
        <v>1545</v>
      </c>
      <c r="M275" s="3" t="s">
        <v>63</v>
      </c>
      <c r="N275" s="6" t="s">
        <v>1546</v>
      </c>
      <c r="O275" s="3" t="s">
        <v>63</v>
      </c>
      <c r="P275" s="3" t="s">
        <v>127</v>
      </c>
      <c r="Q275" s="8">
        <v>562903.0</v>
      </c>
      <c r="R275" s="3" t="s">
        <v>93</v>
      </c>
      <c r="S275" s="7">
        <v>42659.0</v>
      </c>
      <c r="T275" s="3" t="s">
        <v>63</v>
      </c>
      <c r="U275" s="6" t="s">
        <v>401</v>
      </c>
      <c r="V275" s="3" t="s">
        <v>4</v>
      </c>
      <c r="W275" s="3" t="s">
        <v>102</v>
      </c>
    </row>
    <row r="276" ht="15.75" customHeight="1">
      <c r="A276" s="6" t="s">
        <v>4970</v>
      </c>
      <c r="B276" s="3" t="s">
        <v>4971</v>
      </c>
      <c r="C276" s="7">
        <v>25356.0</v>
      </c>
      <c r="D276" s="3" t="s">
        <v>63</v>
      </c>
      <c r="E276" s="3">
        <v>57.0</v>
      </c>
      <c r="F276" s="3" t="s">
        <v>70</v>
      </c>
      <c r="G276" s="6" t="s">
        <v>4973</v>
      </c>
      <c r="H276" s="3" t="s">
        <v>4974</v>
      </c>
      <c r="I276" s="3" t="s">
        <v>4975</v>
      </c>
      <c r="J276" s="3" t="s">
        <v>98</v>
      </c>
      <c r="K276" s="3" t="s">
        <v>101</v>
      </c>
      <c r="L276" s="6" t="s">
        <v>4979</v>
      </c>
      <c r="M276" s="3" t="s">
        <v>63</v>
      </c>
      <c r="N276" s="6" t="s">
        <v>4980</v>
      </c>
      <c r="O276" s="3" t="s">
        <v>63</v>
      </c>
      <c r="P276" s="3" t="s">
        <v>90</v>
      </c>
      <c r="Q276" s="3"/>
      <c r="R276" s="3" t="s">
        <v>258</v>
      </c>
      <c r="S276" s="7">
        <v>40992.0</v>
      </c>
      <c r="T276" s="3" t="s">
        <v>63</v>
      </c>
      <c r="U276" s="6" t="s">
        <v>401</v>
      </c>
      <c r="V276" s="3" t="s">
        <v>4</v>
      </c>
      <c r="W276" s="3" t="s">
        <v>102</v>
      </c>
    </row>
    <row r="277" ht="15.75" customHeight="1">
      <c r="A277" s="6" t="s">
        <v>243</v>
      </c>
      <c r="B277" s="3" t="s">
        <v>4982</v>
      </c>
      <c r="C277" s="7">
        <v>31872.0</v>
      </c>
      <c r="D277" s="3" t="s">
        <v>63</v>
      </c>
      <c r="E277" s="3">
        <v>39.0</v>
      </c>
      <c r="F277" s="3" t="s">
        <v>183</v>
      </c>
      <c r="G277" s="6" t="s">
        <v>4985</v>
      </c>
      <c r="H277" s="3" t="s">
        <v>4986</v>
      </c>
      <c r="I277" s="3" t="s">
        <v>4987</v>
      </c>
      <c r="J277" s="3" t="s">
        <v>251</v>
      </c>
      <c r="K277" s="3" t="s">
        <v>251</v>
      </c>
      <c r="L277" s="6" t="s">
        <v>246</v>
      </c>
      <c r="M277" s="3" t="s">
        <v>63</v>
      </c>
      <c r="N277" s="6" t="s">
        <v>249</v>
      </c>
      <c r="O277" s="3" t="s">
        <v>63</v>
      </c>
      <c r="P277" s="3" t="s">
        <v>90</v>
      </c>
      <c r="Q277" s="3"/>
      <c r="R277" s="3" t="s">
        <v>258</v>
      </c>
      <c r="S277" s="7">
        <v>43646.0</v>
      </c>
      <c r="T277" s="3" t="s">
        <v>63</v>
      </c>
      <c r="U277" s="6" t="s">
        <v>266</v>
      </c>
      <c r="V277" s="3" t="s">
        <v>4</v>
      </c>
      <c r="W277" s="3" t="s">
        <v>102</v>
      </c>
    </row>
    <row r="278" ht="15.75" customHeight="1">
      <c r="A278" s="6" t="s">
        <v>3643</v>
      </c>
      <c r="B278" s="3" t="s">
        <v>4993</v>
      </c>
      <c r="C278" s="7">
        <v>28021.0</v>
      </c>
      <c r="D278" s="3" t="s">
        <v>63</v>
      </c>
      <c r="E278" s="3">
        <v>49.0</v>
      </c>
      <c r="F278" s="3" t="s">
        <v>183</v>
      </c>
      <c r="G278" s="6" t="s">
        <v>4997</v>
      </c>
      <c r="H278" s="3" t="s">
        <v>4998</v>
      </c>
      <c r="I278" s="3" t="s">
        <v>4999</v>
      </c>
      <c r="J278" s="3" t="s">
        <v>337</v>
      </c>
      <c r="K278" s="3" t="s">
        <v>137</v>
      </c>
      <c r="L278" s="6" t="s">
        <v>5002</v>
      </c>
      <c r="M278" s="3" t="s">
        <v>63</v>
      </c>
      <c r="N278" s="6" t="s">
        <v>5004</v>
      </c>
      <c r="O278" s="3" t="s">
        <v>63</v>
      </c>
      <c r="P278" s="3" t="s">
        <v>160</v>
      </c>
      <c r="Q278" s="8">
        <v>1144633.0</v>
      </c>
      <c r="R278" s="3" t="s">
        <v>93</v>
      </c>
      <c r="S278" s="7">
        <v>42214.0</v>
      </c>
      <c r="T278" s="3" t="s">
        <v>63</v>
      </c>
      <c r="U278" s="6" t="s">
        <v>208</v>
      </c>
      <c r="V278" s="3" t="s">
        <v>4</v>
      </c>
      <c r="W278" s="3" t="s">
        <v>102</v>
      </c>
    </row>
    <row r="279" ht="15.75" customHeight="1">
      <c r="A279" s="6" t="s">
        <v>2009</v>
      </c>
      <c r="B279" s="3" t="s">
        <v>5008</v>
      </c>
      <c r="C279" s="7">
        <v>31519.0</v>
      </c>
      <c r="D279" s="3" t="s">
        <v>63</v>
      </c>
      <c r="E279" s="3">
        <v>40.0</v>
      </c>
      <c r="F279" s="3" t="s">
        <v>70</v>
      </c>
      <c r="G279" s="6" t="s">
        <v>5011</v>
      </c>
      <c r="H279" s="3" t="s">
        <v>5012</v>
      </c>
      <c r="I279" s="3" t="s">
        <v>5014</v>
      </c>
      <c r="J279" s="3" t="s">
        <v>227</v>
      </c>
      <c r="K279" s="3" t="s">
        <v>229</v>
      </c>
      <c r="L279" s="6" t="s">
        <v>5017</v>
      </c>
      <c r="M279" s="3" t="s">
        <v>63</v>
      </c>
      <c r="N279" s="6" t="s">
        <v>5018</v>
      </c>
      <c r="O279" s="3" t="s">
        <v>63</v>
      </c>
      <c r="P279" s="3" t="s">
        <v>160</v>
      </c>
      <c r="Q279" s="3"/>
      <c r="R279" s="3" t="s">
        <v>258</v>
      </c>
      <c r="S279" s="7">
        <v>43069.0</v>
      </c>
      <c r="T279" s="3" t="s">
        <v>63</v>
      </c>
      <c r="U279" s="6" t="s">
        <v>208</v>
      </c>
      <c r="V279" s="3" t="s">
        <v>4</v>
      </c>
      <c r="W279" s="3" t="s">
        <v>102</v>
      </c>
    </row>
    <row r="280" ht="15.75" customHeight="1">
      <c r="A280" s="6" t="s">
        <v>3716</v>
      </c>
      <c r="B280" s="3" t="s">
        <v>5023</v>
      </c>
      <c r="C280" s="7">
        <v>27301.0</v>
      </c>
      <c r="D280" s="3" t="s">
        <v>63</v>
      </c>
      <c r="E280" s="3">
        <v>51.0</v>
      </c>
      <c r="F280" s="3" t="s">
        <v>70</v>
      </c>
      <c r="G280" s="6" t="s">
        <v>5025</v>
      </c>
      <c r="H280" s="3" t="s">
        <v>5026</v>
      </c>
      <c r="I280" s="3" t="s">
        <v>5028</v>
      </c>
      <c r="J280" s="3" t="s">
        <v>250</v>
      </c>
      <c r="K280" s="3" t="s">
        <v>252</v>
      </c>
      <c r="L280" s="6" t="s">
        <v>3717</v>
      </c>
      <c r="M280" s="3" t="s">
        <v>63</v>
      </c>
      <c r="N280" s="6" t="s">
        <v>3719</v>
      </c>
      <c r="O280" s="3" t="s">
        <v>63</v>
      </c>
      <c r="P280" s="3" t="s">
        <v>127</v>
      </c>
      <c r="Q280" s="3"/>
      <c r="R280" s="3" t="s">
        <v>258</v>
      </c>
      <c r="S280" s="7">
        <v>41670.0</v>
      </c>
      <c r="T280" s="3" t="s">
        <v>63</v>
      </c>
      <c r="U280" s="6" t="s">
        <v>146</v>
      </c>
      <c r="V280" s="3" t="s">
        <v>4</v>
      </c>
      <c r="W280" s="3" t="s">
        <v>102</v>
      </c>
    </row>
    <row r="281" ht="15.75" customHeight="1">
      <c r="A281" s="6" t="s">
        <v>5034</v>
      </c>
      <c r="B281" s="3" t="s">
        <v>4778</v>
      </c>
      <c r="C281" s="7">
        <v>29907.0</v>
      </c>
      <c r="D281" s="3" t="s">
        <v>63</v>
      </c>
      <c r="E281" s="3">
        <v>44.0</v>
      </c>
      <c r="F281" s="3" t="s">
        <v>70</v>
      </c>
      <c r="G281" s="6" t="s">
        <v>5035</v>
      </c>
      <c r="H281" s="3" t="s">
        <v>4781</v>
      </c>
      <c r="I281" s="3" t="s">
        <v>4783</v>
      </c>
      <c r="J281" s="3" t="s">
        <v>98</v>
      </c>
      <c r="K281" s="3" t="s">
        <v>101</v>
      </c>
      <c r="L281" s="6" t="s">
        <v>3917</v>
      </c>
      <c r="M281" s="3" t="s">
        <v>63</v>
      </c>
      <c r="N281" s="6" t="s">
        <v>3918</v>
      </c>
      <c r="O281" s="3" t="s">
        <v>63</v>
      </c>
      <c r="P281" s="3" t="s">
        <v>324</v>
      </c>
      <c r="Q281" s="3"/>
      <c r="R281" s="3" t="s">
        <v>258</v>
      </c>
      <c r="S281" s="7">
        <v>45732.0</v>
      </c>
      <c r="T281" s="3" t="s">
        <v>63</v>
      </c>
      <c r="U281" s="6" t="s">
        <v>163</v>
      </c>
      <c r="V281" s="3" t="s">
        <v>237</v>
      </c>
      <c r="W281" s="3" t="s">
        <v>378</v>
      </c>
    </row>
    <row r="282" ht="15.75" customHeight="1">
      <c r="A282" s="6" t="s">
        <v>2918</v>
      </c>
      <c r="B282" s="3" t="s">
        <v>5043</v>
      </c>
      <c r="C282" s="7">
        <v>24902.0</v>
      </c>
      <c r="D282" s="3" t="s">
        <v>63</v>
      </c>
      <c r="E282" s="3">
        <v>58.0</v>
      </c>
      <c r="F282" s="3" t="s">
        <v>183</v>
      </c>
      <c r="G282" s="6" t="s">
        <v>5046</v>
      </c>
      <c r="H282" s="3" t="s">
        <v>5047</v>
      </c>
      <c r="I282" s="3" t="s">
        <v>5048</v>
      </c>
      <c r="J282" s="3" t="s">
        <v>190</v>
      </c>
      <c r="K282" s="3" t="s">
        <v>193</v>
      </c>
      <c r="L282" s="6" t="s">
        <v>2919</v>
      </c>
      <c r="M282" s="3" t="s">
        <v>63</v>
      </c>
      <c r="N282" s="6" t="s">
        <v>2921</v>
      </c>
      <c r="O282" s="3" t="s">
        <v>63</v>
      </c>
      <c r="P282" s="3" t="s">
        <v>396</v>
      </c>
      <c r="Q282" s="8">
        <v>1130787.0</v>
      </c>
      <c r="R282" s="3" t="s">
        <v>93</v>
      </c>
      <c r="S282" s="7">
        <v>40804.0</v>
      </c>
      <c r="T282" s="3" t="s">
        <v>63</v>
      </c>
      <c r="U282" s="6" t="s">
        <v>333</v>
      </c>
      <c r="V282" s="3" t="s">
        <v>4</v>
      </c>
      <c r="W282" s="3" t="s">
        <v>102</v>
      </c>
    </row>
    <row r="283" ht="15.75" customHeight="1">
      <c r="A283" s="6" t="s">
        <v>4278</v>
      </c>
      <c r="B283" s="3" t="s">
        <v>5053</v>
      </c>
      <c r="C283" s="7">
        <v>21771.0</v>
      </c>
      <c r="D283" s="3" t="s">
        <v>63</v>
      </c>
      <c r="E283" s="3">
        <v>66.0</v>
      </c>
      <c r="F283" s="3" t="s">
        <v>183</v>
      </c>
      <c r="G283" s="6" t="s">
        <v>5054</v>
      </c>
      <c r="H283" s="3" t="s">
        <v>5056</v>
      </c>
      <c r="I283" s="3" t="s">
        <v>5058</v>
      </c>
      <c r="J283" s="3" t="s">
        <v>167</v>
      </c>
      <c r="K283" s="3" t="s">
        <v>169</v>
      </c>
      <c r="L283" s="6" t="s">
        <v>4279</v>
      </c>
      <c r="M283" s="3" t="s">
        <v>63</v>
      </c>
      <c r="N283" s="6" t="s">
        <v>4281</v>
      </c>
      <c r="O283" s="3" t="s">
        <v>63</v>
      </c>
      <c r="P283" s="3" t="s">
        <v>127</v>
      </c>
      <c r="Q283" s="8">
        <v>540599.0</v>
      </c>
      <c r="R283" s="3" t="s">
        <v>93</v>
      </c>
      <c r="S283" s="7">
        <v>40997.0</v>
      </c>
      <c r="T283" s="3" t="s">
        <v>63</v>
      </c>
      <c r="U283" s="6" t="s">
        <v>262</v>
      </c>
      <c r="V283" s="3" t="s">
        <v>4</v>
      </c>
      <c r="W283" s="3" t="s">
        <v>102</v>
      </c>
    </row>
    <row r="284" ht="15.75" customHeight="1">
      <c r="A284" s="6" t="s">
        <v>3889</v>
      </c>
      <c r="B284" s="3" t="s">
        <v>5064</v>
      </c>
      <c r="C284" s="7">
        <v>24683.0</v>
      </c>
      <c r="D284" s="3" t="s">
        <v>63</v>
      </c>
      <c r="E284" s="3">
        <v>59.0</v>
      </c>
      <c r="F284" s="3" t="s">
        <v>183</v>
      </c>
      <c r="G284" s="6" t="s">
        <v>5067</v>
      </c>
      <c r="H284" s="3" t="s">
        <v>5069</v>
      </c>
      <c r="I284" s="3" t="s">
        <v>5070</v>
      </c>
      <c r="J284" s="3" t="s">
        <v>43</v>
      </c>
      <c r="K284" s="3" t="s">
        <v>45</v>
      </c>
      <c r="L284" s="6" t="s">
        <v>3891</v>
      </c>
      <c r="M284" s="3" t="s">
        <v>620</v>
      </c>
      <c r="N284" s="6" t="s">
        <v>3893</v>
      </c>
      <c r="O284" s="3" t="s">
        <v>63</v>
      </c>
      <c r="P284" s="3" t="s">
        <v>90</v>
      </c>
      <c r="Q284" s="3"/>
      <c r="R284" s="3" t="s">
        <v>258</v>
      </c>
      <c r="S284" s="7">
        <v>42841.0</v>
      </c>
      <c r="T284" s="3" t="s">
        <v>63</v>
      </c>
      <c r="U284" s="6" t="s">
        <v>179</v>
      </c>
      <c r="V284" s="3" t="s">
        <v>4</v>
      </c>
      <c r="W284" s="3" t="s">
        <v>102</v>
      </c>
    </row>
    <row r="285" ht="15.75" customHeight="1">
      <c r="A285" s="6" t="s">
        <v>5076</v>
      </c>
      <c r="B285" s="3" t="s">
        <v>5078</v>
      </c>
      <c r="C285" s="7">
        <v>32033.0</v>
      </c>
      <c r="D285" s="3" t="s">
        <v>63</v>
      </c>
      <c r="E285" s="3">
        <v>38.0</v>
      </c>
      <c r="F285" s="3" t="s">
        <v>70</v>
      </c>
      <c r="G285" s="6" t="s">
        <v>5081</v>
      </c>
      <c r="H285" s="3" t="s">
        <v>5082</v>
      </c>
      <c r="I285" s="3" t="s">
        <v>5084</v>
      </c>
      <c r="J285" s="3" t="s">
        <v>225</v>
      </c>
      <c r="K285" s="3" t="s">
        <v>101</v>
      </c>
      <c r="L285" s="6" t="s">
        <v>5086</v>
      </c>
      <c r="M285" s="3" t="s">
        <v>63</v>
      </c>
      <c r="N285" s="3"/>
      <c r="O285" s="3" t="s">
        <v>88</v>
      </c>
      <c r="P285" s="3" t="s">
        <v>324</v>
      </c>
      <c r="Q285" s="3"/>
      <c r="R285" s="3" t="s">
        <v>258</v>
      </c>
      <c r="S285" s="7">
        <v>44119.0</v>
      </c>
      <c r="T285" s="3" t="s">
        <v>63</v>
      </c>
      <c r="U285" s="6" t="s">
        <v>311</v>
      </c>
      <c r="V285" s="3" t="s">
        <v>4</v>
      </c>
      <c r="W285" s="3" t="s">
        <v>102</v>
      </c>
    </row>
    <row r="286" ht="15.75" customHeight="1">
      <c r="A286" s="6" t="s">
        <v>5088</v>
      </c>
      <c r="B286" s="3" t="s">
        <v>5089</v>
      </c>
      <c r="C286" s="7">
        <v>27430.0</v>
      </c>
      <c r="D286" s="3" t="s">
        <v>63</v>
      </c>
      <c r="E286" s="3">
        <v>51.0</v>
      </c>
      <c r="F286" s="3" t="s">
        <v>183</v>
      </c>
      <c r="G286" s="6" t="s">
        <v>5091</v>
      </c>
      <c r="H286" s="3" t="s">
        <v>5092</v>
      </c>
      <c r="I286" s="3" t="s">
        <v>5093</v>
      </c>
      <c r="J286" s="3" t="s">
        <v>349</v>
      </c>
      <c r="K286" s="3" t="s">
        <v>45</v>
      </c>
      <c r="L286" s="3"/>
      <c r="M286" s="3" t="s">
        <v>88</v>
      </c>
      <c r="N286" s="6" t="s">
        <v>5096</v>
      </c>
      <c r="O286" s="3" t="s">
        <v>63</v>
      </c>
      <c r="P286" s="3" t="s">
        <v>202</v>
      </c>
      <c r="Q286" s="8">
        <v>2205644.0</v>
      </c>
      <c r="R286" s="3" t="s">
        <v>93</v>
      </c>
      <c r="S286" s="7">
        <v>40990.0</v>
      </c>
      <c r="T286" s="3" t="s">
        <v>63</v>
      </c>
      <c r="U286" s="6" t="s">
        <v>163</v>
      </c>
      <c r="V286" s="3" t="s">
        <v>237</v>
      </c>
      <c r="W286" s="3" t="s">
        <v>378</v>
      </c>
    </row>
    <row r="287" ht="15.75" customHeight="1">
      <c r="A287" s="6" t="s">
        <v>5101</v>
      </c>
      <c r="B287" s="3" t="s">
        <v>5103</v>
      </c>
      <c r="C287" s="7">
        <v>23978.0</v>
      </c>
      <c r="D287" s="3" t="s">
        <v>63</v>
      </c>
      <c r="E287" s="3">
        <v>60.0</v>
      </c>
      <c r="F287" s="3" t="s">
        <v>183</v>
      </c>
      <c r="G287" s="6" t="s">
        <v>5104</v>
      </c>
      <c r="H287" s="3" t="s">
        <v>5106</v>
      </c>
      <c r="I287" s="3" t="s">
        <v>5108</v>
      </c>
      <c r="J287" s="3" t="s">
        <v>190</v>
      </c>
      <c r="K287" s="3" t="s">
        <v>193</v>
      </c>
      <c r="L287" s="6" t="s">
        <v>5110</v>
      </c>
      <c r="M287" s="3" t="s">
        <v>63</v>
      </c>
      <c r="N287" s="6" t="s">
        <v>5112</v>
      </c>
      <c r="O287" s="3" t="s">
        <v>63</v>
      </c>
      <c r="P287" s="3" t="s">
        <v>90</v>
      </c>
      <c r="Q287" s="3"/>
      <c r="R287" s="3" t="s">
        <v>258</v>
      </c>
      <c r="S287" s="7">
        <v>39415.0</v>
      </c>
      <c r="T287" s="3" t="s">
        <v>63</v>
      </c>
      <c r="U287" s="6" t="s">
        <v>397</v>
      </c>
      <c r="V287" s="3" t="s">
        <v>237</v>
      </c>
      <c r="W287" s="3" t="s">
        <v>102</v>
      </c>
    </row>
    <row r="288" ht="15.75" customHeight="1">
      <c r="A288" s="6" t="s">
        <v>994</v>
      </c>
      <c r="B288" s="3" t="s">
        <v>5116</v>
      </c>
      <c r="C288" s="7">
        <v>28269.0</v>
      </c>
      <c r="D288" s="3" t="s">
        <v>63</v>
      </c>
      <c r="E288" s="3">
        <v>49.0</v>
      </c>
      <c r="F288" s="3" t="s">
        <v>183</v>
      </c>
      <c r="G288" s="6" t="s">
        <v>5118</v>
      </c>
      <c r="H288" s="3" t="s">
        <v>5119</v>
      </c>
      <c r="I288" s="3" t="s">
        <v>5120</v>
      </c>
      <c r="J288" s="3" t="s">
        <v>65</v>
      </c>
      <c r="K288" s="3" t="s">
        <v>67</v>
      </c>
      <c r="L288" s="6" t="s">
        <v>3561</v>
      </c>
      <c r="M288" s="3" t="s">
        <v>63</v>
      </c>
      <c r="N288" s="6" t="s">
        <v>3562</v>
      </c>
      <c r="O288" s="3" t="s">
        <v>63</v>
      </c>
      <c r="P288" s="3" t="s">
        <v>90</v>
      </c>
      <c r="Q288" s="8">
        <v>1362410.0</v>
      </c>
      <c r="R288" s="3" t="s">
        <v>93</v>
      </c>
      <c r="S288" s="7">
        <v>44576.0</v>
      </c>
      <c r="T288" s="3" t="s">
        <v>63</v>
      </c>
      <c r="U288" s="6" t="s">
        <v>97</v>
      </c>
      <c r="V288" s="3" t="s">
        <v>4</v>
      </c>
      <c r="W288" s="3" t="s">
        <v>102</v>
      </c>
    </row>
    <row r="289" ht="15.75" customHeight="1">
      <c r="A289" s="6" t="s">
        <v>4612</v>
      </c>
      <c r="B289" s="3" t="s">
        <v>5127</v>
      </c>
      <c r="C289" s="7">
        <v>26198.0</v>
      </c>
      <c r="D289" s="3" t="s">
        <v>63</v>
      </c>
      <c r="E289" s="3">
        <v>54.0</v>
      </c>
      <c r="F289" s="3" t="s">
        <v>70</v>
      </c>
      <c r="G289" s="6" t="s">
        <v>5129</v>
      </c>
      <c r="H289" s="3" t="s">
        <v>5130</v>
      </c>
      <c r="I289" s="3" t="s">
        <v>5131</v>
      </c>
      <c r="J289" s="3" t="s">
        <v>134</v>
      </c>
      <c r="K289" s="3" t="s">
        <v>137</v>
      </c>
      <c r="L289" s="6" t="s">
        <v>4616</v>
      </c>
      <c r="M289" s="3" t="s">
        <v>63</v>
      </c>
      <c r="N289" s="6" t="s">
        <v>4619</v>
      </c>
      <c r="O289" s="3" t="s">
        <v>63</v>
      </c>
      <c r="P289" s="3" t="s">
        <v>160</v>
      </c>
      <c r="Q289" s="3"/>
      <c r="R289" s="3" t="s">
        <v>258</v>
      </c>
      <c r="S289" s="7">
        <v>40444.0</v>
      </c>
      <c r="T289" s="3" t="s">
        <v>63</v>
      </c>
      <c r="U289" s="6" t="s">
        <v>80</v>
      </c>
      <c r="V289" s="3" t="s">
        <v>4</v>
      </c>
      <c r="W289" s="3" t="s">
        <v>102</v>
      </c>
    </row>
    <row r="290" ht="15.75" customHeight="1">
      <c r="A290" s="6" t="s">
        <v>2326</v>
      </c>
      <c r="B290" s="3" t="s">
        <v>5135</v>
      </c>
      <c r="C290" s="7">
        <v>25993.0</v>
      </c>
      <c r="D290" s="3" t="s">
        <v>63</v>
      </c>
      <c r="E290" s="3">
        <v>55.0</v>
      </c>
      <c r="F290" s="3" t="s">
        <v>70</v>
      </c>
      <c r="G290" s="6" t="s">
        <v>5138</v>
      </c>
      <c r="H290" s="3" t="s">
        <v>5140</v>
      </c>
      <c r="I290" s="3" t="s">
        <v>5141</v>
      </c>
      <c r="J290" s="3" t="s">
        <v>358</v>
      </c>
      <c r="K290" s="3" t="s">
        <v>360</v>
      </c>
      <c r="L290" s="6" t="s">
        <v>2328</v>
      </c>
      <c r="M290" s="3" t="s">
        <v>63</v>
      </c>
      <c r="N290" s="6" t="s">
        <v>2331</v>
      </c>
      <c r="O290" s="3" t="s">
        <v>63</v>
      </c>
      <c r="P290" s="3" t="s">
        <v>127</v>
      </c>
      <c r="Q290" s="3"/>
      <c r="R290" s="3" t="s">
        <v>258</v>
      </c>
      <c r="S290" s="7">
        <v>43560.0</v>
      </c>
      <c r="T290" s="3" t="s">
        <v>63</v>
      </c>
      <c r="U290" s="6" t="s">
        <v>109</v>
      </c>
      <c r="V290" s="3" t="s">
        <v>4</v>
      </c>
      <c r="W290" s="3" t="s">
        <v>102</v>
      </c>
    </row>
    <row r="291" ht="15.75" customHeight="1">
      <c r="A291" s="6" t="s">
        <v>3071</v>
      </c>
      <c r="B291" s="3" t="s">
        <v>5152</v>
      </c>
      <c r="C291" s="7">
        <v>21467.0</v>
      </c>
      <c r="D291" s="3" t="s">
        <v>63</v>
      </c>
      <c r="E291" s="3">
        <v>67.0</v>
      </c>
      <c r="F291" s="3" t="s">
        <v>70</v>
      </c>
      <c r="G291" s="6" t="s">
        <v>5153</v>
      </c>
      <c r="H291" s="3" t="s">
        <v>5155</v>
      </c>
      <c r="I291" s="3" t="s">
        <v>5156</v>
      </c>
      <c r="J291" s="3" t="s">
        <v>282</v>
      </c>
      <c r="K291" s="3" t="s">
        <v>229</v>
      </c>
      <c r="L291" s="6" t="s">
        <v>3072</v>
      </c>
      <c r="M291" s="3" t="s">
        <v>63</v>
      </c>
      <c r="N291" s="6" t="s">
        <v>3073</v>
      </c>
      <c r="O291" s="3" t="s">
        <v>63</v>
      </c>
      <c r="P291" s="3" t="s">
        <v>160</v>
      </c>
      <c r="Q291" s="3"/>
      <c r="R291" s="3" t="s">
        <v>258</v>
      </c>
      <c r="S291" s="7">
        <v>44278.0</v>
      </c>
      <c r="T291" s="3" t="s">
        <v>63</v>
      </c>
      <c r="U291" s="6" t="s">
        <v>266</v>
      </c>
      <c r="V291" s="3" t="s">
        <v>4</v>
      </c>
      <c r="W291" s="3" t="s">
        <v>102</v>
      </c>
    </row>
    <row r="292" ht="15.75" customHeight="1">
      <c r="A292" s="6" t="s">
        <v>590</v>
      </c>
      <c r="B292" s="3" t="s">
        <v>5163</v>
      </c>
      <c r="C292" s="7">
        <v>33353.0</v>
      </c>
      <c r="D292" s="3" t="s">
        <v>63</v>
      </c>
      <c r="E292" s="3">
        <v>35.0</v>
      </c>
      <c r="F292" s="3" t="s">
        <v>70</v>
      </c>
      <c r="G292" s="6" t="s">
        <v>5167</v>
      </c>
      <c r="H292" s="3" t="s">
        <v>5168</v>
      </c>
      <c r="I292" s="3" t="s">
        <v>5169</v>
      </c>
      <c r="J292" s="3" t="s">
        <v>327</v>
      </c>
      <c r="K292" s="3" t="s">
        <v>169</v>
      </c>
      <c r="L292" s="6" t="s">
        <v>591</v>
      </c>
      <c r="M292" s="3" t="s">
        <v>63</v>
      </c>
      <c r="N292" s="6" t="s">
        <v>592</v>
      </c>
      <c r="O292" s="3" t="s">
        <v>63</v>
      </c>
      <c r="P292" s="3" t="s">
        <v>300</v>
      </c>
      <c r="Q292" s="8">
        <v>1722995.0</v>
      </c>
      <c r="R292" s="3" t="s">
        <v>93</v>
      </c>
      <c r="S292" s="7">
        <v>44625.0</v>
      </c>
      <c r="T292" s="3" t="s">
        <v>63</v>
      </c>
      <c r="U292" s="6" t="s">
        <v>234</v>
      </c>
      <c r="V292" s="3" t="s">
        <v>4</v>
      </c>
      <c r="W292" s="3" t="s">
        <v>102</v>
      </c>
    </row>
    <row r="293" ht="15.75" customHeight="1">
      <c r="A293" s="6" t="s">
        <v>5174</v>
      </c>
      <c r="B293" s="3" t="s">
        <v>5176</v>
      </c>
      <c r="C293" s="7">
        <v>33274.0</v>
      </c>
      <c r="D293" s="3" t="s">
        <v>63</v>
      </c>
      <c r="E293" s="3">
        <v>35.0</v>
      </c>
      <c r="F293" s="3" t="s">
        <v>183</v>
      </c>
      <c r="G293" s="6" t="s">
        <v>5178</v>
      </c>
      <c r="H293" s="3" t="s">
        <v>5180</v>
      </c>
      <c r="I293" s="3" t="s">
        <v>5182</v>
      </c>
      <c r="J293" s="3" t="s">
        <v>153</v>
      </c>
      <c r="K293" s="3" t="s">
        <v>67</v>
      </c>
      <c r="L293" s="6" t="s">
        <v>5184</v>
      </c>
      <c r="M293" s="3" t="s">
        <v>63</v>
      </c>
      <c r="N293" s="6" t="s">
        <v>5185</v>
      </c>
      <c r="O293" s="3" t="s">
        <v>63</v>
      </c>
      <c r="P293" s="3" t="s">
        <v>396</v>
      </c>
      <c r="Q293" s="3"/>
      <c r="R293" s="3" t="s">
        <v>258</v>
      </c>
      <c r="S293" s="7">
        <v>45528.0</v>
      </c>
      <c r="T293" s="3" t="s">
        <v>63</v>
      </c>
      <c r="U293" s="6" t="s">
        <v>80</v>
      </c>
      <c r="V293" s="3" t="s">
        <v>4</v>
      </c>
      <c r="W293" s="3" t="s">
        <v>102</v>
      </c>
    </row>
    <row r="294" ht="15.75" customHeight="1">
      <c r="A294" s="6" t="s">
        <v>4671</v>
      </c>
      <c r="B294" s="3" t="s">
        <v>424</v>
      </c>
      <c r="C294" s="7">
        <v>36201.0</v>
      </c>
      <c r="D294" s="3" t="s">
        <v>63</v>
      </c>
      <c r="E294" s="3">
        <v>27.0</v>
      </c>
      <c r="F294" s="3" t="s">
        <v>183</v>
      </c>
      <c r="G294" s="6" t="s">
        <v>5189</v>
      </c>
      <c r="H294" s="3" t="s">
        <v>430</v>
      </c>
      <c r="I294" s="3" t="s">
        <v>431</v>
      </c>
      <c r="J294" s="3" t="s">
        <v>358</v>
      </c>
      <c r="K294" s="3" t="s">
        <v>360</v>
      </c>
      <c r="L294" s="6" t="s">
        <v>432</v>
      </c>
      <c r="M294" s="3" t="s">
        <v>63</v>
      </c>
      <c r="N294" s="6" t="s">
        <v>433</v>
      </c>
      <c r="O294" s="3" t="s">
        <v>63</v>
      </c>
      <c r="P294" s="3" t="s">
        <v>202</v>
      </c>
      <c r="Q294" s="3"/>
      <c r="R294" s="3" t="s">
        <v>258</v>
      </c>
      <c r="S294" s="7">
        <v>38541.0</v>
      </c>
      <c r="T294" s="3" t="s">
        <v>63</v>
      </c>
      <c r="U294" s="6" t="s">
        <v>323</v>
      </c>
      <c r="V294" s="3" t="s">
        <v>4</v>
      </c>
      <c r="W294" s="3" t="s">
        <v>378</v>
      </c>
    </row>
    <row r="295" ht="15.75" customHeight="1">
      <c r="A295" s="6" t="s">
        <v>3658</v>
      </c>
      <c r="B295" s="3" t="s">
        <v>5196</v>
      </c>
      <c r="C295" s="7">
        <v>35156.0</v>
      </c>
      <c r="D295" s="3" t="s">
        <v>63</v>
      </c>
      <c r="E295" s="3">
        <v>30.0</v>
      </c>
      <c r="F295" s="3" t="s">
        <v>183</v>
      </c>
      <c r="G295" s="6" t="s">
        <v>5197</v>
      </c>
      <c r="H295" s="3" t="s">
        <v>5199</v>
      </c>
      <c r="I295" s="3" t="s">
        <v>5200</v>
      </c>
      <c r="J295" s="3" t="s">
        <v>43</v>
      </c>
      <c r="K295" s="3" t="s">
        <v>45</v>
      </c>
      <c r="L295" s="6" t="s">
        <v>3660</v>
      </c>
      <c r="M295" s="3" t="s">
        <v>63</v>
      </c>
      <c r="N295" s="6" t="s">
        <v>3662</v>
      </c>
      <c r="O295" s="3" t="s">
        <v>63</v>
      </c>
      <c r="P295" s="3" t="s">
        <v>300</v>
      </c>
      <c r="Q295" s="3"/>
      <c r="R295" s="3" t="s">
        <v>258</v>
      </c>
      <c r="S295" s="7">
        <v>45609.0</v>
      </c>
      <c r="T295" s="3" t="s">
        <v>63</v>
      </c>
      <c r="U295" s="6" t="s">
        <v>208</v>
      </c>
      <c r="V295" s="3" t="s">
        <v>237</v>
      </c>
      <c r="W295" s="3" t="s">
        <v>102</v>
      </c>
    </row>
    <row r="296" ht="15.75" customHeight="1">
      <c r="A296" s="6" t="s">
        <v>702</v>
      </c>
      <c r="B296" s="3" t="s">
        <v>5204</v>
      </c>
      <c r="C296" s="7">
        <v>27112.0</v>
      </c>
      <c r="D296" s="3" t="s">
        <v>63</v>
      </c>
      <c r="E296" s="3">
        <v>52.0</v>
      </c>
      <c r="F296" s="3" t="s">
        <v>70</v>
      </c>
      <c r="G296" s="6" t="s">
        <v>5209</v>
      </c>
      <c r="H296" s="3" t="s">
        <v>5210</v>
      </c>
      <c r="I296" s="3" t="s">
        <v>5212</v>
      </c>
      <c r="J296" s="3" t="s">
        <v>271</v>
      </c>
      <c r="K296" s="3" t="s">
        <v>273</v>
      </c>
      <c r="L296" s="6" t="s">
        <v>5213</v>
      </c>
      <c r="M296" s="3" t="s">
        <v>63</v>
      </c>
      <c r="N296" s="6" t="s">
        <v>5214</v>
      </c>
      <c r="O296" s="3" t="s">
        <v>63</v>
      </c>
      <c r="P296" s="3" t="s">
        <v>372</v>
      </c>
      <c r="Q296" s="3"/>
      <c r="R296" s="3" t="s">
        <v>258</v>
      </c>
      <c r="S296" s="7">
        <v>43722.0</v>
      </c>
      <c r="T296" s="3" t="s">
        <v>63</v>
      </c>
      <c r="U296" s="6" t="s">
        <v>197</v>
      </c>
      <c r="V296" s="3" t="s">
        <v>237</v>
      </c>
      <c r="W296" s="3" t="s">
        <v>102</v>
      </c>
    </row>
    <row r="297" ht="15.75" customHeight="1">
      <c r="A297" s="6" t="s">
        <v>644</v>
      </c>
      <c r="B297" s="3" t="s">
        <v>5220</v>
      </c>
      <c r="C297" s="7">
        <v>30846.0</v>
      </c>
      <c r="D297" s="3" t="s">
        <v>63</v>
      </c>
      <c r="E297" s="3">
        <v>42.0</v>
      </c>
      <c r="F297" s="3" t="s">
        <v>183</v>
      </c>
      <c r="G297" s="6" t="s">
        <v>5221</v>
      </c>
      <c r="H297" s="3" t="s">
        <v>5222</v>
      </c>
      <c r="I297" s="3" t="s">
        <v>5223</v>
      </c>
      <c r="J297" s="3" t="s">
        <v>227</v>
      </c>
      <c r="K297" s="3" t="s">
        <v>229</v>
      </c>
      <c r="L297" s="6" t="s">
        <v>646</v>
      </c>
      <c r="M297" s="3" t="s">
        <v>620</v>
      </c>
      <c r="N297" s="6" t="s">
        <v>647</v>
      </c>
      <c r="O297" s="3" t="s">
        <v>63</v>
      </c>
      <c r="P297" s="3" t="s">
        <v>396</v>
      </c>
      <c r="Q297" s="8">
        <v>2494816.0</v>
      </c>
      <c r="R297" s="3" t="s">
        <v>93</v>
      </c>
      <c r="S297" s="7">
        <v>45533.0</v>
      </c>
      <c r="T297" s="3" t="s">
        <v>63</v>
      </c>
      <c r="U297" s="6" t="s">
        <v>277</v>
      </c>
      <c r="V297" s="3" t="s">
        <v>4</v>
      </c>
      <c r="W297" s="3" t="s">
        <v>102</v>
      </c>
    </row>
    <row r="298" ht="15.75" customHeight="1">
      <c r="A298" s="6" t="s">
        <v>3438</v>
      </c>
      <c r="B298" s="3" t="s">
        <v>5231</v>
      </c>
      <c r="C298" s="7">
        <v>30026.0</v>
      </c>
      <c r="D298" s="3" t="s">
        <v>63</v>
      </c>
      <c r="E298" s="3">
        <v>44.0</v>
      </c>
      <c r="F298" s="3" t="s">
        <v>183</v>
      </c>
      <c r="G298" s="6" t="s">
        <v>5234</v>
      </c>
      <c r="H298" s="3" t="s">
        <v>5236</v>
      </c>
      <c r="I298" s="3" t="s">
        <v>5238</v>
      </c>
      <c r="J298" s="3" t="s">
        <v>153</v>
      </c>
      <c r="K298" s="3" t="s">
        <v>67</v>
      </c>
      <c r="L298" s="6" t="s">
        <v>5239</v>
      </c>
      <c r="M298" s="3" t="s">
        <v>63</v>
      </c>
      <c r="N298" s="6" t="s">
        <v>5240</v>
      </c>
      <c r="O298" s="3" t="s">
        <v>63</v>
      </c>
      <c r="P298" s="3" t="s">
        <v>300</v>
      </c>
      <c r="Q298" s="8">
        <v>766123.0</v>
      </c>
      <c r="R298" s="3" t="s">
        <v>93</v>
      </c>
      <c r="S298" s="7">
        <v>45467.0</v>
      </c>
      <c r="T298" s="3" t="s">
        <v>63</v>
      </c>
      <c r="U298" s="6" t="s">
        <v>323</v>
      </c>
      <c r="V298" s="3" t="s">
        <v>4</v>
      </c>
      <c r="W298" s="3" t="s">
        <v>102</v>
      </c>
    </row>
    <row r="299" ht="15.75" customHeight="1">
      <c r="A299" s="6" t="s">
        <v>1352</v>
      </c>
      <c r="B299" s="3" t="s">
        <v>5245</v>
      </c>
      <c r="C299" s="7">
        <v>34574.0</v>
      </c>
      <c r="D299" s="3" t="s">
        <v>63</v>
      </c>
      <c r="E299" s="3">
        <v>31.0</v>
      </c>
      <c r="F299" s="3" t="s">
        <v>183</v>
      </c>
      <c r="G299" s="6" t="s">
        <v>5247</v>
      </c>
      <c r="H299" s="3" t="s">
        <v>5248</v>
      </c>
      <c r="I299" s="3" t="s">
        <v>5249</v>
      </c>
      <c r="J299" s="3" t="s">
        <v>65</v>
      </c>
      <c r="K299" s="3" t="s">
        <v>67</v>
      </c>
      <c r="L299" s="6" t="s">
        <v>5250</v>
      </c>
      <c r="M299" s="3" t="s">
        <v>63</v>
      </c>
      <c r="N299" s="6" t="s">
        <v>5251</v>
      </c>
      <c r="O299" s="3" t="s">
        <v>63</v>
      </c>
      <c r="P299" s="3" t="s">
        <v>464</v>
      </c>
      <c r="Q299" s="3"/>
      <c r="R299" s="3" t="s">
        <v>258</v>
      </c>
      <c r="S299" s="7">
        <v>40255.0</v>
      </c>
      <c r="T299" s="3" t="s">
        <v>63</v>
      </c>
      <c r="U299" s="6" t="s">
        <v>146</v>
      </c>
      <c r="V299" s="3" t="s">
        <v>4</v>
      </c>
      <c r="W299" s="3" t="s">
        <v>102</v>
      </c>
    </row>
    <row r="300" ht="15.75" customHeight="1">
      <c r="A300" s="6" t="s">
        <v>1683</v>
      </c>
      <c r="B300" s="3" t="s">
        <v>2035</v>
      </c>
      <c r="C300" s="7">
        <v>29195.0</v>
      </c>
      <c r="D300" s="3" t="s">
        <v>63</v>
      </c>
      <c r="E300" s="3">
        <v>46.0</v>
      </c>
      <c r="F300" s="3" t="s">
        <v>70</v>
      </c>
      <c r="G300" s="6" t="s">
        <v>5259</v>
      </c>
      <c r="H300" s="3" t="s">
        <v>5260</v>
      </c>
      <c r="I300" s="3" t="s">
        <v>5261</v>
      </c>
      <c r="J300" s="3" t="s">
        <v>167</v>
      </c>
      <c r="K300" s="3" t="s">
        <v>169</v>
      </c>
      <c r="L300" s="6" t="s">
        <v>1685</v>
      </c>
      <c r="M300" s="3" t="s">
        <v>63</v>
      </c>
      <c r="N300" s="6" t="s">
        <v>1687</v>
      </c>
      <c r="O300" s="3" t="s">
        <v>63</v>
      </c>
      <c r="P300" s="3" t="s">
        <v>300</v>
      </c>
      <c r="Q300" s="3"/>
      <c r="R300" s="3" t="s">
        <v>258</v>
      </c>
      <c r="S300" s="7">
        <v>41935.0</v>
      </c>
      <c r="T300" s="3" t="s">
        <v>63</v>
      </c>
      <c r="U300" s="6" t="s">
        <v>323</v>
      </c>
      <c r="V300" s="3" t="s">
        <v>4</v>
      </c>
      <c r="W300" s="3" t="s">
        <v>102</v>
      </c>
    </row>
    <row r="301" ht="15.75" customHeight="1">
      <c r="A301" s="6" t="s">
        <v>2002</v>
      </c>
      <c r="B301" s="3" t="s">
        <v>5267</v>
      </c>
      <c r="C301" s="7">
        <v>24103.0</v>
      </c>
      <c r="D301" s="3" t="s">
        <v>63</v>
      </c>
      <c r="E301" s="3">
        <v>60.0</v>
      </c>
      <c r="F301" s="3" t="s">
        <v>70</v>
      </c>
      <c r="G301" s="6" t="s">
        <v>5269</v>
      </c>
      <c r="H301" s="3" t="s">
        <v>5270</v>
      </c>
      <c r="I301" s="3" t="s">
        <v>5271</v>
      </c>
      <c r="J301" s="3" t="s">
        <v>65</v>
      </c>
      <c r="K301" s="3" t="s">
        <v>67</v>
      </c>
      <c r="L301" s="6" t="s">
        <v>2003</v>
      </c>
      <c r="M301" s="3" t="s">
        <v>63</v>
      </c>
      <c r="N301" s="6" t="s">
        <v>2005</v>
      </c>
      <c r="O301" s="3" t="s">
        <v>63</v>
      </c>
      <c r="P301" s="3" t="s">
        <v>300</v>
      </c>
      <c r="Q301" s="3"/>
      <c r="R301" s="3" t="s">
        <v>258</v>
      </c>
      <c r="S301" s="7">
        <v>39744.0</v>
      </c>
      <c r="T301" s="3" t="s">
        <v>63</v>
      </c>
      <c r="U301" s="6" t="s">
        <v>352</v>
      </c>
      <c r="V301" s="3" t="s">
        <v>4</v>
      </c>
      <c r="W301" s="3" t="s">
        <v>102</v>
      </c>
    </row>
    <row r="302" ht="15.75" customHeight="1">
      <c r="A302" s="6" t="s">
        <v>1785</v>
      </c>
      <c r="B302" s="3" t="s">
        <v>5274</v>
      </c>
      <c r="C302" s="7">
        <v>33259.0</v>
      </c>
      <c r="D302" s="3" t="s">
        <v>63</v>
      </c>
      <c r="E302" s="3">
        <v>35.0</v>
      </c>
      <c r="F302" s="3" t="s">
        <v>183</v>
      </c>
      <c r="G302" s="6" t="s">
        <v>5275</v>
      </c>
      <c r="H302" s="3" t="s">
        <v>5276</v>
      </c>
      <c r="I302" s="3" t="s">
        <v>5278</v>
      </c>
      <c r="J302" s="3" t="s">
        <v>201</v>
      </c>
      <c r="K302" s="3" t="s">
        <v>203</v>
      </c>
      <c r="L302" s="6" t="s">
        <v>2321</v>
      </c>
      <c r="M302" s="3" t="s">
        <v>63</v>
      </c>
      <c r="N302" s="3"/>
      <c r="O302" s="3" t="s">
        <v>88</v>
      </c>
      <c r="P302" s="3" t="s">
        <v>372</v>
      </c>
      <c r="Q302" s="3"/>
      <c r="R302" s="3" t="s">
        <v>258</v>
      </c>
      <c r="S302" s="7">
        <v>42965.0</v>
      </c>
      <c r="T302" s="3" t="s">
        <v>63</v>
      </c>
      <c r="U302" s="6" t="s">
        <v>262</v>
      </c>
      <c r="V302" s="3" t="s">
        <v>4</v>
      </c>
      <c r="W302" s="3" t="s">
        <v>102</v>
      </c>
    </row>
    <row r="303" ht="15.75" customHeight="1">
      <c r="A303" s="6" t="s">
        <v>2536</v>
      </c>
      <c r="B303" s="3" t="s">
        <v>5282</v>
      </c>
      <c r="C303" s="7">
        <v>46965.0</v>
      </c>
      <c r="D303" s="3" t="s">
        <v>1155</v>
      </c>
      <c r="E303" s="3"/>
      <c r="F303" s="3" t="s">
        <v>183</v>
      </c>
      <c r="G303" s="6" t="s">
        <v>5285</v>
      </c>
      <c r="H303" s="3" t="s">
        <v>5288</v>
      </c>
      <c r="I303" s="3" t="s">
        <v>5289</v>
      </c>
      <c r="J303" s="3" t="s">
        <v>65</v>
      </c>
      <c r="K303" s="3" t="s">
        <v>67</v>
      </c>
      <c r="L303" s="6" t="s">
        <v>5290</v>
      </c>
      <c r="M303" s="3" t="s">
        <v>63</v>
      </c>
      <c r="N303" s="6" t="s">
        <v>5291</v>
      </c>
      <c r="O303" s="3" t="s">
        <v>63</v>
      </c>
      <c r="P303" s="3" t="s">
        <v>160</v>
      </c>
      <c r="Q303" s="8">
        <v>2253946.0</v>
      </c>
      <c r="R303" s="3" t="s">
        <v>93</v>
      </c>
      <c r="S303" s="7">
        <v>42018.0</v>
      </c>
      <c r="T303" s="3" t="s">
        <v>1178</v>
      </c>
      <c r="U303" s="6" t="s">
        <v>208</v>
      </c>
      <c r="V303" s="3" t="s">
        <v>4</v>
      </c>
      <c r="W303" s="3" t="s">
        <v>102</v>
      </c>
    </row>
    <row r="304" ht="15.75" customHeight="1">
      <c r="A304" s="6" t="s">
        <v>317</v>
      </c>
      <c r="B304" s="3" t="s">
        <v>5300</v>
      </c>
      <c r="C304" s="7">
        <v>35364.0</v>
      </c>
      <c r="D304" s="3" t="s">
        <v>63</v>
      </c>
      <c r="E304" s="3">
        <v>29.0</v>
      </c>
      <c r="F304" s="3" t="s">
        <v>70</v>
      </c>
      <c r="G304" s="6" t="s">
        <v>5303</v>
      </c>
      <c r="H304" s="3" t="s">
        <v>5305</v>
      </c>
      <c r="I304" s="3" t="s">
        <v>5306</v>
      </c>
      <c r="J304" s="3" t="s">
        <v>167</v>
      </c>
      <c r="K304" s="3" t="s">
        <v>169</v>
      </c>
      <c r="L304" s="6" t="s">
        <v>318</v>
      </c>
      <c r="M304" s="3" t="s">
        <v>63</v>
      </c>
      <c r="N304" s="6" t="s">
        <v>319</v>
      </c>
      <c r="O304" s="3" t="s">
        <v>63</v>
      </c>
      <c r="P304" s="3" t="s">
        <v>324</v>
      </c>
      <c r="Q304" s="8">
        <v>2362665.0</v>
      </c>
      <c r="R304" s="3" t="s">
        <v>93</v>
      </c>
      <c r="S304" s="7">
        <v>39970.0</v>
      </c>
      <c r="T304" s="3" t="s">
        <v>63</v>
      </c>
      <c r="U304" s="6" t="s">
        <v>197</v>
      </c>
      <c r="V304" s="3" t="s">
        <v>237</v>
      </c>
      <c r="W304" s="3" t="s">
        <v>378</v>
      </c>
    </row>
    <row r="305" ht="15.75" customHeight="1">
      <c r="A305" s="6" t="s">
        <v>1990</v>
      </c>
      <c r="B305" s="3" t="s">
        <v>5312</v>
      </c>
      <c r="C305" s="7">
        <v>33156.0</v>
      </c>
      <c r="D305" s="3" t="s">
        <v>63</v>
      </c>
      <c r="E305" s="3">
        <v>35.0</v>
      </c>
      <c r="F305" s="3" t="s">
        <v>183</v>
      </c>
      <c r="G305" s="3"/>
      <c r="H305" s="3" t="s">
        <v>5315</v>
      </c>
      <c r="I305" s="3" t="s">
        <v>5316</v>
      </c>
      <c r="J305" s="3" t="s">
        <v>349</v>
      </c>
      <c r="K305" s="3" t="s">
        <v>45</v>
      </c>
      <c r="L305" s="6" t="s">
        <v>5317</v>
      </c>
      <c r="M305" s="3" t="s">
        <v>63</v>
      </c>
      <c r="N305" s="6" t="s">
        <v>5319</v>
      </c>
      <c r="O305" s="3" t="s">
        <v>63</v>
      </c>
      <c r="P305" s="3" t="s">
        <v>127</v>
      </c>
      <c r="Q305" s="3"/>
      <c r="R305" s="3" t="s">
        <v>258</v>
      </c>
      <c r="S305" s="7">
        <v>45790.0</v>
      </c>
      <c r="T305" s="3" t="s">
        <v>63</v>
      </c>
      <c r="U305" s="6" t="s">
        <v>60</v>
      </c>
      <c r="V305" s="3" t="s">
        <v>4</v>
      </c>
      <c r="W305" s="3" t="s">
        <v>102</v>
      </c>
    </row>
    <row r="306" ht="15.75" customHeight="1">
      <c r="A306" s="6" t="s">
        <v>4086</v>
      </c>
      <c r="B306" s="3" t="s">
        <v>5323</v>
      </c>
      <c r="C306" s="7">
        <v>20486.0</v>
      </c>
      <c r="D306" s="3" t="s">
        <v>63</v>
      </c>
      <c r="E306" s="3">
        <v>70.0</v>
      </c>
      <c r="F306" s="3" t="s">
        <v>183</v>
      </c>
      <c r="G306" s="6" t="s">
        <v>5324</v>
      </c>
      <c r="H306" s="3" t="s">
        <v>5326</v>
      </c>
      <c r="I306" s="3" t="s">
        <v>5327</v>
      </c>
      <c r="J306" s="3" t="s">
        <v>358</v>
      </c>
      <c r="K306" s="3" t="s">
        <v>360</v>
      </c>
      <c r="L306" s="6" t="s">
        <v>4087</v>
      </c>
      <c r="M306" s="3" t="s">
        <v>63</v>
      </c>
      <c r="N306" s="6" t="s">
        <v>4089</v>
      </c>
      <c r="O306" s="3" t="s">
        <v>63</v>
      </c>
      <c r="P306" s="3" t="s">
        <v>160</v>
      </c>
      <c r="Q306" s="8">
        <v>1628406.0</v>
      </c>
      <c r="R306" s="3" t="s">
        <v>93</v>
      </c>
      <c r="S306" s="7">
        <v>41227.0</v>
      </c>
      <c r="T306" s="3" t="s">
        <v>63</v>
      </c>
      <c r="U306" s="6" t="s">
        <v>288</v>
      </c>
      <c r="V306" s="3" t="s">
        <v>237</v>
      </c>
      <c r="W306" s="3" t="s">
        <v>378</v>
      </c>
    </row>
    <row r="307" ht="15.75" customHeight="1">
      <c r="A307" s="6" t="s">
        <v>5330</v>
      </c>
      <c r="B307" s="3" t="s">
        <v>5332</v>
      </c>
      <c r="C307" s="7">
        <v>30742.0</v>
      </c>
      <c r="D307" s="3" t="s">
        <v>63</v>
      </c>
      <c r="E307" s="3">
        <v>42.0</v>
      </c>
      <c r="F307" s="3" t="s">
        <v>70</v>
      </c>
      <c r="G307" s="6" t="s">
        <v>5334</v>
      </c>
      <c r="H307" s="3" t="s">
        <v>5336</v>
      </c>
      <c r="I307" s="3" t="s">
        <v>5337</v>
      </c>
      <c r="J307" s="3" t="s">
        <v>153</v>
      </c>
      <c r="K307" s="3" t="s">
        <v>67</v>
      </c>
      <c r="L307" s="6" t="s">
        <v>5338</v>
      </c>
      <c r="M307" s="3" t="s">
        <v>63</v>
      </c>
      <c r="N307" s="6" t="s">
        <v>5340</v>
      </c>
      <c r="O307" s="3" t="s">
        <v>63</v>
      </c>
      <c r="P307" s="3" t="s">
        <v>372</v>
      </c>
      <c r="Q307" s="8">
        <v>1674159.0</v>
      </c>
      <c r="R307" s="3" t="s">
        <v>93</v>
      </c>
      <c r="S307" s="7">
        <v>45287.0</v>
      </c>
      <c r="T307" s="3" t="s">
        <v>63</v>
      </c>
      <c r="U307" s="6" t="s">
        <v>129</v>
      </c>
      <c r="V307" s="3" t="s">
        <v>4</v>
      </c>
      <c r="W307" s="3" t="s">
        <v>102</v>
      </c>
    </row>
    <row r="308" ht="15.75" customHeight="1">
      <c r="A308" s="6" t="s">
        <v>553</v>
      </c>
      <c r="B308" s="3" t="s">
        <v>5341</v>
      </c>
      <c r="C308" s="7">
        <v>24602.0</v>
      </c>
      <c r="D308" s="3" t="s">
        <v>63</v>
      </c>
      <c r="E308" s="3">
        <v>59.0</v>
      </c>
      <c r="F308" s="3" t="s">
        <v>70</v>
      </c>
      <c r="G308" s="6" t="s">
        <v>5342</v>
      </c>
      <c r="H308" s="3" t="s">
        <v>5344</v>
      </c>
      <c r="I308" s="3" t="s">
        <v>4911</v>
      </c>
      <c r="J308" s="3" t="s">
        <v>85</v>
      </c>
      <c r="K308" s="3" t="s">
        <v>67</v>
      </c>
      <c r="L308" s="6" t="s">
        <v>554</v>
      </c>
      <c r="M308" s="3" t="s">
        <v>63</v>
      </c>
      <c r="N308" s="6" t="s">
        <v>556</v>
      </c>
      <c r="O308" s="3" t="s">
        <v>63</v>
      </c>
      <c r="P308" s="3" t="s">
        <v>127</v>
      </c>
      <c r="Q308" s="8">
        <v>1943774.0</v>
      </c>
      <c r="R308" s="3" t="s">
        <v>93</v>
      </c>
      <c r="S308" s="7">
        <v>41826.0</v>
      </c>
      <c r="T308" s="3" t="s">
        <v>63</v>
      </c>
      <c r="U308" s="6" t="s">
        <v>171</v>
      </c>
      <c r="V308" s="3" t="s">
        <v>4</v>
      </c>
      <c r="W308" s="3" t="s">
        <v>102</v>
      </c>
    </row>
    <row r="309" ht="15.75" customHeight="1">
      <c r="A309" s="6" t="s">
        <v>1434</v>
      </c>
      <c r="B309" s="3" t="s">
        <v>5384</v>
      </c>
      <c r="C309" s="7">
        <v>28234.0</v>
      </c>
      <c r="D309" s="3" t="s">
        <v>63</v>
      </c>
      <c r="E309" s="3">
        <v>49.0</v>
      </c>
      <c r="F309" s="3" t="s">
        <v>70</v>
      </c>
      <c r="G309" s="6" t="s">
        <v>5388</v>
      </c>
      <c r="H309" s="3" t="s">
        <v>5390</v>
      </c>
      <c r="I309" s="3" t="s">
        <v>5391</v>
      </c>
      <c r="J309" s="3" t="s">
        <v>190</v>
      </c>
      <c r="K309" s="3" t="s">
        <v>193</v>
      </c>
      <c r="L309" s="6" t="s">
        <v>1435</v>
      </c>
      <c r="M309" s="3" t="s">
        <v>63</v>
      </c>
      <c r="N309" s="6" t="s">
        <v>1436</v>
      </c>
      <c r="O309" s="3" t="s">
        <v>63</v>
      </c>
      <c r="P309" s="3" t="s">
        <v>202</v>
      </c>
      <c r="Q309" s="3"/>
      <c r="R309" s="3" t="s">
        <v>258</v>
      </c>
      <c r="S309" s="7">
        <v>41915.0</v>
      </c>
      <c r="T309" s="3" t="s">
        <v>63</v>
      </c>
      <c r="U309" s="6" t="s">
        <v>129</v>
      </c>
      <c r="V309" s="3" t="s">
        <v>237</v>
      </c>
      <c r="W309" s="3" t="s">
        <v>102</v>
      </c>
    </row>
    <row r="310" ht="15.75" customHeight="1">
      <c r="A310" s="6" t="s">
        <v>2161</v>
      </c>
      <c r="B310" s="3" t="s">
        <v>5396</v>
      </c>
      <c r="C310" s="7">
        <v>37690.0</v>
      </c>
      <c r="D310" s="3" t="s">
        <v>63</v>
      </c>
      <c r="E310" s="3">
        <v>23.0</v>
      </c>
      <c r="F310" s="3" t="s">
        <v>183</v>
      </c>
      <c r="G310" s="6" t="s">
        <v>5399</v>
      </c>
      <c r="H310" s="3"/>
      <c r="I310" s="3" t="s">
        <v>5400</v>
      </c>
      <c r="J310" s="3" t="s">
        <v>282</v>
      </c>
      <c r="K310" s="3" t="s">
        <v>229</v>
      </c>
      <c r="L310" s="6" t="s">
        <v>2163</v>
      </c>
      <c r="M310" s="3" t="s">
        <v>63</v>
      </c>
      <c r="N310" s="6" t="s">
        <v>2164</v>
      </c>
      <c r="O310" s="3" t="s">
        <v>63</v>
      </c>
      <c r="P310" s="3" t="s">
        <v>90</v>
      </c>
      <c r="Q310" s="8">
        <v>529078.0</v>
      </c>
      <c r="R310" s="3" t="s">
        <v>93</v>
      </c>
      <c r="S310" s="7">
        <v>39159.0</v>
      </c>
      <c r="T310" s="3" t="s">
        <v>63</v>
      </c>
      <c r="U310" s="6" t="s">
        <v>171</v>
      </c>
      <c r="V310" s="3" t="s">
        <v>4</v>
      </c>
      <c r="W310" s="3" t="s">
        <v>102</v>
      </c>
    </row>
    <row r="311" ht="15.75" customHeight="1">
      <c r="A311" s="6" t="s">
        <v>4861</v>
      </c>
      <c r="B311" s="3" t="s">
        <v>5406</v>
      </c>
      <c r="C311" s="7">
        <v>24175.0</v>
      </c>
      <c r="D311" s="3" t="s">
        <v>63</v>
      </c>
      <c r="E311" s="3">
        <v>60.0</v>
      </c>
      <c r="F311" s="3" t="s">
        <v>70</v>
      </c>
      <c r="G311" s="6" t="s">
        <v>5407</v>
      </c>
      <c r="H311" s="3" t="s">
        <v>5408</v>
      </c>
      <c r="I311" s="3" t="s">
        <v>5409</v>
      </c>
      <c r="J311" s="3" t="s">
        <v>151</v>
      </c>
      <c r="K311" s="3" t="s">
        <v>121</v>
      </c>
      <c r="L311" s="6" t="s">
        <v>5410</v>
      </c>
      <c r="M311" s="3" t="s">
        <v>63</v>
      </c>
      <c r="N311" s="6" t="s">
        <v>5412</v>
      </c>
      <c r="O311" s="3" t="s">
        <v>63</v>
      </c>
      <c r="P311" s="3" t="s">
        <v>464</v>
      </c>
      <c r="Q311" s="8">
        <v>174709.0</v>
      </c>
      <c r="R311" s="3" t="s">
        <v>93</v>
      </c>
      <c r="S311" s="7">
        <v>41044.0</v>
      </c>
      <c r="T311" s="3" t="s">
        <v>63</v>
      </c>
      <c r="U311" s="6" t="s">
        <v>221</v>
      </c>
      <c r="V311" s="3" t="s">
        <v>4</v>
      </c>
      <c r="W311" s="3" t="s">
        <v>102</v>
      </c>
    </row>
    <row r="312" ht="15.75" customHeight="1">
      <c r="A312" s="6" t="s">
        <v>1697</v>
      </c>
      <c r="B312" s="3" t="s">
        <v>5418</v>
      </c>
      <c r="C312" s="7">
        <v>33694.0</v>
      </c>
      <c r="D312" s="3" t="s">
        <v>63</v>
      </c>
      <c r="E312" s="3">
        <v>34.0</v>
      </c>
      <c r="F312" s="3" t="s">
        <v>70</v>
      </c>
      <c r="G312" s="6" t="s">
        <v>5421</v>
      </c>
      <c r="H312" s="3" t="s">
        <v>5423</v>
      </c>
      <c r="I312" s="3" t="s">
        <v>5424</v>
      </c>
      <c r="J312" s="3" t="s">
        <v>79</v>
      </c>
      <c r="K312" s="3" t="s">
        <v>81</v>
      </c>
      <c r="L312" s="6" t="s">
        <v>5357</v>
      </c>
      <c r="M312" s="3" t="s">
        <v>63</v>
      </c>
      <c r="N312" s="6" t="s">
        <v>5358</v>
      </c>
      <c r="O312" s="3" t="s">
        <v>63</v>
      </c>
      <c r="P312" s="3" t="s">
        <v>464</v>
      </c>
      <c r="Q312" s="3"/>
      <c r="R312" s="3" t="s">
        <v>258</v>
      </c>
      <c r="S312" s="7">
        <v>44708.0</v>
      </c>
      <c r="T312" s="3" t="s">
        <v>63</v>
      </c>
      <c r="U312" s="6" t="s">
        <v>97</v>
      </c>
      <c r="V312" s="3" t="s">
        <v>4</v>
      </c>
      <c r="W312" s="3" t="s">
        <v>102</v>
      </c>
    </row>
    <row r="313" ht="15.75" customHeight="1">
      <c r="A313" s="6" t="s">
        <v>3313</v>
      </c>
      <c r="B313" s="3" t="s">
        <v>5433</v>
      </c>
      <c r="C313" s="7">
        <v>35707.0</v>
      </c>
      <c r="D313" s="3" t="s">
        <v>63</v>
      </c>
      <c r="E313" s="3">
        <v>28.0</v>
      </c>
      <c r="F313" s="3" t="s">
        <v>183</v>
      </c>
      <c r="G313" s="6" t="s">
        <v>1049</v>
      </c>
      <c r="H313" s="3" t="s">
        <v>5435</v>
      </c>
      <c r="I313" s="3" t="s">
        <v>5436</v>
      </c>
      <c r="J313" s="3" t="s">
        <v>98</v>
      </c>
      <c r="K313" s="3" t="s">
        <v>101</v>
      </c>
      <c r="L313" s="6" t="s">
        <v>3575</v>
      </c>
      <c r="M313" s="3" t="s">
        <v>63</v>
      </c>
      <c r="N313" s="6" t="s">
        <v>3576</v>
      </c>
      <c r="O313" s="3" t="s">
        <v>63</v>
      </c>
      <c r="P313" s="3" t="s">
        <v>372</v>
      </c>
      <c r="Q313" s="3"/>
      <c r="R313" s="3" t="s">
        <v>258</v>
      </c>
      <c r="S313" s="7">
        <v>46008.0</v>
      </c>
      <c r="T313" s="3" t="s">
        <v>63</v>
      </c>
      <c r="U313" s="6" t="s">
        <v>352</v>
      </c>
      <c r="V313" s="3" t="s">
        <v>4</v>
      </c>
      <c r="W313" s="3" t="s">
        <v>102</v>
      </c>
    </row>
    <row r="314" ht="15.75" customHeight="1">
      <c r="A314" s="6" t="s">
        <v>5443</v>
      </c>
      <c r="B314" s="3" t="s">
        <v>5445</v>
      </c>
      <c r="C314" s="7">
        <v>37906.0</v>
      </c>
      <c r="D314" s="3" t="s">
        <v>63</v>
      </c>
      <c r="E314" s="3">
        <v>22.0</v>
      </c>
      <c r="F314" s="3" t="s">
        <v>183</v>
      </c>
      <c r="G314" s="6" t="s">
        <v>5448</v>
      </c>
      <c r="H314" s="3" t="s">
        <v>5450</v>
      </c>
      <c r="I314" s="3" t="s">
        <v>5451</v>
      </c>
      <c r="J314" s="3" t="s">
        <v>337</v>
      </c>
      <c r="K314" s="3" t="s">
        <v>137</v>
      </c>
      <c r="L314" s="3"/>
      <c r="M314" s="3" t="s">
        <v>88</v>
      </c>
      <c r="N314" s="6" t="s">
        <v>5453</v>
      </c>
      <c r="O314" s="3" t="s">
        <v>63</v>
      </c>
      <c r="P314" s="3" t="s">
        <v>372</v>
      </c>
      <c r="Q314" s="3"/>
      <c r="R314" s="3" t="s">
        <v>258</v>
      </c>
      <c r="S314" s="7">
        <v>43018.0</v>
      </c>
      <c r="T314" s="3" t="s">
        <v>63</v>
      </c>
      <c r="U314" s="6" t="s">
        <v>288</v>
      </c>
      <c r="V314" s="3" t="s">
        <v>4</v>
      </c>
      <c r="W314" s="3" t="s">
        <v>102</v>
      </c>
    </row>
    <row r="315" ht="15.75" customHeight="1">
      <c r="A315" s="6" t="s">
        <v>2054</v>
      </c>
      <c r="B315" s="3" t="s">
        <v>5457</v>
      </c>
      <c r="C315" s="7">
        <v>29180.0</v>
      </c>
      <c r="D315" s="3" t="s">
        <v>63</v>
      </c>
      <c r="E315" s="3">
        <v>46.0</v>
      </c>
      <c r="F315" s="3" t="s">
        <v>70</v>
      </c>
      <c r="G315" s="6" t="s">
        <v>5458</v>
      </c>
      <c r="H315" s="3" t="s">
        <v>5459</v>
      </c>
      <c r="I315" s="3" t="s">
        <v>5461</v>
      </c>
      <c r="J315" s="3" t="s">
        <v>271</v>
      </c>
      <c r="K315" s="3" t="s">
        <v>273</v>
      </c>
      <c r="L315" s="6" t="s">
        <v>4496</v>
      </c>
      <c r="M315" s="3" t="s">
        <v>63</v>
      </c>
      <c r="N315" s="6" t="s">
        <v>4499</v>
      </c>
      <c r="O315" s="3" t="s">
        <v>63</v>
      </c>
      <c r="P315" s="3" t="s">
        <v>202</v>
      </c>
      <c r="Q315" s="8">
        <v>1362053.0</v>
      </c>
      <c r="R315" s="3" t="s">
        <v>93</v>
      </c>
      <c r="S315" s="7">
        <v>43112.0</v>
      </c>
      <c r="T315" s="3" t="s">
        <v>63</v>
      </c>
      <c r="U315" s="6" t="s">
        <v>397</v>
      </c>
      <c r="V315" s="3" t="s">
        <v>4</v>
      </c>
      <c r="W315" s="3" t="s">
        <v>378</v>
      </c>
    </row>
    <row r="316" ht="15.75" customHeight="1">
      <c r="A316" s="6" t="s">
        <v>1140</v>
      </c>
      <c r="B316" s="3" t="s">
        <v>5468</v>
      </c>
      <c r="C316" s="7">
        <v>22611.0</v>
      </c>
      <c r="D316" s="3" t="s">
        <v>63</v>
      </c>
      <c r="E316" s="3">
        <v>64.0</v>
      </c>
      <c r="F316" s="3" t="s">
        <v>70</v>
      </c>
      <c r="G316" s="6" t="s">
        <v>5473</v>
      </c>
      <c r="H316" s="3" t="s">
        <v>5474</v>
      </c>
      <c r="I316" s="3" t="s">
        <v>5475</v>
      </c>
      <c r="J316" s="3" t="s">
        <v>119</v>
      </c>
      <c r="K316" s="3" t="s">
        <v>121</v>
      </c>
      <c r="L316" s="6" t="s">
        <v>1601</v>
      </c>
      <c r="M316" s="3" t="s">
        <v>63</v>
      </c>
      <c r="N316" s="6" t="s">
        <v>1603</v>
      </c>
      <c r="O316" s="3" t="s">
        <v>63</v>
      </c>
      <c r="P316" s="3" t="s">
        <v>90</v>
      </c>
      <c r="Q316" s="3"/>
      <c r="R316" s="3" t="s">
        <v>258</v>
      </c>
      <c r="S316" s="7">
        <v>41648.0</v>
      </c>
      <c r="T316" s="3" t="s">
        <v>63</v>
      </c>
      <c r="U316" s="6" t="s">
        <v>288</v>
      </c>
      <c r="V316" s="3" t="s">
        <v>4</v>
      </c>
      <c r="W316" s="3" t="s">
        <v>102</v>
      </c>
    </row>
    <row r="317" ht="15.75" customHeight="1">
      <c r="A317" s="6" t="s">
        <v>1244</v>
      </c>
      <c r="B317" s="3" t="s">
        <v>5485</v>
      </c>
      <c r="C317" s="7">
        <v>22597.0</v>
      </c>
      <c r="D317" s="3" t="s">
        <v>63</v>
      </c>
      <c r="E317" s="3">
        <v>64.0</v>
      </c>
      <c r="F317" s="3" t="s">
        <v>183</v>
      </c>
      <c r="G317" s="6" t="s">
        <v>5487</v>
      </c>
      <c r="H317" s="3" t="s">
        <v>5489</v>
      </c>
      <c r="I317" s="3" t="s">
        <v>5491</v>
      </c>
      <c r="J317" s="3" t="s">
        <v>114</v>
      </c>
      <c r="K317" s="3" t="s">
        <v>118</v>
      </c>
      <c r="L317" s="6" t="s">
        <v>5492</v>
      </c>
      <c r="M317" s="3" t="s">
        <v>63</v>
      </c>
      <c r="N317" s="6" t="s">
        <v>5494</v>
      </c>
      <c r="O317" s="3" t="s">
        <v>620</v>
      </c>
      <c r="P317" s="3" t="s">
        <v>396</v>
      </c>
      <c r="Q317" s="3"/>
      <c r="R317" s="3" t="s">
        <v>258</v>
      </c>
      <c r="S317" s="7">
        <v>39040.0</v>
      </c>
      <c r="T317" s="3" t="s">
        <v>63</v>
      </c>
      <c r="U317" s="6" t="s">
        <v>234</v>
      </c>
      <c r="V317" s="3" t="s">
        <v>4</v>
      </c>
      <c r="W317" s="3" t="s">
        <v>102</v>
      </c>
    </row>
    <row r="318" ht="15.75" customHeight="1">
      <c r="A318" s="6" t="s">
        <v>1236</v>
      </c>
      <c r="B318" s="3" t="s">
        <v>5499</v>
      </c>
      <c r="C318" s="7">
        <v>24039.0</v>
      </c>
      <c r="D318" s="3" t="s">
        <v>63</v>
      </c>
      <c r="E318" s="3">
        <v>60.0</v>
      </c>
      <c r="F318" s="3" t="s">
        <v>70</v>
      </c>
      <c r="G318" s="6" t="s">
        <v>5501</v>
      </c>
      <c r="H318" s="3" t="s">
        <v>5502</v>
      </c>
      <c r="I318" s="3" t="s">
        <v>5503</v>
      </c>
      <c r="J318" s="3" t="s">
        <v>358</v>
      </c>
      <c r="K318" s="3" t="s">
        <v>360</v>
      </c>
      <c r="L318" s="6" t="s">
        <v>1531</v>
      </c>
      <c r="M318" s="3" t="s">
        <v>63</v>
      </c>
      <c r="N318" s="6" t="s">
        <v>1532</v>
      </c>
      <c r="O318" s="3" t="s">
        <v>620</v>
      </c>
      <c r="P318" s="3" t="s">
        <v>372</v>
      </c>
      <c r="Q318" s="3"/>
      <c r="R318" s="3" t="s">
        <v>258</v>
      </c>
      <c r="S318" s="7">
        <v>40980.0</v>
      </c>
      <c r="T318" s="3" t="s">
        <v>63</v>
      </c>
      <c r="U318" s="6" t="s">
        <v>311</v>
      </c>
      <c r="V318" s="3" t="s">
        <v>4</v>
      </c>
      <c r="W318" s="3" t="s">
        <v>102</v>
      </c>
    </row>
    <row r="319" ht="15.75" customHeight="1">
      <c r="A319" s="6" t="s">
        <v>1497</v>
      </c>
      <c r="B319" s="3" t="s">
        <v>5511</v>
      </c>
      <c r="C319" s="7">
        <v>28670.0</v>
      </c>
      <c r="D319" s="3" t="s">
        <v>63</v>
      </c>
      <c r="E319" s="3">
        <v>48.0</v>
      </c>
      <c r="F319" s="3" t="s">
        <v>70</v>
      </c>
      <c r="G319" s="6" t="s">
        <v>5513</v>
      </c>
      <c r="H319" s="3" t="s">
        <v>5514</v>
      </c>
      <c r="I319" s="3" t="s">
        <v>5515</v>
      </c>
      <c r="J319" s="3" t="s">
        <v>43</v>
      </c>
      <c r="K319" s="3" t="s">
        <v>45</v>
      </c>
      <c r="L319" s="6" t="s">
        <v>2112</v>
      </c>
      <c r="M319" s="3" t="s">
        <v>63</v>
      </c>
      <c r="N319" s="6" t="s">
        <v>2113</v>
      </c>
      <c r="O319" s="3" t="s">
        <v>63</v>
      </c>
      <c r="P319" s="3" t="s">
        <v>372</v>
      </c>
      <c r="Q319" s="8">
        <v>545463.0</v>
      </c>
      <c r="R319" s="3" t="s">
        <v>93</v>
      </c>
      <c r="S319" s="7">
        <v>42783.0</v>
      </c>
      <c r="T319" s="3" t="s">
        <v>63</v>
      </c>
      <c r="U319" s="6" t="s">
        <v>163</v>
      </c>
      <c r="V319" s="3" t="s">
        <v>4</v>
      </c>
      <c r="W319" s="3" t="s">
        <v>102</v>
      </c>
    </row>
    <row r="320" ht="15.75" customHeight="1">
      <c r="A320" s="6" t="s">
        <v>233</v>
      </c>
      <c r="B320" s="3" t="s">
        <v>5522</v>
      </c>
      <c r="C320" s="7">
        <v>31266.0</v>
      </c>
      <c r="D320" s="3" t="s">
        <v>63</v>
      </c>
      <c r="E320" s="3">
        <v>40.0</v>
      </c>
      <c r="F320" s="3" t="s">
        <v>183</v>
      </c>
      <c r="G320" s="6" t="s">
        <v>5527</v>
      </c>
      <c r="H320" s="3" t="s">
        <v>5528</v>
      </c>
      <c r="I320" s="3" t="s">
        <v>5529</v>
      </c>
      <c r="J320" s="3" t="s">
        <v>184</v>
      </c>
      <c r="K320" s="3" t="s">
        <v>187</v>
      </c>
      <c r="L320" s="6" t="s">
        <v>235</v>
      </c>
      <c r="M320" s="3" t="s">
        <v>63</v>
      </c>
      <c r="N320" s="3"/>
      <c r="O320" s="3" t="s">
        <v>88</v>
      </c>
      <c r="P320" s="3" t="s">
        <v>160</v>
      </c>
      <c r="Q320" s="3"/>
      <c r="R320" s="3" t="s">
        <v>258</v>
      </c>
      <c r="S320" s="7">
        <v>45600.0</v>
      </c>
      <c r="T320" s="3" t="s">
        <v>63</v>
      </c>
      <c r="U320" s="6" t="s">
        <v>92</v>
      </c>
      <c r="V320" s="3" t="s">
        <v>4</v>
      </c>
      <c r="W320" s="3" t="s">
        <v>378</v>
      </c>
    </row>
    <row r="321" ht="15.75" customHeight="1">
      <c r="A321" s="6" t="s">
        <v>3534</v>
      </c>
      <c r="B321" s="3" t="s">
        <v>5537</v>
      </c>
      <c r="C321" s="7">
        <v>21388.0</v>
      </c>
      <c r="D321" s="3" t="s">
        <v>63</v>
      </c>
      <c r="E321" s="3">
        <v>68.0</v>
      </c>
      <c r="F321" s="3" t="s">
        <v>183</v>
      </c>
      <c r="G321" s="6" t="s">
        <v>5539</v>
      </c>
      <c r="H321" s="3" t="s">
        <v>5541</v>
      </c>
      <c r="I321" s="3" t="s">
        <v>5542</v>
      </c>
      <c r="J321" s="3" t="s">
        <v>65</v>
      </c>
      <c r="K321" s="3" t="s">
        <v>67</v>
      </c>
      <c r="L321" s="6" t="s">
        <v>3536</v>
      </c>
      <c r="M321" s="3" t="s">
        <v>63</v>
      </c>
      <c r="N321" s="6" t="s">
        <v>3537</v>
      </c>
      <c r="O321" s="3" t="s">
        <v>63</v>
      </c>
      <c r="P321" s="3" t="s">
        <v>300</v>
      </c>
      <c r="Q321" s="8">
        <v>1101384.0</v>
      </c>
      <c r="R321" s="3" t="s">
        <v>93</v>
      </c>
      <c r="S321" s="7">
        <v>44160.0</v>
      </c>
      <c r="T321" s="3" t="s">
        <v>63</v>
      </c>
      <c r="U321" s="6" t="s">
        <v>97</v>
      </c>
      <c r="V321" s="3" t="s">
        <v>4</v>
      </c>
      <c r="W321" s="3" t="s">
        <v>102</v>
      </c>
    </row>
    <row r="322" ht="15.75" customHeight="1">
      <c r="A322" s="6" t="s">
        <v>2983</v>
      </c>
      <c r="B322" s="3" t="s">
        <v>5546</v>
      </c>
      <c r="C322" s="7">
        <v>25131.0</v>
      </c>
      <c r="D322" s="3" t="s">
        <v>63</v>
      </c>
      <c r="E322" s="3">
        <v>57.0</v>
      </c>
      <c r="F322" s="3" t="s">
        <v>183</v>
      </c>
      <c r="G322" s="3"/>
      <c r="H322" s="3" t="s">
        <v>5548</v>
      </c>
      <c r="I322" s="3" t="s">
        <v>5549</v>
      </c>
      <c r="J322" s="3" t="s">
        <v>201</v>
      </c>
      <c r="K322" s="3" t="s">
        <v>203</v>
      </c>
      <c r="L322" s="6" t="s">
        <v>4549</v>
      </c>
      <c r="M322" s="3" t="s">
        <v>63</v>
      </c>
      <c r="N322" s="6" t="s">
        <v>4550</v>
      </c>
      <c r="O322" s="3" t="s">
        <v>63</v>
      </c>
      <c r="P322" s="3" t="s">
        <v>300</v>
      </c>
      <c r="Q322" s="8">
        <v>1505073.0</v>
      </c>
      <c r="R322" s="3" t="s">
        <v>93</v>
      </c>
      <c r="S322" s="7">
        <v>45459.0</v>
      </c>
      <c r="T322" s="3" t="s">
        <v>63</v>
      </c>
      <c r="U322" s="6" t="s">
        <v>266</v>
      </c>
      <c r="V322" s="3" t="s">
        <v>4</v>
      </c>
      <c r="W322" s="3" t="s">
        <v>102</v>
      </c>
    </row>
    <row r="323" ht="15.75" customHeight="1">
      <c r="A323" s="6" t="s">
        <v>1410</v>
      </c>
      <c r="B323" s="3" t="s">
        <v>5558</v>
      </c>
      <c r="C323" s="7">
        <v>21966.0</v>
      </c>
      <c r="D323" s="3" t="s">
        <v>63</v>
      </c>
      <c r="E323" s="3">
        <v>66.0</v>
      </c>
      <c r="F323" s="3" t="s">
        <v>183</v>
      </c>
      <c r="G323" s="6" t="s">
        <v>5562</v>
      </c>
      <c r="H323" s="3" t="s">
        <v>5563</v>
      </c>
      <c r="I323" s="3" t="s">
        <v>5564</v>
      </c>
      <c r="J323" s="3" t="s">
        <v>251</v>
      </c>
      <c r="K323" s="3" t="s">
        <v>251</v>
      </c>
      <c r="L323" s="3"/>
      <c r="M323" s="3" t="s">
        <v>88</v>
      </c>
      <c r="N323" s="6" t="s">
        <v>4767</v>
      </c>
      <c r="O323" s="3" t="s">
        <v>63</v>
      </c>
      <c r="P323" s="3" t="s">
        <v>202</v>
      </c>
      <c r="Q323" s="8">
        <v>906680.0</v>
      </c>
      <c r="R323" s="3" t="s">
        <v>93</v>
      </c>
      <c r="S323" s="7">
        <v>38525.0</v>
      </c>
      <c r="T323" s="3" t="s">
        <v>63</v>
      </c>
      <c r="U323" s="6" t="s">
        <v>129</v>
      </c>
      <c r="V323" s="3" t="s">
        <v>4</v>
      </c>
      <c r="W323" s="3" t="s">
        <v>102</v>
      </c>
    </row>
    <row r="324" ht="15.75" customHeight="1">
      <c r="A324" s="6" t="s">
        <v>3640</v>
      </c>
      <c r="B324" s="3" t="s">
        <v>3787</v>
      </c>
      <c r="C324" s="7">
        <v>33843.0</v>
      </c>
      <c r="D324" s="3" t="s">
        <v>63</v>
      </c>
      <c r="E324" s="3">
        <v>33.0</v>
      </c>
      <c r="F324" s="3" t="s">
        <v>70</v>
      </c>
      <c r="G324" s="6" t="s">
        <v>5572</v>
      </c>
      <c r="H324" s="3" t="s">
        <v>5573</v>
      </c>
      <c r="I324" s="3" t="s">
        <v>5574</v>
      </c>
      <c r="J324" s="3" t="s">
        <v>119</v>
      </c>
      <c r="K324" s="3" t="s">
        <v>121</v>
      </c>
      <c r="L324" s="3"/>
      <c r="M324" s="3" t="s">
        <v>88</v>
      </c>
      <c r="N324" s="6" t="s">
        <v>3641</v>
      </c>
      <c r="O324" s="3" t="s">
        <v>63</v>
      </c>
      <c r="P324" s="3" t="s">
        <v>324</v>
      </c>
      <c r="Q324" s="8">
        <v>2450861.0</v>
      </c>
      <c r="R324" s="3" t="s">
        <v>93</v>
      </c>
      <c r="S324" s="7">
        <v>44238.0</v>
      </c>
      <c r="T324" s="3" t="s">
        <v>63</v>
      </c>
      <c r="U324" s="6" t="s">
        <v>163</v>
      </c>
      <c r="V324" s="3" t="s">
        <v>237</v>
      </c>
      <c r="W324" s="3" t="s">
        <v>102</v>
      </c>
    </row>
    <row r="325" ht="15.75" customHeight="1">
      <c r="A325" s="6" t="s">
        <v>5578</v>
      </c>
      <c r="B325" s="3" t="s">
        <v>5581</v>
      </c>
      <c r="C325" s="7">
        <v>46810.0</v>
      </c>
      <c r="D325" s="3" t="s">
        <v>1155</v>
      </c>
      <c r="E325" s="3"/>
      <c r="F325" s="3" t="s">
        <v>183</v>
      </c>
      <c r="G325" s="3"/>
      <c r="H325" s="3" t="s">
        <v>5583</v>
      </c>
      <c r="I325" s="3" t="s">
        <v>5584</v>
      </c>
      <c r="J325" s="3" t="s">
        <v>305</v>
      </c>
      <c r="K325" s="3" t="s">
        <v>193</v>
      </c>
      <c r="L325" s="6" t="s">
        <v>5587</v>
      </c>
      <c r="M325" s="3" t="s">
        <v>63</v>
      </c>
      <c r="N325" s="6" t="s">
        <v>5588</v>
      </c>
      <c r="O325" s="3" t="s">
        <v>63</v>
      </c>
      <c r="P325" s="3" t="s">
        <v>202</v>
      </c>
      <c r="Q325" s="8">
        <v>831275.0</v>
      </c>
      <c r="R325" s="3" t="s">
        <v>93</v>
      </c>
      <c r="S325" s="7">
        <v>41404.0</v>
      </c>
      <c r="T325" s="3" t="s">
        <v>1178</v>
      </c>
      <c r="U325" s="6" t="s">
        <v>97</v>
      </c>
      <c r="V325" s="3" t="s">
        <v>4</v>
      </c>
      <c r="W325" s="3" t="s">
        <v>102</v>
      </c>
    </row>
    <row r="326" ht="15.75" customHeight="1">
      <c r="A326" s="6" t="s">
        <v>1414</v>
      </c>
      <c r="B326" s="3" t="s">
        <v>5592</v>
      </c>
      <c r="C326" s="7">
        <v>27635.0</v>
      </c>
      <c r="D326" s="3" t="s">
        <v>63</v>
      </c>
      <c r="E326" s="3">
        <v>50.0</v>
      </c>
      <c r="F326" s="3" t="s">
        <v>70</v>
      </c>
      <c r="G326" s="6" t="s">
        <v>5595</v>
      </c>
      <c r="H326" s="3" t="s">
        <v>5597</v>
      </c>
      <c r="I326" s="3" t="s">
        <v>5598</v>
      </c>
      <c r="J326" s="3" t="s">
        <v>327</v>
      </c>
      <c r="K326" s="3" t="s">
        <v>169</v>
      </c>
      <c r="L326" s="6" t="s">
        <v>5478</v>
      </c>
      <c r="M326" s="3" t="s">
        <v>63</v>
      </c>
      <c r="N326" s="6" t="s">
        <v>5479</v>
      </c>
      <c r="O326" s="3" t="s">
        <v>63</v>
      </c>
      <c r="P326" s="3" t="s">
        <v>372</v>
      </c>
      <c r="Q326" s="8">
        <v>2001354.0</v>
      </c>
      <c r="R326" s="3" t="s">
        <v>93</v>
      </c>
      <c r="S326" s="7">
        <v>41584.0</v>
      </c>
      <c r="T326" s="3" t="s">
        <v>63</v>
      </c>
      <c r="U326" s="6" t="s">
        <v>179</v>
      </c>
      <c r="V326" s="3" t="s">
        <v>4</v>
      </c>
      <c r="W326" s="3" t="s">
        <v>102</v>
      </c>
    </row>
    <row r="327" ht="15.75" customHeight="1">
      <c r="A327" s="6" t="s">
        <v>3352</v>
      </c>
      <c r="B327" s="3" t="s">
        <v>5604</v>
      </c>
      <c r="C327" s="7">
        <v>22023.0</v>
      </c>
      <c r="D327" s="3" t="s">
        <v>63</v>
      </c>
      <c r="E327" s="3">
        <v>66.0</v>
      </c>
      <c r="F327" s="3" t="s">
        <v>183</v>
      </c>
      <c r="G327" s="6" t="s">
        <v>1049</v>
      </c>
      <c r="H327" s="3" t="s">
        <v>5606</v>
      </c>
      <c r="I327" s="3" t="s">
        <v>5607</v>
      </c>
      <c r="J327" s="3" t="s">
        <v>227</v>
      </c>
      <c r="K327" s="3" t="s">
        <v>229</v>
      </c>
      <c r="L327" s="6" t="s">
        <v>3353</v>
      </c>
      <c r="M327" s="3" t="s">
        <v>63</v>
      </c>
      <c r="N327" s="6" t="s">
        <v>3354</v>
      </c>
      <c r="O327" s="3" t="s">
        <v>63</v>
      </c>
      <c r="P327" s="3" t="s">
        <v>202</v>
      </c>
      <c r="Q327" s="8">
        <v>274576.0</v>
      </c>
      <c r="R327" s="3" t="s">
        <v>93</v>
      </c>
      <c r="S327" s="7">
        <v>39944.0</v>
      </c>
      <c r="T327" s="3" t="s">
        <v>63</v>
      </c>
      <c r="U327" s="6" t="s">
        <v>136</v>
      </c>
      <c r="V327" s="3" t="s">
        <v>4</v>
      </c>
      <c r="W327" s="3" t="s">
        <v>102</v>
      </c>
    </row>
    <row r="328" ht="15.75" customHeight="1">
      <c r="A328" s="6" t="s">
        <v>3119</v>
      </c>
      <c r="B328" s="3" t="s">
        <v>5614</v>
      </c>
      <c r="C328" s="7">
        <v>24838.0</v>
      </c>
      <c r="D328" s="3" t="s">
        <v>63</v>
      </c>
      <c r="E328" s="3">
        <v>58.0</v>
      </c>
      <c r="F328" s="3" t="s">
        <v>183</v>
      </c>
      <c r="G328" s="6" t="s">
        <v>5617</v>
      </c>
      <c r="H328" s="3" t="s">
        <v>5619</v>
      </c>
      <c r="I328" s="3" t="s">
        <v>5621</v>
      </c>
      <c r="J328" s="3" t="s">
        <v>349</v>
      </c>
      <c r="K328" s="3" t="s">
        <v>45</v>
      </c>
      <c r="L328" s="6" t="s">
        <v>5622</v>
      </c>
      <c r="M328" s="3" t="s">
        <v>63</v>
      </c>
      <c r="N328" s="6" t="s">
        <v>5623</v>
      </c>
      <c r="O328" s="3" t="s">
        <v>63</v>
      </c>
      <c r="P328" s="3" t="s">
        <v>160</v>
      </c>
      <c r="Q328" s="3"/>
      <c r="R328" s="3" t="s">
        <v>258</v>
      </c>
      <c r="S328" s="7">
        <v>40636.0</v>
      </c>
      <c r="T328" s="3" t="s">
        <v>63</v>
      </c>
      <c r="U328" s="6" t="s">
        <v>179</v>
      </c>
      <c r="V328" s="3" t="s">
        <v>4</v>
      </c>
      <c r="W328" s="3" t="s">
        <v>102</v>
      </c>
    </row>
    <row r="329" ht="15.75" customHeight="1">
      <c r="A329" s="6" t="s">
        <v>721</v>
      </c>
      <c r="B329" s="3" t="s">
        <v>5628</v>
      </c>
      <c r="C329" s="7">
        <v>24979.0</v>
      </c>
      <c r="D329" s="3" t="s">
        <v>63</v>
      </c>
      <c r="E329" s="3">
        <v>58.0</v>
      </c>
      <c r="F329" s="3" t="s">
        <v>70</v>
      </c>
      <c r="G329" s="6" t="s">
        <v>5632</v>
      </c>
      <c r="H329" s="3" t="s">
        <v>5633</v>
      </c>
      <c r="I329" s="3" t="s">
        <v>5634</v>
      </c>
      <c r="J329" s="3" t="s">
        <v>213</v>
      </c>
      <c r="K329" s="3" t="s">
        <v>67</v>
      </c>
      <c r="L329" s="6" t="s">
        <v>723</v>
      </c>
      <c r="M329" s="3" t="s">
        <v>63</v>
      </c>
      <c r="N329" s="6" t="s">
        <v>724</v>
      </c>
      <c r="O329" s="3" t="s">
        <v>63</v>
      </c>
      <c r="P329" s="3" t="s">
        <v>127</v>
      </c>
      <c r="Q329" s="8">
        <v>2369437.0</v>
      </c>
      <c r="R329" s="3" t="s">
        <v>93</v>
      </c>
      <c r="S329" s="7">
        <v>45991.0</v>
      </c>
      <c r="T329" s="3" t="s">
        <v>63</v>
      </c>
      <c r="U329" s="6" t="s">
        <v>146</v>
      </c>
      <c r="V329" s="3" t="s">
        <v>237</v>
      </c>
      <c r="W329" s="3" t="s">
        <v>102</v>
      </c>
    </row>
    <row r="330" ht="15.75" customHeight="1">
      <c r="A330" s="6" t="s">
        <v>4447</v>
      </c>
      <c r="B330" s="3" t="s">
        <v>5640</v>
      </c>
      <c r="C330" s="7">
        <v>24715.0</v>
      </c>
      <c r="D330" s="3" t="s">
        <v>63</v>
      </c>
      <c r="E330" s="3">
        <v>58.0</v>
      </c>
      <c r="F330" s="3" t="s">
        <v>70</v>
      </c>
      <c r="G330" s="6" t="s">
        <v>5643</v>
      </c>
      <c r="H330" s="3" t="s">
        <v>5645</v>
      </c>
      <c r="I330" s="3" t="s">
        <v>5646</v>
      </c>
      <c r="J330" s="3" t="s">
        <v>153</v>
      </c>
      <c r="K330" s="3" t="s">
        <v>67</v>
      </c>
      <c r="L330" s="6" t="s">
        <v>4449</v>
      </c>
      <c r="M330" s="3" t="s">
        <v>63</v>
      </c>
      <c r="N330" s="6" t="s">
        <v>4450</v>
      </c>
      <c r="O330" s="3" t="s">
        <v>63</v>
      </c>
      <c r="P330" s="3" t="s">
        <v>464</v>
      </c>
      <c r="Q330" s="3"/>
      <c r="R330" s="3" t="s">
        <v>258</v>
      </c>
      <c r="S330" s="7">
        <v>42599.0</v>
      </c>
      <c r="T330" s="3" t="s">
        <v>63</v>
      </c>
      <c r="U330" s="6" t="s">
        <v>163</v>
      </c>
      <c r="V330" s="3" t="s">
        <v>4</v>
      </c>
      <c r="W330" s="3" t="s">
        <v>102</v>
      </c>
    </row>
    <row r="331" ht="15.75" customHeight="1">
      <c r="A331" s="6" t="s">
        <v>2200</v>
      </c>
      <c r="B331" s="3" t="s">
        <v>5650</v>
      </c>
      <c r="C331" s="7">
        <v>25695.0</v>
      </c>
      <c r="D331" s="3" t="s">
        <v>63</v>
      </c>
      <c r="E331" s="3">
        <v>56.0</v>
      </c>
      <c r="F331" s="3" t="s">
        <v>70</v>
      </c>
      <c r="G331" s="6" t="s">
        <v>5652</v>
      </c>
      <c r="H331" s="3" t="s">
        <v>5653</v>
      </c>
      <c r="I331" s="3" t="s">
        <v>5654</v>
      </c>
      <c r="J331" s="3" t="s">
        <v>213</v>
      </c>
      <c r="K331" s="3" t="s">
        <v>67</v>
      </c>
      <c r="L331" s="6" t="s">
        <v>2201</v>
      </c>
      <c r="M331" s="3" t="s">
        <v>63</v>
      </c>
      <c r="N331" s="6" t="s">
        <v>2203</v>
      </c>
      <c r="O331" s="3" t="s">
        <v>63</v>
      </c>
      <c r="P331" s="3" t="s">
        <v>372</v>
      </c>
      <c r="Q331" s="8">
        <v>911905.0</v>
      </c>
      <c r="R331" s="3" t="s">
        <v>93</v>
      </c>
      <c r="S331" s="7">
        <v>39343.0</v>
      </c>
      <c r="T331" s="3" t="s">
        <v>63</v>
      </c>
      <c r="U331" s="6" t="s">
        <v>129</v>
      </c>
      <c r="V331" s="3" t="s">
        <v>4</v>
      </c>
      <c r="W331" s="3" t="s">
        <v>102</v>
      </c>
    </row>
    <row r="332" ht="15.75" customHeight="1">
      <c r="A332" s="6" t="s">
        <v>4315</v>
      </c>
      <c r="B332" s="3" t="s">
        <v>5661</v>
      </c>
      <c r="C332" s="7">
        <v>37589.0</v>
      </c>
      <c r="D332" s="3" t="s">
        <v>63</v>
      </c>
      <c r="E332" s="3">
        <v>23.0</v>
      </c>
      <c r="F332" s="3" t="s">
        <v>70</v>
      </c>
      <c r="G332" s="6" t="s">
        <v>5665</v>
      </c>
      <c r="H332" s="3" t="s">
        <v>5667</v>
      </c>
      <c r="I332" s="3" t="s">
        <v>5668</v>
      </c>
      <c r="J332" s="3" t="s">
        <v>349</v>
      </c>
      <c r="K332" s="3" t="s">
        <v>45</v>
      </c>
      <c r="L332" s="6" t="s">
        <v>4707</v>
      </c>
      <c r="M332" s="3" t="s">
        <v>63</v>
      </c>
      <c r="N332" s="6" t="s">
        <v>4709</v>
      </c>
      <c r="O332" s="3" t="s">
        <v>63</v>
      </c>
      <c r="P332" s="3" t="s">
        <v>372</v>
      </c>
      <c r="Q332" s="8">
        <v>319241.0</v>
      </c>
      <c r="R332" s="3" t="s">
        <v>93</v>
      </c>
      <c r="S332" s="7">
        <v>44650.0</v>
      </c>
      <c r="T332" s="3" t="s">
        <v>63</v>
      </c>
      <c r="U332" s="6" t="s">
        <v>266</v>
      </c>
      <c r="V332" s="3" t="s">
        <v>4</v>
      </c>
      <c r="W332" s="3" t="s">
        <v>102</v>
      </c>
    </row>
    <row r="333" ht="15.75" customHeight="1">
      <c r="A333" s="6" t="s">
        <v>1648</v>
      </c>
      <c r="B333" s="3" t="s">
        <v>5679</v>
      </c>
      <c r="C333" s="7">
        <v>25892.0</v>
      </c>
      <c r="D333" s="3" t="s">
        <v>63</v>
      </c>
      <c r="E333" s="3">
        <v>55.0</v>
      </c>
      <c r="F333" s="3" t="s">
        <v>70</v>
      </c>
      <c r="G333" s="6" t="s">
        <v>5681</v>
      </c>
      <c r="H333" s="3" t="s">
        <v>5682</v>
      </c>
      <c r="I333" s="3" t="s">
        <v>5683</v>
      </c>
      <c r="J333" s="3" t="s">
        <v>119</v>
      </c>
      <c r="K333" s="3" t="s">
        <v>121</v>
      </c>
      <c r="L333" s="6" t="s">
        <v>5686</v>
      </c>
      <c r="M333" s="3" t="s">
        <v>63</v>
      </c>
      <c r="N333" s="6" t="s">
        <v>5689</v>
      </c>
      <c r="O333" s="3" t="s">
        <v>63</v>
      </c>
      <c r="P333" s="3" t="s">
        <v>372</v>
      </c>
      <c r="Q333" s="3"/>
      <c r="R333" s="3" t="s">
        <v>258</v>
      </c>
      <c r="S333" s="7">
        <v>39167.0</v>
      </c>
      <c r="T333" s="3" t="s">
        <v>63</v>
      </c>
      <c r="U333" s="6" t="s">
        <v>301</v>
      </c>
      <c r="V333" s="3" t="s">
        <v>4</v>
      </c>
      <c r="W333" s="3" t="s">
        <v>102</v>
      </c>
    </row>
    <row r="334" ht="15.75" customHeight="1">
      <c r="A334" s="6" t="s">
        <v>2828</v>
      </c>
      <c r="B334" s="3" t="s">
        <v>5694</v>
      </c>
      <c r="C334" s="7">
        <v>28032.0</v>
      </c>
      <c r="D334" s="3" t="s">
        <v>63</v>
      </c>
      <c r="E334" s="3">
        <v>49.0</v>
      </c>
      <c r="F334" s="3" t="s">
        <v>70</v>
      </c>
      <c r="G334" s="6" t="s">
        <v>5697</v>
      </c>
      <c r="H334" s="3" t="s">
        <v>5698</v>
      </c>
      <c r="I334" s="3" t="s">
        <v>5699</v>
      </c>
      <c r="J334" s="3" t="s">
        <v>282</v>
      </c>
      <c r="K334" s="3" t="s">
        <v>229</v>
      </c>
      <c r="L334" s="6" t="s">
        <v>2830</v>
      </c>
      <c r="M334" s="3" t="s">
        <v>63</v>
      </c>
      <c r="N334" s="3"/>
      <c r="O334" s="3" t="s">
        <v>88</v>
      </c>
      <c r="P334" s="3" t="s">
        <v>324</v>
      </c>
      <c r="Q334" s="3"/>
      <c r="R334" s="3" t="s">
        <v>258</v>
      </c>
      <c r="S334" s="7">
        <v>40323.0</v>
      </c>
      <c r="T334" s="3" t="s">
        <v>63</v>
      </c>
      <c r="U334" s="6" t="s">
        <v>262</v>
      </c>
      <c r="V334" s="3" t="s">
        <v>4</v>
      </c>
      <c r="W334" s="3" t="s">
        <v>102</v>
      </c>
    </row>
    <row r="335" ht="15.75" customHeight="1">
      <c r="A335" s="6" t="s">
        <v>4163</v>
      </c>
      <c r="B335" s="3" t="s">
        <v>5704</v>
      </c>
      <c r="C335" s="7">
        <v>32672.0</v>
      </c>
      <c r="D335" s="3" t="s">
        <v>63</v>
      </c>
      <c r="E335" s="3">
        <v>37.0</v>
      </c>
      <c r="F335" s="3" t="s">
        <v>183</v>
      </c>
      <c r="G335" s="6" t="s">
        <v>5706</v>
      </c>
      <c r="H335" s="3" t="s">
        <v>5708</v>
      </c>
      <c r="I335" s="3" t="s">
        <v>5709</v>
      </c>
      <c r="J335" s="3" t="s">
        <v>190</v>
      </c>
      <c r="K335" s="3" t="s">
        <v>193</v>
      </c>
      <c r="L335" s="6" t="s">
        <v>4164</v>
      </c>
      <c r="M335" s="3" t="s">
        <v>63</v>
      </c>
      <c r="N335" s="6" t="s">
        <v>4166</v>
      </c>
      <c r="O335" s="3" t="s">
        <v>63</v>
      </c>
      <c r="P335" s="3" t="s">
        <v>300</v>
      </c>
      <c r="Q335" s="3"/>
      <c r="R335" s="3" t="s">
        <v>258</v>
      </c>
      <c r="S335" s="7">
        <v>43056.0</v>
      </c>
      <c r="T335" s="3" t="s">
        <v>63</v>
      </c>
      <c r="U335" s="6" t="s">
        <v>36</v>
      </c>
      <c r="V335" s="3" t="s">
        <v>4</v>
      </c>
      <c r="W335" s="3" t="s">
        <v>102</v>
      </c>
    </row>
    <row r="336" ht="15.75" customHeight="1">
      <c r="A336" s="6" t="s">
        <v>4107</v>
      </c>
      <c r="B336" s="3" t="s">
        <v>5717</v>
      </c>
      <c r="C336" s="7">
        <v>28295.0</v>
      </c>
      <c r="D336" s="3" t="s">
        <v>63</v>
      </c>
      <c r="E336" s="3">
        <v>49.0</v>
      </c>
      <c r="F336" s="3" t="s">
        <v>183</v>
      </c>
      <c r="G336" s="6" t="s">
        <v>5719</v>
      </c>
      <c r="H336" s="3" t="s">
        <v>5720</v>
      </c>
      <c r="I336" s="3" t="s">
        <v>5721</v>
      </c>
      <c r="J336" s="3" t="s">
        <v>43</v>
      </c>
      <c r="K336" s="3" t="s">
        <v>45</v>
      </c>
      <c r="L336" s="6" t="s">
        <v>5638</v>
      </c>
      <c r="M336" s="3" t="s">
        <v>63</v>
      </c>
      <c r="N336" s="6" t="s">
        <v>5639</v>
      </c>
      <c r="O336" s="3" t="s">
        <v>63</v>
      </c>
      <c r="P336" s="3" t="s">
        <v>300</v>
      </c>
      <c r="Q336" s="3"/>
      <c r="R336" s="3" t="s">
        <v>258</v>
      </c>
      <c r="S336" s="7">
        <v>45761.0</v>
      </c>
      <c r="T336" s="3" t="s">
        <v>63</v>
      </c>
      <c r="U336" s="6" t="s">
        <v>109</v>
      </c>
      <c r="V336" s="3" t="s">
        <v>4</v>
      </c>
      <c r="W336" s="3" t="s">
        <v>102</v>
      </c>
    </row>
    <row r="337" ht="15.75" customHeight="1">
      <c r="A337" s="6" t="s">
        <v>4382</v>
      </c>
      <c r="B337" s="3" t="s">
        <v>5729</v>
      </c>
      <c r="C337" s="7">
        <v>29489.0</v>
      </c>
      <c r="D337" s="3" t="s">
        <v>63</v>
      </c>
      <c r="E337" s="3">
        <v>45.0</v>
      </c>
      <c r="F337" s="3" t="s">
        <v>183</v>
      </c>
      <c r="G337" s="6" t="s">
        <v>5733</v>
      </c>
      <c r="H337" s="3" t="s">
        <v>5734</v>
      </c>
      <c r="I337" s="3" t="s">
        <v>5735</v>
      </c>
      <c r="J337" s="3" t="s">
        <v>282</v>
      </c>
      <c r="K337" s="3" t="s">
        <v>229</v>
      </c>
      <c r="L337" s="6" t="s">
        <v>4476</v>
      </c>
      <c r="M337" s="3" t="s">
        <v>63</v>
      </c>
      <c r="N337" s="6" t="s">
        <v>4477</v>
      </c>
      <c r="O337" s="3" t="s">
        <v>63</v>
      </c>
      <c r="P337" s="3" t="s">
        <v>372</v>
      </c>
      <c r="Q337" s="8">
        <v>1060911.0</v>
      </c>
      <c r="R337" s="3" t="s">
        <v>93</v>
      </c>
      <c r="S337" s="7">
        <v>42872.0</v>
      </c>
      <c r="T337" s="3" t="s">
        <v>63</v>
      </c>
      <c r="U337" s="6" t="s">
        <v>333</v>
      </c>
      <c r="V337" s="3" t="s">
        <v>4</v>
      </c>
      <c r="W337" s="3" t="s">
        <v>102</v>
      </c>
    </row>
    <row r="338" ht="15.75" customHeight="1">
      <c r="A338" s="6" t="s">
        <v>5743</v>
      </c>
      <c r="B338" s="3" t="s">
        <v>5744</v>
      </c>
      <c r="C338" s="7">
        <v>38092.0</v>
      </c>
      <c r="D338" s="3" t="s">
        <v>63</v>
      </c>
      <c r="E338" s="3">
        <v>22.0</v>
      </c>
      <c r="F338" s="3" t="s">
        <v>70</v>
      </c>
      <c r="G338" s="6" t="s">
        <v>5747</v>
      </c>
      <c r="H338" s="3" t="s">
        <v>5748</v>
      </c>
      <c r="I338" s="3" t="s">
        <v>5751</v>
      </c>
      <c r="J338" s="3" t="s">
        <v>349</v>
      </c>
      <c r="K338" s="3" t="s">
        <v>45</v>
      </c>
      <c r="L338" s="6" t="s">
        <v>5753</v>
      </c>
      <c r="M338" s="3" t="s">
        <v>63</v>
      </c>
      <c r="N338" s="6" t="s">
        <v>5754</v>
      </c>
      <c r="O338" s="3" t="s">
        <v>63</v>
      </c>
      <c r="P338" s="3" t="s">
        <v>300</v>
      </c>
      <c r="Q338" s="3"/>
      <c r="R338" s="3" t="s">
        <v>258</v>
      </c>
      <c r="S338" s="7">
        <v>44498.0</v>
      </c>
      <c r="T338" s="3" t="s">
        <v>63</v>
      </c>
      <c r="U338" s="6" t="s">
        <v>163</v>
      </c>
      <c r="V338" s="3" t="s">
        <v>4</v>
      </c>
      <c r="W338" s="3" t="s">
        <v>102</v>
      </c>
    </row>
    <row r="339" ht="15.75" customHeight="1">
      <c r="A339" s="6" t="s">
        <v>5759</v>
      </c>
      <c r="B339" s="3" t="s">
        <v>5760</v>
      </c>
      <c r="C339" s="7">
        <v>28703.0</v>
      </c>
      <c r="D339" s="3" t="s">
        <v>63</v>
      </c>
      <c r="E339" s="3">
        <v>48.0</v>
      </c>
      <c r="F339" s="3" t="s">
        <v>183</v>
      </c>
      <c r="G339" s="6" t="s">
        <v>5764</v>
      </c>
      <c r="H339" s="3" t="s">
        <v>5765</v>
      </c>
      <c r="I339" s="3" t="s">
        <v>5766</v>
      </c>
      <c r="J339" s="3" t="s">
        <v>43</v>
      </c>
      <c r="K339" s="3" t="s">
        <v>45</v>
      </c>
      <c r="L339" s="6" t="s">
        <v>5768</v>
      </c>
      <c r="M339" s="3" t="s">
        <v>63</v>
      </c>
      <c r="N339" s="3"/>
      <c r="O339" s="3" t="s">
        <v>88</v>
      </c>
      <c r="P339" s="3" t="s">
        <v>127</v>
      </c>
      <c r="Q339" s="3"/>
      <c r="R339" s="3" t="s">
        <v>258</v>
      </c>
      <c r="S339" s="7">
        <v>40127.0</v>
      </c>
      <c r="T339" s="3" t="s">
        <v>63</v>
      </c>
      <c r="U339" s="6" t="s">
        <v>221</v>
      </c>
      <c r="V339" s="3" t="s">
        <v>237</v>
      </c>
      <c r="W339" s="3" t="s">
        <v>378</v>
      </c>
    </row>
    <row r="340" ht="15.75" customHeight="1">
      <c r="A340" s="6" t="s">
        <v>1641</v>
      </c>
      <c r="B340" s="3" t="s">
        <v>5774</v>
      </c>
      <c r="C340" s="7">
        <v>36518.0</v>
      </c>
      <c r="D340" s="3" t="s">
        <v>63</v>
      </c>
      <c r="E340" s="3">
        <v>26.0</v>
      </c>
      <c r="F340" s="3" t="s">
        <v>70</v>
      </c>
      <c r="G340" s="6" t="s">
        <v>5777</v>
      </c>
      <c r="H340" s="3"/>
      <c r="I340" s="3" t="s">
        <v>5778</v>
      </c>
      <c r="J340" s="3" t="s">
        <v>184</v>
      </c>
      <c r="K340" s="3" t="s">
        <v>187</v>
      </c>
      <c r="L340" s="6" t="s">
        <v>3380</v>
      </c>
      <c r="M340" s="3" t="s">
        <v>63</v>
      </c>
      <c r="N340" s="6" t="s">
        <v>3382</v>
      </c>
      <c r="O340" s="3" t="s">
        <v>63</v>
      </c>
      <c r="P340" s="3" t="s">
        <v>300</v>
      </c>
      <c r="Q340" s="8">
        <v>1770645.0</v>
      </c>
      <c r="R340" s="3" t="s">
        <v>93</v>
      </c>
      <c r="S340" s="7">
        <v>39172.0</v>
      </c>
      <c r="T340" s="3" t="s">
        <v>63</v>
      </c>
      <c r="U340" s="6" t="s">
        <v>333</v>
      </c>
      <c r="V340" s="3" t="s">
        <v>4</v>
      </c>
      <c r="W340" s="3" t="s">
        <v>102</v>
      </c>
    </row>
    <row r="341" ht="15.75" customHeight="1">
      <c r="A341" s="6" t="s">
        <v>1775</v>
      </c>
      <c r="B341" s="3" t="s">
        <v>5781</v>
      </c>
      <c r="C341" s="7">
        <v>20294.0</v>
      </c>
      <c r="D341" s="3" t="s">
        <v>63</v>
      </c>
      <c r="E341" s="3">
        <v>71.0</v>
      </c>
      <c r="F341" s="3" t="s">
        <v>183</v>
      </c>
      <c r="G341" s="6" t="s">
        <v>5786</v>
      </c>
      <c r="H341" s="3" t="s">
        <v>5787</v>
      </c>
      <c r="I341" s="3" t="s">
        <v>5788</v>
      </c>
      <c r="J341" s="3" t="s">
        <v>119</v>
      </c>
      <c r="K341" s="3" t="s">
        <v>121</v>
      </c>
      <c r="L341" s="6" t="s">
        <v>1776</v>
      </c>
      <c r="M341" s="3" t="s">
        <v>63</v>
      </c>
      <c r="N341" s="6" t="s">
        <v>1777</v>
      </c>
      <c r="O341" s="3" t="s">
        <v>63</v>
      </c>
      <c r="P341" s="3" t="s">
        <v>300</v>
      </c>
      <c r="Q341" s="8">
        <v>355564.0</v>
      </c>
      <c r="R341" s="3" t="s">
        <v>93</v>
      </c>
      <c r="S341" s="7">
        <v>42476.0</v>
      </c>
      <c r="T341" s="3" t="s">
        <v>63</v>
      </c>
      <c r="U341" s="6" t="s">
        <v>109</v>
      </c>
      <c r="V341" s="3" t="s">
        <v>4</v>
      </c>
      <c r="W341" s="3" t="s">
        <v>102</v>
      </c>
    </row>
    <row r="342" ht="15.75" customHeight="1">
      <c r="A342" s="6" t="s">
        <v>5796</v>
      </c>
      <c r="B342" s="3" t="s">
        <v>5797</v>
      </c>
      <c r="C342" s="7">
        <v>35131.0</v>
      </c>
      <c r="D342" s="3" t="s">
        <v>63</v>
      </c>
      <c r="E342" s="3">
        <v>30.0</v>
      </c>
      <c r="F342" s="3" t="s">
        <v>183</v>
      </c>
      <c r="G342" s="6" t="s">
        <v>5801</v>
      </c>
      <c r="H342" s="3" t="s">
        <v>5802</v>
      </c>
      <c r="I342" s="3" t="s">
        <v>5803</v>
      </c>
      <c r="J342" s="3" t="s">
        <v>190</v>
      </c>
      <c r="K342" s="3" t="s">
        <v>193</v>
      </c>
      <c r="L342" s="6" t="s">
        <v>5804</v>
      </c>
      <c r="M342" s="3" t="s">
        <v>63</v>
      </c>
      <c r="N342" s="6" t="s">
        <v>5806</v>
      </c>
      <c r="O342" s="3" t="s">
        <v>63</v>
      </c>
      <c r="P342" s="3" t="s">
        <v>300</v>
      </c>
      <c r="Q342" s="3"/>
      <c r="R342" s="3" t="s">
        <v>258</v>
      </c>
      <c r="S342" s="7">
        <v>40480.0</v>
      </c>
      <c r="T342" s="3" t="s">
        <v>63</v>
      </c>
      <c r="U342" s="6" t="s">
        <v>221</v>
      </c>
      <c r="V342" s="3" t="s">
        <v>4</v>
      </c>
      <c r="W342" s="3" t="s">
        <v>102</v>
      </c>
    </row>
    <row r="343" ht="15.75" customHeight="1">
      <c r="A343" s="6" t="s">
        <v>772</v>
      </c>
      <c r="B343" s="3" t="s">
        <v>5813</v>
      </c>
      <c r="C343" s="7">
        <v>25470.0</v>
      </c>
      <c r="D343" s="3" t="s">
        <v>63</v>
      </c>
      <c r="E343" s="3">
        <v>56.0</v>
      </c>
      <c r="F343" s="3" t="s">
        <v>183</v>
      </c>
      <c r="G343" s="6" t="s">
        <v>5816</v>
      </c>
      <c r="H343" s="3" t="s">
        <v>5817</v>
      </c>
      <c r="I343" s="3" t="s">
        <v>3506</v>
      </c>
      <c r="J343" s="3" t="s">
        <v>282</v>
      </c>
      <c r="K343" s="3" t="s">
        <v>229</v>
      </c>
      <c r="L343" s="6" t="s">
        <v>5569</v>
      </c>
      <c r="M343" s="3" t="s">
        <v>63</v>
      </c>
      <c r="N343" s="6" t="s">
        <v>5571</v>
      </c>
      <c r="O343" s="3" t="s">
        <v>63</v>
      </c>
      <c r="P343" s="3" t="s">
        <v>324</v>
      </c>
      <c r="Q343" s="3"/>
      <c r="R343" s="3" t="s">
        <v>258</v>
      </c>
      <c r="S343" s="7">
        <v>42282.0</v>
      </c>
      <c r="T343" s="3" t="s">
        <v>63</v>
      </c>
      <c r="U343" s="6" t="s">
        <v>163</v>
      </c>
      <c r="V343" s="3" t="s">
        <v>4</v>
      </c>
      <c r="W343" s="3" t="s">
        <v>102</v>
      </c>
    </row>
    <row r="344" ht="15.75" customHeight="1">
      <c r="A344" s="6" t="s">
        <v>2824</v>
      </c>
      <c r="B344" s="3" t="s">
        <v>5825</v>
      </c>
      <c r="C344" s="7">
        <v>27132.0</v>
      </c>
      <c r="D344" s="3" t="s">
        <v>63</v>
      </c>
      <c r="E344" s="3">
        <v>52.0</v>
      </c>
      <c r="F344" s="3" t="s">
        <v>183</v>
      </c>
      <c r="G344" s="6" t="s">
        <v>5829</v>
      </c>
      <c r="H344" s="3" t="s">
        <v>5831</v>
      </c>
      <c r="I344" s="3" t="s">
        <v>5832</v>
      </c>
      <c r="J344" s="3" t="s">
        <v>250</v>
      </c>
      <c r="K344" s="3" t="s">
        <v>252</v>
      </c>
      <c r="L344" s="6" t="s">
        <v>3005</v>
      </c>
      <c r="M344" s="3" t="s">
        <v>63</v>
      </c>
      <c r="N344" s="6" t="s">
        <v>3006</v>
      </c>
      <c r="O344" s="3" t="s">
        <v>63</v>
      </c>
      <c r="P344" s="3" t="s">
        <v>300</v>
      </c>
      <c r="Q344" s="8">
        <v>1466073.0</v>
      </c>
      <c r="R344" s="3" t="s">
        <v>93</v>
      </c>
      <c r="S344" s="7">
        <v>38444.0</v>
      </c>
      <c r="T344" s="3" t="s">
        <v>63</v>
      </c>
      <c r="U344" s="6" t="s">
        <v>92</v>
      </c>
      <c r="V344" s="3" t="s">
        <v>237</v>
      </c>
      <c r="W344" s="3" t="s">
        <v>102</v>
      </c>
    </row>
    <row r="345" ht="15.75" customHeight="1">
      <c r="A345" s="6" t="s">
        <v>4683</v>
      </c>
      <c r="B345" s="3" t="s">
        <v>5840</v>
      </c>
      <c r="C345" s="7">
        <v>38204.0</v>
      </c>
      <c r="D345" s="3" t="s">
        <v>63</v>
      </c>
      <c r="E345" s="3">
        <v>22.0</v>
      </c>
      <c r="F345" s="3" t="s">
        <v>183</v>
      </c>
      <c r="G345" s="6" t="s">
        <v>5841</v>
      </c>
      <c r="H345" s="3" t="s">
        <v>5843</v>
      </c>
      <c r="I345" s="3" t="s">
        <v>5844</v>
      </c>
      <c r="J345" s="3" t="s">
        <v>327</v>
      </c>
      <c r="K345" s="3" t="s">
        <v>169</v>
      </c>
      <c r="L345" s="3"/>
      <c r="M345" s="3" t="s">
        <v>88</v>
      </c>
      <c r="N345" s="6" t="s">
        <v>4685</v>
      </c>
      <c r="O345" s="3" t="s">
        <v>63</v>
      </c>
      <c r="P345" s="3" t="s">
        <v>160</v>
      </c>
      <c r="Q345" s="3"/>
      <c r="R345" s="3" t="s">
        <v>258</v>
      </c>
      <c r="S345" s="7">
        <v>44799.0</v>
      </c>
      <c r="T345" s="3" t="s">
        <v>63</v>
      </c>
      <c r="U345" s="6" t="s">
        <v>208</v>
      </c>
      <c r="V345" s="3" t="s">
        <v>4</v>
      </c>
      <c r="W345" s="3" t="s">
        <v>102</v>
      </c>
    </row>
    <row r="346" ht="15.75" customHeight="1">
      <c r="A346" s="6" t="s">
        <v>3998</v>
      </c>
      <c r="B346" s="3" t="s">
        <v>5848</v>
      </c>
      <c r="C346" s="7">
        <v>31893.0</v>
      </c>
      <c r="D346" s="3" t="s">
        <v>63</v>
      </c>
      <c r="E346" s="3">
        <v>39.0</v>
      </c>
      <c r="F346" s="3" t="s">
        <v>183</v>
      </c>
      <c r="G346" s="6" t="s">
        <v>5851</v>
      </c>
      <c r="H346" s="3" t="s">
        <v>5852</v>
      </c>
      <c r="I346" s="3" t="s">
        <v>5853</v>
      </c>
      <c r="J346" s="3" t="s">
        <v>184</v>
      </c>
      <c r="K346" s="3" t="s">
        <v>187</v>
      </c>
      <c r="L346" s="6" t="s">
        <v>4000</v>
      </c>
      <c r="M346" s="3" t="s">
        <v>63</v>
      </c>
      <c r="N346" s="6" t="s">
        <v>4001</v>
      </c>
      <c r="O346" s="3" t="s">
        <v>63</v>
      </c>
      <c r="P346" s="3" t="s">
        <v>202</v>
      </c>
      <c r="Q346" s="3"/>
      <c r="R346" s="3" t="s">
        <v>258</v>
      </c>
      <c r="S346" s="7">
        <v>43914.0</v>
      </c>
      <c r="T346" s="3" t="s">
        <v>63</v>
      </c>
      <c r="U346" s="6" t="s">
        <v>197</v>
      </c>
      <c r="V346" s="3" t="s">
        <v>4</v>
      </c>
      <c r="W346" s="3" t="s">
        <v>102</v>
      </c>
    </row>
    <row r="347" ht="15.75" customHeight="1">
      <c r="A347" s="6" t="s">
        <v>1259</v>
      </c>
      <c r="B347" s="3" t="s">
        <v>5859</v>
      </c>
      <c r="C347" s="7">
        <v>26082.0</v>
      </c>
      <c r="D347" s="3" t="s">
        <v>63</v>
      </c>
      <c r="E347" s="3">
        <v>55.0</v>
      </c>
      <c r="F347" s="3" t="s">
        <v>183</v>
      </c>
      <c r="G347" s="6" t="s">
        <v>5861</v>
      </c>
      <c r="H347" s="3" t="s">
        <v>5862</v>
      </c>
      <c r="I347" s="3" t="s">
        <v>5863</v>
      </c>
      <c r="J347" s="3" t="s">
        <v>227</v>
      </c>
      <c r="K347" s="3" t="s">
        <v>229</v>
      </c>
      <c r="L347" s="3"/>
      <c r="M347" s="3" t="s">
        <v>88</v>
      </c>
      <c r="N347" s="6" t="s">
        <v>5869</v>
      </c>
      <c r="O347" s="3" t="s">
        <v>63</v>
      </c>
      <c r="P347" s="3" t="s">
        <v>396</v>
      </c>
      <c r="Q347" s="3"/>
      <c r="R347" s="3" t="s">
        <v>258</v>
      </c>
      <c r="S347" s="7">
        <v>40283.0</v>
      </c>
      <c r="T347" s="3" t="s">
        <v>63</v>
      </c>
      <c r="U347" s="6" t="s">
        <v>97</v>
      </c>
      <c r="V347" s="3" t="s">
        <v>4</v>
      </c>
      <c r="W347" s="3" t="s">
        <v>102</v>
      </c>
    </row>
    <row r="348" ht="15.75" customHeight="1">
      <c r="A348" s="6" t="s">
        <v>1504</v>
      </c>
      <c r="B348" s="3" t="s">
        <v>5872</v>
      </c>
      <c r="C348" s="7">
        <v>24653.0</v>
      </c>
      <c r="D348" s="3" t="s">
        <v>63</v>
      </c>
      <c r="E348" s="3">
        <v>59.0</v>
      </c>
      <c r="F348" s="3" t="s">
        <v>183</v>
      </c>
      <c r="G348" s="6" t="s">
        <v>5877</v>
      </c>
      <c r="H348" s="3" t="s">
        <v>5878</v>
      </c>
      <c r="I348" s="3" t="s">
        <v>5879</v>
      </c>
      <c r="J348" s="3" t="s">
        <v>151</v>
      </c>
      <c r="K348" s="3" t="s">
        <v>121</v>
      </c>
      <c r="L348" s="6" t="s">
        <v>5880</v>
      </c>
      <c r="M348" s="3" t="s">
        <v>63</v>
      </c>
      <c r="N348" s="6" t="s">
        <v>5881</v>
      </c>
      <c r="O348" s="3" t="s">
        <v>63</v>
      </c>
      <c r="P348" s="3" t="s">
        <v>324</v>
      </c>
      <c r="Q348" s="8">
        <v>1772712.0</v>
      </c>
      <c r="R348" s="3" t="s">
        <v>93</v>
      </c>
      <c r="S348" s="7">
        <v>39331.0</v>
      </c>
      <c r="T348" s="3" t="s">
        <v>63</v>
      </c>
      <c r="U348" s="6" t="s">
        <v>129</v>
      </c>
      <c r="V348" s="3" t="s">
        <v>4</v>
      </c>
      <c r="W348" s="3" t="s">
        <v>102</v>
      </c>
    </row>
    <row r="349" ht="15.75" customHeight="1">
      <c r="A349" s="6" t="s">
        <v>1650</v>
      </c>
      <c r="B349" s="3" t="s">
        <v>5886</v>
      </c>
      <c r="C349" s="7">
        <v>21367.0</v>
      </c>
      <c r="D349" s="3" t="s">
        <v>63</v>
      </c>
      <c r="E349" s="3">
        <v>68.0</v>
      </c>
      <c r="F349" s="3" t="s">
        <v>70</v>
      </c>
      <c r="G349" s="6" t="s">
        <v>5888</v>
      </c>
      <c r="H349" s="3" t="s">
        <v>5890</v>
      </c>
      <c r="I349" s="3" t="s">
        <v>5892</v>
      </c>
      <c r="J349" s="3" t="s">
        <v>201</v>
      </c>
      <c r="K349" s="3" t="s">
        <v>203</v>
      </c>
      <c r="L349" s="6" t="s">
        <v>1651</v>
      </c>
      <c r="M349" s="3" t="s">
        <v>63</v>
      </c>
      <c r="N349" s="6" t="s">
        <v>1655</v>
      </c>
      <c r="O349" s="3" t="s">
        <v>63</v>
      </c>
      <c r="P349" s="3" t="s">
        <v>160</v>
      </c>
      <c r="Q349" s="8">
        <v>1681464.0</v>
      </c>
      <c r="R349" s="3" t="s">
        <v>93</v>
      </c>
      <c r="S349" s="7">
        <v>43969.0</v>
      </c>
      <c r="T349" s="3" t="s">
        <v>63</v>
      </c>
      <c r="U349" s="6" t="s">
        <v>136</v>
      </c>
      <c r="V349" s="3" t="s">
        <v>4</v>
      </c>
      <c r="W349" s="3" t="s">
        <v>102</v>
      </c>
    </row>
    <row r="350" ht="15.75" customHeight="1">
      <c r="A350" s="6" t="s">
        <v>1896</v>
      </c>
      <c r="B350" s="3" t="s">
        <v>3835</v>
      </c>
      <c r="C350" s="7">
        <v>28973.0</v>
      </c>
      <c r="D350" s="3" t="s">
        <v>63</v>
      </c>
      <c r="E350" s="3">
        <v>47.0</v>
      </c>
      <c r="F350" s="3" t="s">
        <v>183</v>
      </c>
      <c r="G350" s="6" t="s">
        <v>5902</v>
      </c>
      <c r="H350" s="3" t="s">
        <v>5903</v>
      </c>
      <c r="I350" s="3" t="s">
        <v>5904</v>
      </c>
      <c r="J350" s="3" t="s">
        <v>251</v>
      </c>
      <c r="K350" s="3" t="s">
        <v>251</v>
      </c>
      <c r="L350" s="6" t="s">
        <v>5906</v>
      </c>
      <c r="M350" s="3" t="s">
        <v>63</v>
      </c>
      <c r="N350" s="6" t="s">
        <v>5907</v>
      </c>
      <c r="O350" s="3" t="s">
        <v>63</v>
      </c>
      <c r="P350" s="3" t="s">
        <v>90</v>
      </c>
      <c r="Q350" s="3"/>
      <c r="R350" s="3" t="s">
        <v>258</v>
      </c>
      <c r="S350" s="7">
        <v>43207.0</v>
      </c>
      <c r="T350" s="3" t="s">
        <v>63</v>
      </c>
      <c r="U350" s="6" t="s">
        <v>92</v>
      </c>
      <c r="V350" s="3" t="s">
        <v>237</v>
      </c>
      <c r="W350" s="3" t="s">
        <v>102</v>
      </c>
    </row>
    <row r="351" ht="15.75" customHeight="1">
      <c r="A351" s="6" t="s">
        <v>3548</v>
      </c>
      <c r="B351" s="3" t="s">
        <v>5913</v>
      </c>
      <c r="C351" s="7">
        <v>23784.0</v>
      </c>
      <c r="D351" s="3" t="s">
        <v>63</v>
      </c>
      <c r="E351" s="3">
        <v>61.0</v>
      </c>
      <c r="F351" s="3" t="s">
        <v>183</v>
      </c>
      <c r="G351" s="6" t="s">
        <v>5915</v>
      </c>
      <c r="H351" s="3" t="s">
        <v>5916</v>
      </c>
      <c r="I351" s="3" t="s">
        <v>5918</v>
      </c>
      <c r="J351" s="3" t="s">
        <v>190</v>
      </c>
      <c r="K351" s="3" t="s">
        <v>193</v>
      </c>
      <c r="L351" s="6" t="s">
        <v>3551</v>
      </c>
      <c r="M351" s="3" t="s">
        <v>63</v>
      </c>
      <c r="N351" s="6" t="s">
        <v>3555</v>
      </c>
      <c r="O351" s="3" t="s">
        <v>63</v>
      </c>
      <c r="P351" s="3" t="s">
        <v>160</v>
      </c>
      <c r="Q351" s="8">
        <v>2336316.0</v>
      </c>
      <c r="R351" s="3" t="s">
        <v>93</v>
      </c>
      <c r="S351" s="7">
        <v>42425.0</v>
      </c>
      <c r="T351" s="3" t="s">
        <v>63</v>
      </c>
      <c r="U351" s="6" t="s">
        <v>245</v>
      </c>
      <c r="V351" s="3" t="s">
        <v>4</v>
      </c>
      <c r="W351" s="3" t="s">
        <v>378</v>
      </c>
    </row>
    <row r="352" ht="15.75" customHeight="1">
      <c r="A352" s="6" t="s">
        <v>3207</v>
      </c>
      <c r="B352" s="3" t="s">
        <v>5929</v>
      </c>
      <c r="C352" s="7">
        <v>30679.0</v>
      </c>
      <c r="D352" s="3" t="s">
        <v>63</v>
      </c>
      <c r="E352" s="3">
        <v>42.0</v>
      </c>
      <c r="F352" s="3" t="s">
        <v>70</v>
      </c>
      <c r="G352" s="6" t="s">
        <v>5931</v>
      </c>
      <c r="H352" s="3" t="s">
        <v>5932</v>
      </c>
      <c r="I352" s="3" t="s">
        <v>5933</v>
      </c>
      <c r="J352" s="3" t="s">
        <v>167</v>
      </c>
      <c r="K352" s="3" t="s">
        <v>169</v>
      </c>
      <c r="L352" s="6" t="s">
        <v>5934</v>
      </c>
      <c r="M352" s="3" t="s">
        <v>63</v>
      </c>
      <c r="N352" s="6" t="s">
        <v>5936</v>
      </c>
      <c r="O352" s="3" t="s">
        <v>63</v>
      </c>
      <c r="P352" s="3" t="s">
        <v>127</v>
      </c>
      <c r="Q352" s="8">
        <v>1452327.0</v>
      </c>
      <c r="R352" s="3" t="s">
        <v>93</v>
      </c>
      <c r="S352" s="7">
        <v>44498.0</v>
      </c>
      <c r="T352" s="3" t="s">
        <v>63</v>
      </c>
      <c r="U352" s="6" t="s">
        <v>284</v>
      </c>
      <c r="V352" s="3" t="s">
        <v>4</v>
      </c>
      <c r="W352" s="3" t="s">
        <v>102</v>
      </c>
    </row>
    <row r="353" ht="15.75" customHeight="1">
      <c r="A353" s="6" t="s">
        <v>1087</v>
      </c>
      <c r="B353" s="3" t="s">
        <v>5943</v>
      </c>
      <c r="C353" s="7">
        <v>47205.0</v>
      </c>
      <c r="D353" s="3" t="s">
        <v>1155</v>
      </c>
      <c r="E353" s="3"/>
      <c r="F353" s="3" t="s">
        <v>70</v>
      </c>
      <c r="G353" s="6" t="s">
        <v>5945</v>
      </c>
      <c r="H353" s="3"/>
      <c r="I353" s="3" t="s">
        <v>5946</v>
      </c>
      <c r="J353" s="3" t="s">
        <v>327</v>
      </c>
      <c r="K353" s="3" t="s">
        <v>169</v>
      </c>
      <c r="L353" s="6" t="s">
        <v>1088</v>
      </c>
      <c r="M353" s="3" t="s">
        <v>63</v>
      </c>
      <c r="N353" s="6" t="s">
        <v>1090</v>
      </c>
      <c r="O353" s="3" t="s">
        <v>620</v>
      </c>
      <c r="P353" s="3" t="s">
        <v>464</v>
      </c>
      <c r="Q353" s="3"/>
      <c r="R353" s="3" t="s">
        <v>258</v>
      </c>
      <c r="S353" s="7">
        <v>40521.0</v>
      </c>
      <c r="T353" s="3" t="s">
        <v>1178</v>
      </c>
      <c r="U353" s="6" t="s">
        <v>208</v>
      </c>
      <c r="V353" s="3" t="s">
        <v>4</v>
      </c>
      <c r="W353" s="3" t="s">
        <v>102</v>
      </c>
    </row>
    <row r="354" ht="15.75" customHeight="1">
      <c r="A354" s="6" t="s">
        <v>2735</v>
      </c>
      <c r="B354" s="3" t="s">
        <v>5955</v>
      </c>
      <c r="C354" s="7">
        <v>22454.0</v>
      </c>
      <c r="D354" s="3" t="s">
        <v>63</v>
      </c>
      <c r="E354" s="3">
        <v>65.0</v>
      </c>
      <c r="F354" s="3" t="s">
        <v>183</v>
      </c>
      <c r="G354" s="6" t="s">
        <v>5958</v>
      </c>
      <c r="H354" s="3" t="s">
        <v>5959</v>
      </c>
      <c r="I354" s="3" t="s">
        <v>5960</v>
      </c>
      <c r="J354" s="3" t="s">
        <v>213</v>
      </c>
      <c r="K354" s="3" t="s">
        <v>67</v>
      </c>
      <c r="L354" s="6" t="s">
        <v>2736</v>
      </c>
      <c r="M354" s="3" t="s">
        <v>63</v>
      </c>
      <c r="N354" s="6" t="s">
        <v>2737</v>
      </c>
      <c r="O354" s="3" t="s">
        <v>63</v>
      </c>
      <c r="P354" s="3" t="s">
        <v>90</v>
      </c>
      <c r="Q354" s="8">
        <v>1928039.0</v>
      </c>
      <c r="R354" s="3" t="s">
        <v>93</v>
      </c>
      <c r="S354" s="7">
        <v>40904.0</v>
      </c>
      <c r="T354" s="3" t="s">
        <v>63</v>
      </c>
      <c r="U354" s="6" t="s">
        <v>92</v>
      </c>
      <c r="V354" s="3" t="s">
        <v>4</v>
      </c>
      <c r="W354" s="3" t="s">
        <v>102</v>
      </c>
    </row>
    <row r="355" ht="15.75" customHeight="1">
      <c r="A355" s="6" t="s">
        <v>5227</v>
      </c>
      <c r="B355" s="3" t="s">
        <v>5970</v>
      </c>
      <c r="C355" s="7">
        <v>38122.0</v>
      </c>
      <c r="D355" s="3" t="s">
        <v>63</v>
      </c>
      <c r="E355" s="3">
        <v>22.0</v>
      </c>
      <c r="F355" s="3" t="s">
        <v>183</v>
      </c>
      <c r="G355" s="6" t="s">
        <v>5975</v>
      </c>
      <c r="H355" s="3" t="s">
        <v>5977</v>
      </c>
      <c r="I355" s="3" t="s">
        <v>5978</v>
      </c>
      <c r="J355" s="3" t="s">
        <v>201</v>
      </c>
      <c r="K355" s="3" t="s">
        <v>203</v>
      </c>
      <c r="L355" s="3"/>
      <c r="M355" s="3" t="s">
        <v>88</v>
      </c>
      <c r="N355" s="6" t="s">
        <v>5228</v>
      </c>
      <c r="O355" s="3" t="s">
        <v>63</v>
      </c>
      <c r="P355" s="3" t="s">
        <v>372</v>
      </c>
      <c r="Q355" s="8">
        <v>1237511.0</v>
      </c>
      <c r="R355" s="3" t="s">
        <v>93</v>
      </c>
      <c r="S355" s="7">
        <v>41978.0</v>
      </c>
      <c r="T355" s="3" t="s">
        <v>63</v>
      </c>
      <c r="U355" s="6" t="s">
        <v>221</v>
      </c>
      <c r="V355" s="3" t="s">
        <v>4</v>
      </c>
      <c r="W355" s="3" t="s">
        <v>102</v>
      </c>
    </row>
    <row r="356" ht="15.75" customHeight="1">
      <c r="A356" s="6" t="s">
        <v>815</v>
      </c>
      <c r="B356" s="3" t="s">
        <v>5984</v>
      </c>
      <c r="C356" s="7">
        <v>25126.0</v>
      </c>
      <c r="D356" s="3" t="s">
        <v>63</v>
      </c>
      <c r="E356" s="3">
        <v>57.0</v>
      </c>
      <c r="F356" s="3" t="s">
        <v>183</v>
      </c>
      <c r="G356" s="6" t="s">
        <v>1049</v>
      </c>
      <c r="H356" s="3" t="s">
        <v>5985</v>
      </c>
      <c r="I356" s="3" t="s">
        <v>5987</v>
      </c>
      <c r="J356" s="3" t="s">
        <v>305</v>
      </c>
      <c r="K356" s="3" t="s">
        <v>193</v>
      </c>
      <c r="L356" s="6" t="s">
        <v>3633</v>
      </c>
      <c r="M356" s="3" t="s">
        <v>620</v>
      </c>
      <c r="N356" s="6" t="s">
        <v>3635</v>
      </c>
      <c r="O356" s="3" t="s">
        <v>63</v>
      </c>
      <c r="P356" s="3" t="s">
        <v>90</v>
      </c>
      <c r="Q356" s="8">
        <v>1802880.0</v>
      </c>
      <c r="R356" s="3" t="s">
        <v>93</v>
      </c>
      <c r="S356" s="7">
        <v>41216.0</v>
      </c>
      <c r="T356" s="3" t="s">
        <v>63</v>
      </c>
      <c r="U356" s="6" t="s">
        <v>311</v>
      </c>
      <c r="V356" s="3" t="s">
        <v>4</v>
      </c>
      <c r="W356" s="3" t="s">
        <v>102</v>
      </c>
    </row>
    <row r="357" ht="15.75" customHeight="1">
      <c r="A357" s="6" t="s">
        <v>2508</v>
      </c>
      <c r="B357" s="3" t="s">
        <v>5992</v>
      </c>
      <c r="C357" s="7">
        <v>20730.0</v>
      </c>
      <c r="D357" s="3" t="s">
        <v>63</v>
      </c>
      <c r="E357" s="3">
        <v>69.0</v>
      </c>
      <c r="F357" s="3" t="s">
        <v>183</v>
      </c>
      <c r="G357" s="6" t="s">
        <v>1049</v>
      </c>
      <c r="H357" s="3" t="s">
        <v>5995</v>
      </c>
      <c r="I357" s="3" t="s">
        <v>5997</v>
      </c>
      <c r="J357" s="3" t="s">
        <v>358</v>
      </c>
      <c r="K357" s="3" t="s">
        <v>360</v>
      </c>
      <c r="L357" s="3"/>
      <c r="M357" s="3" t="s">
        <v>88</v>
      </c>
      <c r="N357" s="6" t="s">
        <v>5834</v>
      </c>
      <c r="O357" s="3" t="s">
        <v>63</v>
      </c>
      <c r="P357" s="3" t="s">
        <v>300</v>
      </c>
      <c r="Q357" s="8">
        <v>966410.0</v>
      </c>
      <c r="R357" s="3" t="s">
        <v>93</v>
      </c>
      <c r="S357" s="7">
        <v>41791.0</v>
      </c>
      <c r="T357" s="3" t="s">
        <v>63</v>
      </c>
      <c r="U357" s="6" t="s">
        <v>146</v>
      </c>
      <c r="V357" s="3" t="s">
        <v>4</v>
      </c>
      <c r="W357" s="3" t="s">
        <v>102</v>
      </c>
    </row>
    <row r="358" ht="15.75" customHeight="1">
      <c r="A358" s="6" t="s">
        <v>2180</v>
      </c>
      <c r="B358" s="3" t="s">
        <v>6002</v>
      </c>
      <c r="C358" s="7">
        <v>35671.0</v>
      </c>
      <c r="D358" s="3" t="s">
        <v>63</v>
      </c>
      <c r="E358" s="3">
        <v>28.0</v>
      </c>
      <c r="F358" s="3" t="s">
        <v>70</v>
      </c>
      <c r="G358" s="3"/>
      <c r="H358" s="3" t="s">
        <v>6005</v>
      </c>
      <c r="I358" s="3" t="s">
        <v>6006</v>
      </c>
      <c r="J358" s="3" t="s">
        <v>85</v>
      </c>
      <c r="K358" s="3" t="s">
        <v>67</v>
      </c>
      <c r="L358" s="6" t="s">
        <v>2181</v>
      </c>
      <c r="M358" s="3" t="s">
        <v>63</v>
      </c>
      <c r="N358" s="6" t="s">
        <v>2183</v>
      </c>
      <c r="O358" s="3" t="s">
        <v>63</v>
      </c>
      <c r="P358" s="3" t="s">
        <v>160</v>
      </c>
      <c r="Q358" s="3"/>
      <c r="R358" s="3" t="s">
        <v>258</v>
      </c>
      <c r="S358" s="7">
        <v>39093.0</v>
      </c>
      <c r="T358" s="3" t="s">
        <v>63</v>
      </c>
      <c r="U358" s="6" t="s">
        <v>352</v>
      </c>
      <c r="V358" s="3" t="s">
        <v>4</v>
      </c>
      <c r="W358" s="3" t="s">
        <v>102</v>
      </c>
    </row>
    <row r="359" ht="15.75" customHeight="1">
      <c r="A359" s="6" t="s">
        <v>1927</v>
      </c>
      <c r="B359" s="3" t="s">
        <v>6014</v>
      </c>
      <c r="C359" s="7">
        <v>37863.0</v>
      </c>
      <c r="D359" s="3" t="s">
        <v>63</v>
      </c>
      <c r="E359" s="3">
        <v>22.0</v>
      </c>
      <c r="F359" s="3" t="s">
        <v>183</v>
      </c>
      <c r="G359" s="6" t="s">
        <v>6018</v>
      </c>
      <c r="H359" s="3" t="s">
        <v>6019</v>
      </c>
      <c r="I359" s="3" t="s">
        <v>6020</v>
      </c>
      <c r="J359" s="3" t="s">
        <v>213</v>
      </c>
      <c r="K359" s="3" t="s">
        <v>67</v>
      </c>
      <c r="L359" s="6" t="s">
        <v>6023</v>
      </c>
      <c r="M359" s="3" t="s">
        <v>63</v>
      </c>
      <c r="N359" s="3"/>
      <c r="O359" s="3" t="s">
        <v>88</v>
      </c>
      <c r="P359" s="3" t="s">
        <v>160</v>
      </c>
      <c r="Q359" s="8">
        <v>1407912.0</v>
      </c>
      <c r="R359" s="3" t="s">
        <v>93</v>
      </c>
      <c r="S359" s="7">
        <v>40427.0</v>
      </c>
      <c r="T359" s="3" t="s">
        <v>63</v>
      </c>
      <c r="U359" s="6" t="s">
        <v>284</v>
      </c>
      <c r="V359" s="3" t="s">
        <v>4</v>
      </c>
      <c r="W359" s="3" t="s">
        <v>102</v>
      </c>
    </row>
    <row r="360" ht="15.75" customHeight="1">
      <c r="A360" s="6" t="s">
        <v>3799</v>
      </c>
      <c r="B360" s="3" t="s">
        <v>6028</v>
      </c>
      <c r="C360" s="7">
        <v>26844.0</v>
      </c>
      <c r="D360" s="3" t="s">
        <v>63</v>
      </c>
      <c r="E360" s="3">
        <v>53.0</v>
      </c>
      <c r="F360" s="3" t="s">
        <v>183</v>
      </c>
      <c r="G360" s="6" t="s">
        <v>6031</v>
      </c>
      <c r="H360" s="3" t="s">
        <v>6032</v>
      </c>
      <c r="I360" s="3" t="s">
        <v>2104</v>
      </c>
      <c r="J360" s="3" t="s">
        <v>213</v>
      </c>
      <c r="K360" s="3" t="s">
        <v>67</v>
      </c>
      <c r="L360" s="6" t="s">
        <v>3800</v>
      </c>
      <c r="M360" s="3" t="s">
        <v>63</v>
      </c>
      <c r="N360" s="6" t="s">
        <v>3802</v>
      </c>
      <c r="O360" s="3" t="s">
        <v>63</v>
      </c>
      <c r="P360" s="3" t="s">
        <v>324</v>
      </c>
      <c r="Q360" s="3"/>
      <c r="R360" s="3" t="s">
        <v>258</v>
      </c>
      <c r="S360" s="7">
        <v>43437.0</v>
      </c>
      <c r="T360" s="3" t="s">
        <v>63</v>
      </c>
      <c r="U360" s="6" t="s">
        <v>129</v>
      </c>
      <c r="V360" s="3" t="s">
        <v>4</v>
      </c>
      <c r="W360" s="3" t="s">
        <v>102</v>
      </c>
    </row>
    <row r="361" ht="15.75" customHeight="1">
      <c r="A361" s="6" t="s">
        <v>5991</v>
      </c>
      <c r="B361" s="3" t="s">
        <v>108</v>
      </c>
      <c r="C361" s="7">
        <v>29269.0</v>
      </c>
      <c r="D361" s="3" t="s">
        <v>63</v>
      </c>
      <c r="E361" s="3">
        <v>46.0</v>
      </c>
      <c r="F361" s="3" t="s">
        <v>70</v>
      </c>
      <c r="G361" s="6" t="s">
        <v>6038</v>
      </c>
      <c r="H361" s="3" t="s">
        <v>6040</v>
      </c>
      <c r="I361" s="3" t="s">
        <v>6041</v>
      </c>
      <c r="J361" s="3" t="s">
        <v>282</v>
      </c>
      <c r="K361" s="3" t="s">
        <v>229</v>
      </c>
      <c r="L361" s="3"/>
      <c r="M361" s="3" t="s">
        <v>88</v>
      </c>
      <c r="N361" s="6" t="s">
        <v>5993</v>
      </c>
      <c r="O361" s="3" t="s">
        <v>63</v>
      </c>
      <c r="P361" s="3" t="s">
        <v>160</v>
      </c>
      <c r="Q361" s="3"/>
      <c r="R361" s="3" t="s">
        <v>258</v>
      </c>
      <c r="S361" s="7">
        <v>39030.0</v>
      </c>
      <c r="T361" s="3" t="s">
        <v>63</v>
      </c>
      <c r="U361" s="6" t="s">
        <v>109</v>
      </c>
      <c r="V361" s="3" t="s">
        <v>4</v>
      </c>
      <c r="W361" s="3" t="s">
        <v>102</v>
      </c>
    </row>
    <row r="362" ht="15.75" customHeight="1">
      <c r="A362" s="6" t="s">
        <v>1637</v>
      </c>
      <c r="B362" s="3" t="s">
        <v>6050</v>
      </c>
      <c r="C362" s="7">
        <v>23231.0</v>
      </c>
      <c r="D362" s="3" t="s">
        <v>63</v>
      </c>
      <c r="E362" s="3">
        <v>62.0</v>
      </c>
      <c r="F362" s="3" t="s">
        <v>183</v>
      </c>
      <c r="G362" s="6" t="s">
        <v>6053</v>
      </c>
      <c r="H362" s="3" t="s">
        <v>6054</v>
      </c>
      <c r="I362" s="3" t="s">
        <v>6055</v>
      </c>
      <c r="J362" s="3" t="s">
        <v>251</v>
      </c>
      <c r="K362" s="3" t="s">
        <v>251</v>
      </c>
      <c r="L362" s="6" t="s">
        <v>4716</v>
      </c>
      <c r="M362" s="3" t="s">
        <v>63</v>
      </c>
      <c r="N362" s="6" t="s">
        <v>4718</v>
      </c>
      <c r="O362" s="3" t="s">
        <v>63</v>
      </c>
      <c r="P362" s="3" t="s">
        <v>324</v>
      </c>
      <c r="Q362" s="8">
        <v>1652254.0</v>
      </c>
      <c r="R362" s="3" t="s">
        <v>93</v>
      </c>
      <c r="S362" s="7">
        <v>42213.0</v>
      </c>
      <c r="T362" s="3" t="s">
        <v>63</v>
      </c>
      <c r="U362" s="6" t="s">
        <v>163</v>
      </c>
      <c r="V362" s="3" t="s">
        <v>4</v>
      </c>
      <c r="W362" s="3" t="s">
        <v>102</v>
      </c>
    </row>
    <row r="363" ht="15.75" customHeight="1">
      <c r="A363" s="6" t="s">
        <v>2232</v>
      </c>
      <c r="B363" s="3" t="s">
        <v>5522</v>
      </c>
      <c r="C363" s="7">
        <v>31266.0</v>
      </c>
      <c r="D363" s="3" t="s">
        <v>63</v>
      </c>
      <c r="E363" s="3">
        <v>40.0</v>
      </c>
      <c r="F363" s="3" t="s">
        <v>183</v>
      </c>
      <c r="G363" s="6" t="s">
        <v>6064</v>
      </c>
      <c r="H363" s="3" t="s">
        <v>5528</v>
      </c>
      <c r="I363" s="3" t="s">
        <v>5529</v>
      </c>
      <c r="J363" s="3" t="s">
        <v>184</v>
      </c>
      <c r="K363" s="3" t="s">
        <v>187</v>
      </c>
      <c r="L363" s="6" t="s">
        <v>235</v>
      </c>
      <c r="M363" s="3" t="s">
        <v>63</v>
      </c>
      <c r="N363" s="3"/>
      <c r="O363" s="3" t="s">
        <v>88</v>
      </c>
      <c r="P363" s="3" t="s">
        <v>160</v>
      </c>
      <c r="Q363" s="3"/>
      <c r="R363" s="3" t="s">
        <v>258</v>
      </c>
      <c r="S363" s="7">
        <v>45600.0</v>
      </c>
      <c r="T363" s="3" t="s">
        <v>63</v>
      </c>
      <c r="U363" s="6" t="s">
        <v>92</v>
      </c>
      <c r="V363" s="3" t="s">
        <v>4</v>
      </c>
      <c r="W363" s="3" t="s">
        <v>378</v>
      </c>
    </row>
    <row r="364" ht="15.75" customHeight="1">
      <c r="A364" s="6" t="s">
        <v>3880</v>
      </c>
      <c r="B364" s="3" t="s">
        <v>6072</v>
      </c>
      <c r="C364" s="7">
        <v>31981.0</v>
      </c>
      <c r="D364" s="3" t="s">
        <v>63</v>
      </c>
      <c r="E364" s="3">
        <v>39.0</v>
      </c>
      <c r="F364" s="3" t="s">
        <v>183</v>
      </c>
      <c r="G364" s="6" t="s">
        <v>6075</v>
      </c>
      <c r="H364" s="3" t="s">
        <v>6076</v>
      </c>
      <c r="I364" s="3" t="s">
        <v>6077</v>
      </c>
      <c r="J364" s="3" t="s">
        <v>134</v>
      </c>
      <c r="K364" s="3" t="s">
        <v>137</v>
      </c>
      <c r="L364" s="6" t="s">
        <v>4793</v>
      </c>
      <c r="M364" s="3" t="s">
        <v>63</v>
      </c>
      <c r="N364" s="6" t="s">
        <v>4794</v>
      </c>
      <c r="O364" s="3" t="s">
        <v>63</v>
      </c>
      <c r="P364" s="3" t="s">
        <v>90</v>
      </c>
      <c r="Q364" s="8">
        <v>1037896.0</v>
      </c>
      <c r="R364" s="3" t="s">
        <v>93</v>
      </c>
      <c r="S364" s="7">
        <v>38538.0</v>
      </c>
      <c r="T364" s="3" t="s">
        <v>63</v>
      </c>
      <c r="U364" s="6" t="s">
        <v>97</v>
      </c>
      <c r="V364" s="3" t="s">
        <v>4</v>
      </c>
      <c r="W364" s="3" t="s">
        <v>102</v>
      </c>
    </row>
    <row r="365" ht="15.75" customHeight="1">
      <c r="A365" s="6" t="s">
        <v>4870</v>
      </c>
      <c r="B365" s="3" t="s">
        <v>6084</v>
      </c>
      <c r="C365" s="7">
        <v>30335.0</v>
      </c>
      <c r="D365" s="3" t="s">
        <v>63</v>
      </c>
      <c r="E365" s="3">
        <v>43.0</v>
      </c>
      <c r="F365" s="3" t="s">
        <v>183</v>
      </c>
      <c r="G365" s="6" t="s">
        <v>6087</v>
      </c>
      <c r="H365" s="3"/>
      <c r="I365" s="3" t="s">
        <v>6089</v>
      </c>
      <c r="J365" s="3" t="s">
        <v>184</v>
      </c>
      <c r="K365" s="3" t="s">
        <v>187</v>
      </c>
      <c r="L365" s="3"/>
      <c r="M365" s="3" t="s">
        <v>88</v>
      </c>
      <c r="N365" s="6" t="s">
        <v>4872</v>
      </c>
      <c r="O365" s="3" t="s">
        <v>63</v>
      </c>
      <c r="P365" s="3" t="s">
        <v>300</v>
      </c>
      <c r="Q365" s="8">
        <v>1413134.0</v>
      </c>
      <c r="R365" s="3" t="s">
        <v>93</v>
      </c>
      <c r="S365" s="7">
        <v>44823.0</v>
      </c>
      <c r="T365" s="3" t="s">
        <v>63</v>
      </c>
      <c r="U365" s="6" t="s">
        <v>288</v>
      </c>
      <c r="V365" s="3" t="s">
        <v>4</v>
      </c>
      <c r="W365" s="3" t="s">
        <v>102</v>
      </c>
    </row>
    <row r="366" ht="15.75" customHeight="1">
      <c r="A366" s="6" t="s">
        <v>4936</v>
      </c>
      <c r="B366" s="3" t="s">
        <v>6096</v>
      </c>
      <c r="C366" s="7">
        <v>31941.0</v>
      </c>
      <c r="D366" s="3" t="s">
        <v>63</v>
      </c>
      <c r="E366" s="3">
        <v>39.0</v>
      </c>
      <c r="F366" s="3" t="s">
        <v>70</v>
      </c>
      <c r="G366" s="6" t="s">
        <v>6100</v>
      </c>
      <c r="H366" s="3" t="s">
        <v>6101</v>
      </c>
      <c r="I366" s="3" t="s">
        <v>3292</v>
      </c>
      <c r="J366" s="3" t="s">
        <v>358</v>
      </c>
      <c r="K366" s="3" t="s">
        <v>360</v>
      </c>
      <c r="L366" s="3"/>
      <c r="M366" s="3" t="s">
        <v>88</v>
      </c>
      <c r="N366" s="6" t="s">
        <v>6103</v>
      </c>
      <c r="O366" s="3" t="s">
        <v>63</v>
      </c>
      <c r="P366" s="3" t="s">
        <v>396</v>
      </c>
      <c r="Q366" s="8">
        <v>216365.0</v>
      </c>
      <c r="R366" s="3" t="s">
        <v>93</v>
      </c>
      <c r="S366" s="7">
        <v>44185.0</v>
      </c>
      <c r="T366" s="3" t="s">
        <v>63</v>
      </c>
      <c r="U366" s="6" t="s">
        <v>221</v>
      </c>
      <c r="V366" s="3" t="s">
        <v>4</v>
      </c>
      <c r="W366" s="3" t="s">
        <v>102</v>
      </c>
    </row>
    <row r="367" ht="15.75" customHeight="1">
      <c r="A367" s="6" t="s">
        <v>3310</v>
      </c>
      <c r="B367" s="3" t="s">
        <v>6107</v>
      </c>
      <c r="C367" s="7">
        <v>24011.0</v>
      </c>
      <c r="D367" s="3" t="s">
        <v>63</v>
      </c>
      <c r="E367" s="3">
        <v>60.0</v>
      </c>
      <c r="F367" s="3" t="s">
        <v>183</v>
      </c>
      <c r="G367" s="6" t="s">
        <v>6110</v>
      </c>
      <c r="H367" s="3" t="s">
        <v>6111</v>
      </c>
      <c r="I367" s="3" t="s">
        <v>6112</v>
      </c>
      <c r="J367" s="3" t="s">
        <v>225</v>
      </c>
      <c r="K367" s="3" t="s">
        <v>101</v>
      </c>
      <c r="L367" s="3"/>
      <c r="M367" s="3" t="s">
        <v>88</v>
      </c>
      <c r="N367" s="3"/>
      <c r="O367" s="3" t="s">
        <v>88</v>
      </c>
      <c r="P367" s="3" t="s">
        <v>372</v>
      </c>
      <c r="Q367" s="8">
        <v>730950.0</v>
      </c>
      <c r="R367" s="3" t="s">
        <v>93</v>
      </c>
      <c r="S367" s="7">
        <v>39852.0</v>
      </c>
      <c r="T367" s="3" t="s">
        <v>63</v>
      </c>
      <c r="U367" s="6" t="s">
        <v>197</v>
      </c>
      <c r="V367" s="3" t="s">
        <v>4</v>
      </c>
      <c r="W367" s="3" t="s">
        <v>102</v>
      </c>
    </row>
    <row r="368" ht="15.75" customHeight="1">
      <c r="A368" s="6" t="s">
        <v>1864</v>
      </c>
      <c r="B368" s="3" t="s">
        <v>6119</v>
      </c>
      <c r="C368" s="7">
        <v>30479.0</v>
      </c>
      <c r="D368" s="3" t="s">
        <v>63</v>
      </c>
      <c r="E368" s="3">
        <v>43.0</v>
      </c>
      <c r="F368" s="3" t="s">
        <v>183</v>
      </c>
      <c r="G368" s="6" t="s">
        <v>6121</v>
      </c>
      <c r="H368" s="3" t="s">
        <v>6123</v>
      </c>
      <c r="I368" s="3" t="s">
        <v>6124</v>
      </c>
      <c r="J368" s="3" t="s">
        <v>184</v>
      </c>
      <c r="K368" s="3" t="s">
        <v>187</v>
      </c>
      <c r="L368" s="6" t="s">
        <v>5137</v>
      </c>
      <c r="M368" s="3" t="s">
        <v>63</v>
      </c>
      <c r="N368" s="3"/>
      <c r="O368" s="3" t="s">
        <v>88</v>
      </c>
      <c r="P368" s="3" t="s">
        <v>127</v>
      </c>
      <c r="Q368" s="3"/>
      <c r="R368" s="3" t="s">
        <v>258</v>
      </c>
      <c r="S368" s="7">
        <v>43122.0</v>
      </c>
      <c r="T368" s="3" t="s">
        <v>63</v>
      </c>
      <c r="U368" s="6" t="s">
        <v>163</v>
      </c>
      <c r="V368" s="3" t="s">
        <v>4</v>
      </c>
      <c r="W368" s="3" t="s">
        <v>102</v>
      </c>
    </row>
    <row r="369" ht="15.75" customHeight="1">
      <c r="A369" s="6" t="s">
        <v>3445</v>
      </c>
      <c r="B369" s="3" t="s">
        <v>6128</v>
      </c>
      <c r="C369" s="7">
        <v>21663.0</v>
      </c>
      <c r="D369" s="3" t="s">
        <v>63</v>
      </c>
      <c r="E369" s="3">
        <v>67.0</v>
      </c>
      <c r="F369" s="3" t="s">
        <v>70</v>
      </c>
      <c r="G369" s="6" t="s">
        <v>6131</v>
      </c>
      <c r="H369" s="3" t="s">
        <v>6132</v>
      </c>
      <c r="I369" s="3" t="s">
        <v>4923</v>
      </c>
      <c r="J369" s="3" t="s">
        <v>184</v>
      </c>
      <c r="K369" s="3" t="s">
        <v>187</v>
      </c>
      <c r="L369" s="6" t="s">
        <v>5585</v>
      </c>
      <c r="M369" s="3" t="s">
        <v>620</v>
      </c>
      <c r="N369" s="6" t="s">
        <v>5586</v>
      </c>
      <c r="O369" s="3" t="s">
        <v>63</v>
      </c>
      <c r="P369" s="3" t="s">
        <v>396</v>
      </c>
      <c r="Q369" s="3"/>
      <c r="R369" s="3" t="s">
        <v>258</v>
      </c>
      <c r="S369" s="7">
        <v>41609.0</v>
      </c>
      <c r="T369" s="3" t="s">
        <v>63</v>
      </c>
      <c r="U369" s="6" t="s">
        <v>146</v>
      </c>
      <c r="V369" s="3" t="s">
        <v>4</v>
      </c>
      <c r="W369" s="3" t="s">
        <v>102</v>
      </c>
    </row>
    <row r="370" ht="15.75" customHeight="1">
      <c r="A370" s="6" t="s">
        <v>3783</v>
      </c>
      <c r="B370" s="3" t="s">
        <v>6137</v>
      </c>
      <c r="C370" s="7">
        <v>22921.0</v>
      </c>
      <c r="D370" s="3" t="s">
        <v>63</v>
      </c>
      <c r="E370" s="3">
        <v>63.0</v>
      </c>
      <c r="F370" s="3" t="s">
        <v>70</v>
      </c>
      <c r="G370" s="6" t="s">
        <v>6141</v>
      </c>
      <c r="H370" s="3" t="s">
        <v>6142</v>
      </c>
      <c r="I370" s="3" t="s">
        <v>6143</v>
      </c>
      <c r="J370" s="3" t="s">
        <v>114</v>
      </c>
      <c r="K370" s="3" t="s">
        <v>118</v>
      </c>
      <c r="L370" s="6" t="s">
        <v>3784</v>
      </c>
      <c r="M370" s="3" t="s">
        <v>63</v>
      </c>
      <c r="N370" s="6" t="s">
        <v>3785</v>
      </c>
      <c r="O370" s="3" t="s">
        <v>63</v>
      </c>
      <c r="P370" s="3" t="s">
        <v>396</v>
      </c>
      <c r="Q370" s="8">
        <v>719461.0</v>
      </c>
      <c r="R370" s="3" t="s">
        <v>93</v>
      </c>
      <c r="S370" s="7">
        <v>42402.0</v>
      </c>
      <c r="T370" s="3" t="s">
        <v>63</v>
      </c>
      <c r="U370" s="6" t="s">
        <v>288</v>
      </c>
      <c r="V370" s="3" t="s">
        <v>237</v>
      </c>
      <c r="W370" s="3" t="s">
        <v>102</v>
      </c>
    </row>
    <row r="371" ht="15.75" customHeight="1">
      <c r="A371" s="6" t="s">
        <v>3854</v>
      </c>
      <c r="B371" s="3" t="s">
        <v>6154</v>
      </c>
      <c r="C371" s="7">
        <v>21758.0</v>
      </c>
      <c r="D371" s="3" t="s">
        <v>63</v>
      </c>
      <c r="E371" s="3">
        <v>67.0</v>
      </c>
      <c r="F371" s="3" t="s">
        <v>183</v>
      </c>
      <c r="G371" s="6" t="s">
        <v>6158</v>
      </c>
      <c r="H371" s="3" t="s">
        <v>6159</v>
      </c>
      <c r="I371" s="3" t="s">
        <v>6160</v>
      </c>
      <c r="J371" s="3" t="s">
        <v>349</v>
      </c>
      <c r="K371" s="3" t="s">
        <v>45</v>
      </c>
      <c r="L371" s="6" t="s">
        <v>3855</v>
      </c>
      <c r="M371" s="3" t="s">
        <v>63</v>
      </c>
      <c r="N371" s="6" t="s">
        <v>3857</v>
      </c>
      <c r="O371" s="3" t="s">
        <v>63</v>
      </c>
      <c r="P371" s="3" t="s">
        <v>464</v>
      </c>
      <c r="Q371" s="3"/>
      <c r="R371" s="3" t="s">
        <v>258</v>
      </c>
      <c r="S371" s="7">
        <v>42018.0</v>
      </c>
      <c r="T371" s="3" t="s">
        <v>63</v>
      </c>
      <c r="U371" s="6" t="s">
        <v>288</v>
      </c>
      <c r="V371" s="3" t="s">
        <v>4</v>
      </c>
      <c r="W371" s="3" t="s">
        <v>102</v>
      </c>
    </row>
    <row r="372" ht="15.75" customHeight="1">
      <c r="A372" s="6" t="s">
        <v>1310</v>
      </c>
      <c r="B372" s="3" t="s">
        <v>6169</v>
      </c>
      <c r="C372" s="7">
        <v>33568.0</v>
      </c>
      <c r="D372" s="3" t="s">
        <v>63</v>
      </c>
      <c r="E372" s="3">
        <v>34.0</v>
      </c>
      <c r="F372" s="3" t="s">
        <v>70</v>
      </c>
      <c r="G372" s="6" t="s">
        <v>6172</v>
      </c>
      <c r="H372" s="3" t="s">
        <v>6173</v>
      </c>
      <c r="I372" s="3" t="s">
        <v>6174</v>
      </c>
      <c r="J372" s="3" t="s">
        <v>225</v>
      </c>
      <c r="K372" s="3" t="s">
        <v>101</v>
      </c>
      <c r="L372" s="6" t="s">
        <v>6176</v>
      </c>
      <c r="M372" s="3" t="s">
        <v>63</v>
      </c>
      <c r="N372" s="6" t="s">
        <v>6177</v>
      </c>
      <c r="O372" s="3" t="s">
        <v>63</v>
      </c>
      <c r="P372" s="3" t="s">
        <v>300</v>
      </c>
      <c r="Q372" s="3"/>
      <c r="R372" s="3" t="s">
        <v>258</v>
      </c>
      <c r="S372" s="7">
        <v>43389.0</v>
      </c>
      <c r="T372" s="3" t="s">
        <v>63</v>
      </c>
      <c r="U372" s="6" t="s">
        <v>129</v>
      </c>
      <c r="V372" s="3" t="s">
        <v>4</v>
      </c>
      <c r="W372" s="3" t="s">
        <v>102</v>
      </c>
    </row>
    <row r="373" ht="15.75" customHeight="1">
      <c r="A373" s="6" t="s">
        <v>4536</v>
      </c>
      <c r="B373" s="3" t="s">
        <v>6179</v>
      </c>
      <c r="C373" s="7">
        <v>32620.0</v>
      </c>
      <c r="D373" s="3" t="s">
        <v>63</v>
      </c>
      <c r="E373" s="3">
        <v>37.0</v>
      </c>
      <c r="F373" s="3" t="s">
        <v>70</v>
      </c>
      <c r="G373" s="6" t="s">
        <v>6182</v>
      </c>
      <c r="H373" s="3" t="s">
        <v>6185</v>
      </c>
      <c r="I373" s="3" t="s">
        <v>6186</v>
      </c>
      <c r="J373" s="3" t="s">
        <v>43</v>
      </c>
      <c r="K373" s="3" t="s">
        <v>45</v>
      </c>
      <c r="L373" s="6" t="s">
        <v>6037</v>
      </c>
      <c r="M373" s="3" t="s">
        <v>63</v>
      </c>
      <c r="N373" s="3"/>
      <c r="O373" s="3" t="s">
        <v>88</v>
      </c>
      <c r="P373" s="3" t="s">
        <v>202</v>
      </c>
      <c r="Q373" s="8">
        <v>1842191.0</v>
      </c>
      <c r="R373" s="3" t="s">
        <v>93</v>
      </c>
      <c r="S373" s="7">
        <v>42344.0</v>
      </c>
      <c r="T373" s="3" t="s">
        <v>63</v>
      </c>
      <c r="U373" s="6" t="s">
        <v>397</v>
      </c>
      <c r="V373" s="3" t="s">
        <v>4</v>
      </c>
      <c r="W373" s="3" t="s">
        <v>102</v>
      </c>
    </row>
    <row r="374" ht="15.75" customHeight="1">
      <c r="A374" s="6" t="s">
        <v>6192</v>
      </c>
      <c r="B374" s="3" t="s">
        <v>6193</v>
      </c>
      <c r="C374" s="7">
        <v>30004.0</v>
      </c>
      <c r="D374" s="3" t="s">
        <v>63</v>
      </c>
      <c r="E374" s="3">
        <v>44.0</v>
      </c>
      <c r="F374" s="3" t="s">
        <v>183</v>
      </c>
      <c r="G374" s="6" t="s">
        <v>6197</v>
      </c>
      <c r="H374" s="3" t="s">
        <v>6198</v>
      </c>
      <c r="I374" s="3" t="s">
        <v>6200</v>
      </c>
      <c r="J374" s="3" t="s">
        <v>119</v>
      </c>
      <c r="K374" s="3" t="s">
        <v>121</v>
      </c>
      <c r="L374" s="6" t="s">
        <v>6202</v>
      </c>
      <c r="M374" s="3" t="s">
        <v>63</v>
      </c>
      <c r="N374" s="6" t="s">
        <v>6203</v>
      </c>
      <c r="O374" s="3" t="s">
        <v>63</v>
      </c>
      <c r="P374" s="3" t="s">
        <v>300</v>
      </c>
      <c r="Q374" s="3"/>
      <c r="R374" s="3" t="s">
        <v>258</v>
      </c>
      <c r="S374" s="7">
        <v>43951.0</v>
      </c>
      <c r="T374" s="3" t="s">
        <v>63</v>
      </c>
      <c r="U374" s="6" t="s">
        <v>109</v>
      </c>
      <c r="V374" s="3" t="s">
        <v>4</v>
      </c>
      <c r="W374" s="3" t="s">
        <v>102</v>
      </c>
    </row>
    <row r="375" ht="15.75" customHeight="1">
      <c r="A375" s="6" t="s">
        <v>660</v>
      </c>
      <c r="B375" s="3" t="s">
        <v>2371</v>
      </c>
      <c r="C375" s="7">
        <v>34115.0</v>
      </c>
      <c r="D375" s="3" t="s">
        <v>63</v>
      </c>
      <c r="E375" s="3">
        <v>33.0</v>
      </c>
      <c r="F375" s="3" t="s">
        <v>70</v>
      </c>
      <c r="G375" s="6" t="s">
        <v>6211</v>
      </c>
      <c r="H375" s="3" t="s">
        <v>6212</v>
      </c>
      <c r="I375" s="3" t="s">
        <v>6213</v>
      </c>
      <c r="J375" s="3" t="s">
        <v>227</v>
      </c>
      <c r="K375" s="3" t="s">
        <v>229</v>
      </c>
      <c r="L375" s="6" t="s">
        <v>661</v>
      </c>
      <c r="M375" s="3" t="s">
        <v>63</v>
      </c>
      <c r="N375" s="6" t="s">
        <v>663</v>
      </c>
      <c r="O375" s="3" t="s">
        <v>63</v>
      </c>
      <c r="P375" s="3" t="s">
        <v>90</v>
      </c>
      <c r="Q375" s="3"/>
      <c r="R375" s="3" t="s">
        <v>258</v>
      </c>
      <c r="S375" s="7">
        <v>44467.0</v>
      </c>
      <c r="T375" s="3" t="s">
        <v>63</v>
      </c>
      <c r="U375" s="6" t="s">
        <v>171</v>
      </c>
      <c r="V375" s="3" t="s">
        <v>4</v>
      </c>
      <c r="W375" s="3" t="s">
        <v>102</v>
      </c>
    </row>
    <row r="376" ht="15.75" customHeight="1">
      <c r="A376" s="6" t="s">
        <v>2236</v>
      </c>
      <c r="B376" s="3" t="s">
        <v>6219</v>
      </c>
      <c r="C376" s="7">
        <v>25360.0</v>
      </c>
      <c r="D376" s="3" t="s">
        <v>63</v>
      </c>
      <c r="E376" s="3">
        <v>57.0</v>
      </c>
      <c r="F376" s="3" t="s">
        <v>183</v>
      </c>
      <c r="G376" s="6" t="s">
        <v>6224</v>
      </c>
      <c r="H376" s="3" t="s">
        <v>6225</v>
      </c>
      <c r="I376" s="3" t="s">
        <v>6226</v>
      </c>
      <c r="J376" s="3" t="s">
        <v>327</v>
      </c>
      <c r="K376" s="3" t="s">
        <v>169</v>
      </c>
      <c r="L376" s="6" t="s">
        <v>6026</v>
      </c>
      <c r="M376" s="3" t="s">
        <v>63</v>
      </c>
      <c r="N376" s="6" t="s">
        <v>6027</v>
      </c>
      <c r="O376" s="3" t="s">
        <v>63</v>
      </c>
      <c r="P376" s="3" t="s">
        <v>396</v>
      </c>
      <c r="Q376" s="3"/>
      <c r="R376" s="3" t="s">
        <v>258</v>
      </c>
      <c r="S376" s="7">
        <v>44137.0</v>
      </c>
      <c r="T376" s="3" t="s">
        <v>63</v>
      </c>
      <c r="U376" s="6" t="s">
        <v>266</v>
      </c>
      <c r="V376" s="3" t="s">
        <v>4</v>
      </c>
      <c r="W376" s="3" t="s">
        <v>102</v>
      </c>
    </row>
    <row r="377" ht="15.75" customHeight="1">
      <c r="A377" s="6" t="s">
        <v>2605</v>
      </c>
      <c r="B377" s="3" t="s">
        <v>6232</v>
      </c>
      <c r="C377" s="7">
        <v>27812.0</v>
      </c>
      <c r="D377" s="3" t="s">
        <v>63</v>
      </c>
      <c r="E377" s="3">
        <v>50.0</v>
      </c>
      <c r="F377" s="3" t="s">
        <v>183</v>
      </c>
      <c r="G377" s="6" t="s">
        <v>6236</v>
      </c>
      <c r="H377" s="3" t="s">
        <v>6238</v>
      </c>
      <c r="I377" s="3" t="s">
        <v>6239</v>
      </c>
      <c r="J377" s="3" t="s">
        <v>282</v>
      </c>
      <c r="K377" s="3" t="s">
        <v>229</v>
      </c>
      <c r="L377" s="6" t="s">
        <v>2610</v>
      </c>
      <c r="M377" s="3" t="s">
        <v>63</v>
      </c>
      <c r="N377" s="6" t="s">
        <v>2612</v>
      </c>
      <c r="O377" s="3" t="s">
        <v>63</v>
      </c>
      <c r="P377" s="3" t="s">
        <v>324</v>
      </c>
      <c r="Q377" s="3"/>
      <c r="R377" s="3" t="s">
        <v>258</v>
      </c>
      <c r="S377" s="7">
        <v>45167.0</v>
      </c>
      <c r="T377" s="3" t="s">
        <v>63</v>
      </c>
      <c r="U377" s="6" t="s">
        <v>197</v>
      </c>
      <c r="V377" s="3" t="s">
        <v>4</v>
      </c>
      <c r="W377" s="3" t="s">
        <v>102</v>
      </c>
    </row>
    <row r="378" ht="15.75" customHeight="1">
      <c r="A378" s="6" t="s">
        <v>3600</v>
      </c>
      <c r="B378" s="3" t="s">
        <v>6245</v>
      </c>
      <c r="C378" s="7">
        <v>26443.0</v>
      </c>
      <c r="D378" s="3" t="s">
        <v>63</v>
      </c>
      <c r="E378" s="3">
        <v>54.0</v>
      </c>
      <c r="F378" s="3" t="s">
        <v>183</v>
      </c>
      <c r="G378" s="6" t="s">
        <v>6248</v>
      </c>
      <c r="H378" s="3" t="s">
        <v>6249</v>
      </c>
      <c r="I378" s="3" t="s">
        <v>6251</v>
      </c>
      <c r="J378" s="3" t="s">
        <v>251</v>
      </c>
      <c r="K378" s="3" t="s">
        <v>251</v>
      </c>
      <c r="L378" s="6" t="s">
        <v>4411</v>
      </c>
      <c r="M378" s="3" t="s">
        <v>63</v>
      </c>
      <c r="N378" s="6" t="s">
        <v>4413</v>
      </c>
      <c r="O378" s="3" t="s">
        <v>63</v>
      </c>
      <c r="P378" s="3" t="s">
        <v>160</v>
      </c>
      <c r="Q378" s="3"/>
      <c r="R378" s="3" t="s">
        <v>258</v>
      </c>
      <c r="S378" s="7">
        <v>45469.0</v>
      </c>
      <c r="T378" s="3" t="s">
        <v>63</v>
      </c>
      <c r="U378" s="6" t="s">
        <v>397</v>
      </c>
      <c r="V378" s="3" t="s">
        <v>4</v>
      </c>
      <c r="W378" s="3" t="s">
        <v>102</v>
      </c>
    </row>
    <row r="379" ht="15.75" customHeight="1">
      <c r="A379" s="6" t="s">
        <v>2215</v>
      </c>
      <c r="B379" s="3" t="s">
        <v>6254</v>
      </c>
      <c r="C379" s="7">
        <v>28982.0</v>
      </c>
      <c r="D379" s="3" t="s">
        <v>63</v>
      </c>
      <c r="E379" s="3">
        <v>47.0</v>
      </c>
      <c r="F379" s="3" t="s">
        <v>70</v>
      </c>
      <c r="G379" s="6" t="s">
        <v>6256</v>
      </c>
      <c r="H379" s="3" t="s">
        <v>6257</v>
      </c>
      <c r="I379" s="3" t="s">
        <v>6259</v>
      </c>
      <c r="J379" s="3" t="s">
        <v>65</v>
      </c>
      <c r="K379" s="3" t="s">
        <v>67</v>
      </c>
      <c r="L379" s="6" t="s">
        <v>5146</v>
      </c>
      <c r="M379" s="3" t="s">
        <v>63</v>
      </c>
      <c r="N379" s="6" t="s">
        <v>5147</v>
      </c>
      <c r="O379" s="3" t="s">
        <v>63</v>
      </c>
      <c r="P379" s="3" t="s">
        <v>324</v>
      </c>
      <c r="Q379" s="3"/>
      <c r="R379" s="3" t="s">
        <v>258</v>
      </c>
      <c r="S379" s="7">
        <v>40913.0</v>
      </c>
      <c r="T379" s="3" t="s">
        <v>63</v>
      </c>
      <c r="U379" s="6" t="s">
        <v>266</v>
      </c>
      <c r="V379" s="3" t="s">
        <v>4</v>
      </c>
      <c r="W379" s="3" t="s">
        <v>102</v>
      </c>
    </row>
    <row r="380" ht="15.75" customHeight="1">
      <c r="A380" s="6" t="s">
        <v>655</v>
      </c>
      <c r="B380" s="3" t="s">
        <v>6262</v>
      </c>
      <c r="C380" s="7">
        <v>28348.0</v>
      </c>
      <c r="D380" s="3" t="s">
        <v>63</v>
      </c>
      <c r="E380" s="3">
        <v>48.0</v>
      </c>
      <c r="F380" s="3" t="s">
        <v>183</v>
      </c>
      <c r="G380" s="6" t="s">
        <v>6264</v>
      </c>
      <c r="H380" s="3" t="s">
        <v>6266</v>
      </c>
      <c r="I380" s="3" t="s">
        <v>6268</v>
      </c>
      <c r="J380" s="3" t="s">
        <v>153</v>
      </c>
      <c r="K380" s="3" t="s">
        <v>67</v>
      </c>
      <c r="L380" s="6" t="s">
        <v>3439</v>
      </c>
      <c r="M380" s="3" t="s">
        <v>63</v>
      </c>
      <c r="N380" s="3"/>
      <c r="O380" s="3" t="s">
        <v>88</v>
      </c>
      <c r="P380" s="3" t="s">
        <v>464</v>
      </c>
      <c r="Q380" s="8">
        <v>2350286.0</v>
      </c>
      <c r="R380" s="3" t="s">
        <v>93</v>
      </c>
      <c r="S380" s="7">
        <v>39498.0</v>
      </c>
      <c r="T380" s="3" t="s">
        <v>63</v>
      </c>
      <c r="U380" s="6" t="s">
        <v>245</v>
      </c>
      <c r="V380" s="3" t="s">
        <v>4</v>
      </c>
      <c r="W380" s="3" t="s">
        <v>102</v>
      </c>
    </row>
    <row r="381" ht="15.75" customHeight="1">
      <c r="A381" s="6" t="s">
        <v>1240</v>
      </c>
      <c r="B381" s="3" t="s">
        <v>6274</v>
      </c>
      <c r="C381" s="7">
        <v>36879.0</v>
      </c>
      <c r="D381" s="3" t="s">
        <v>63</v>
      </c>
      <c r="E381" s="3">
        <v>25.0</v>
      </c>
      <c r="F381" s="3" t="s">
        <v>183</v>
      </c>
      <c r="G381" s="6" t="s">
        <v>6277</v>
      </c>
      <c r="H381" s="3" t="s">
        <v>6278</v>
      </c>
      <c r="I381" s="3" t="s">
        <v>6279</v>
      </c>
      <c r="J381" s="3" t="s">
        <v>379</v>
      </c>
      <c r="K381" s="3" t="s">
        <v>229</v>
      </c>
      <c r="L381" s="6" t="s">
        <v>1394</v>
      </c>
      <c r="M381" s="3" t="s">
        <v>63</v>
      </c>
      <c r="N381" s="6" t="s">
        <v>1396</v>
      </c>
      <c r="O381" s="3" t="s">
        <v>620</v>
      </c>
      <c r="P381" s="3" t="s">
        <v>127</v>
      </c>
      <c r="Q381" s="3"/>
      <c r="R381" s="3" t="s">
        <v>258</v>
      </c>
      <c r="S381" s="7">
        <v>42607.0</v>
      </c>
      <c r="T381" s="3" t="s">
        <v>63</v>
      </c>
      <c r="U381" s="6" t="s">
        <v>208</v>
      </c>
      <c r="V381" s="3" t="s">
        <v>237</v>
      </c>
      <c r="W381" s="3" t="s">
        <v>378</v>
      </c>
    </row>
    <row r="382" ht="15.75" customHeight="1">
      <c r="A382" s="6" t="s">
        <v>931</v>
      </c>
      <c r="B382" s="3" t="s">
        <v>6286</v>
      </c>
      <c r="C382" s="7">
        <v>30896.0</v>
      </c>
      <c r="D382" s="3" t="s">
        <v>63</v>
      </c>
      <c r="E382" s="3">
        <v>42.0</v>
      </c>
      <c r="F382" s="3" t="s">
        <v>183</v>
      </c>
      <c r="G382" s="6" t="s">
        <v>6287</v>
      </c>
      <c r="H382" s="3" t="s">
        <v>6289</v>
      </c>
      <c r="I382" s="3" t="s">
        <v>6290</v>
      </c>
      <c r="J382" s="3" t="s">
        <v>201</v>
      </c>
      <c r="K382" s="3" t="s">
        <v>203</v>
      </c>
      <c r="L382" s="3"/>
      <c r="M382" s="3" t="s">
        <v>88</v>
      </c>
      <c r="N382" s="6" t="s">
        <v>5007</v>
      </c>
      <c r="O382" s="3" t="s">
        <v>63</v>
      </c>
      <c r="P382" s="3" t="s">
        <v>160</v>
      </c>
      <c r="Q382" s="8">
        <v>992432.0</v>
      </c>
      <c r="R382" s="3" t="s">
        <v>93</v>
      </c>
      <c r="S382" s="7">
        <v>40926.0</v>
      </c>
      <c r="T382" s="3" t="s">
        <v>63</v>
      </c>
      <c r="U382" s="6" t="s">
        <v>234</v>
      </c>
      <c r="V382" s="3" t="s">
        <v>237</v>
      </c>
      <c r="W382" s="3" t="s">
        <v>102</v>
      </c>
    </row>
    <row r="383" ht="15.75" customHeight="1">
      <c r="A383" s="6" t="s">
        <v>5496</v>
      </c>
      <c r="B383" s="3" t="s">
        <v>6297</v>
      </c>
      <c r="C383" s="7">
        <v>29545.0</v>
      </c>
      <c r="D383" s="3" t="s">
        <v>63</v>
      </c>
      <c r="E383" s="3">
        <v>45.0</v>
      </c>
      <c r="F383" s="3" t="s">
        <v>70</v>
      </c>
      <c r="G383" s="6" t="s">
        <v>6298</v>
      </c>
      <c r="H383" s="3" t="s">
        <v>6299</v>
      </c>
      <c r="I383" s="3" t="s">
        <v>6300</v>
      </c>
      <c r="J383" s="3" t="s">
        <v>134</v>
      </c>
      <c r="K383" s="3" t="s">
        <v>137</v>
      </c>
      <c r="L383" s="6" t="s">
        <v>5497</v>
      </c>
      <c r="M383" s="3" t="s">
        <v>63</v>
      </c>
      <c r="N383" s="3"/>
      <c r="O383" s="3" t="s">
        <v>88</v>
      </c>
      <c r="P383" s="3" t="s">
        <v>90</v>
      </c>
      <c r="Q383" s="8">
        <v>1914170.0</v>
      </c>
      <c r="R383" s="3" t="s">
        <v>93</v>
      </c>
      <c r="S383" s="7">
        <v>44650.0</v>
      </c>
      <c r="T383" s="3" t="s">
        <v>63</v>
      </c>
      <c r="U383" s="6" t="s">
        <v>266</v>
      </c>
      <c r="V383" s="3" t="s">
        <v>4</v>
      </c>
      <c r="W383" s="3" t="s">
        <v>102</v>
      </c>
    </row>
    <row r="384" ht="15.75" customHeight="1">
      <c r="A384" s="6" t="s">
        <v>2528</v>
      </c>
      <c r="B384" s="3" t="s">
        <v>6303</v>
      </c>
      <c r="C384" s="7">
        <v>27332.0</v>
      </c>
      <c r="D384" s="3" t="s">
        <v>63</v>
      </c>
      <c r="E384" s="3">
        <v>51.0</v>
      </c>
      <c r="F384" s="3" t="s">
        <v>183</v>
      </c>
      <c r="G384" s="6" t="s">
        <v>6305</v>
      </c>
      <c r="H384" s="3" t="s">
        <v>6306</v>
      </c>
      <c r="I384" s="3" t="s">
        <v>6307</v>
      </c>
      <c r="J384" s="3" t="s">
        <v>201</v>
      </c>
      <c r="K384" s="3" t="s">
        <v>203</v>
      </c>
      <c r="L384" s="6" t="s">
        <v>2947</v>
      </c>
      <c r="M384" s="3" t="s">
        <v>63</v>
      </c>
      <c r="N384" s="6" t="s">
        <v>2948</v>
      </c>
      <c r="O384" s="3" t="s">
        <v>63</v>
      </c>
      <c r="P384" s="3" t="s">
        <v>300</v>
      </c>
      <c r="Q384" s="8">
        <v>1013122.0</v>
      </c>
      <c r="R384" s="3" t="s">
        <v>93</v>
      </c>
      <c r="S384" s="7">
        <v>44516.0</v>
      </c>
      <c r="T384" s="3" t="s">
        <v>63</v>
      </c>
      <c r="U384" s="6" t="s">
        <v>301</v>
      </c>
      <c r="V384" s="3" t="s">
        <v>4</v>
      </c>
      <c r="W384" s="3" t="s">
        <v>102</v>
      </c>
    </row>
    <row r="385" ht="15.75" customHeight="1">
      <c r="A385" s="6" t="s">
        <v>1948</v>
      </c>
      <c r="B385" s="3" t="s">
        <v>6310</v>
      </c>
      <c r="C385" s="7">
        <v>31363.0</v>
      </c>
      <c r="D385" s="3" t="s">
        <v>63</v>
      </c>
      <c r="E385" s="3">
        <v>40.0</v>
      </c>
      <c r="F385" s="3" t="s">
        <v>70</v>
      </c>
      <c r="G385" s="6" t="s">
        <v>6311</v>
      </c>
      <c r="H385" s="3"/>
      <c r="I385" s="3" t="s">
        <v>3476</v>
      </c>
      <c r="J385" s="3" t="s">
        <v>65</v>
      </c>
      <c r="K385" s="3" t="s">
        <v>67</v>
      </c>
      <c r="L385" s="6" t="s">
        <v>1950</v>
      </c>
      <c r="M385" s="3" t="s">
        <v>63</v>
      </c>
      <c r="N385" s="6" t="s">
        <v>1951</v>
      </c>
      <c r="O385" s="3" t="s">
        <v>63</v>
      </c>
      <c r="P385" s="3" t="s">
        <v>202</v>
      </c>
      <c r="Q385" s="3"/>
      <c r="R385" s="3" t="s">
        <v>258</v>
      </c>
      <c r="S385" s="7">
        <v>43720.0</v>
      </c>
      <c r="T385" s="3" t="s">
        <v>63</v>
      </c>
      <c r="U385" s="6" t="s">
        <v>262</v>
      </c>
      <c r="V385" s="3" t="s">
        <v>237</v>
      </c>
      <c r="W385" s="3" t="s">
        <v>102</v>
      </c>
    </row>
    <row r="386" ht="15.75" customHeight="1">
      <c r="A386" s="6" t="s">
        <v>4389</v>
      </c>
      <c r="B386" s="3" t="s">
        <v>6321</v>
      </c>
      <c r="C386" s="7">
        <v>31679.0</v>
      </c>
      <c r="D386" s="3" t="s">
        <v>63</v>
      </c>
      <c r="E386" s="3">
        <v>39.0</v>
      </c>
      <c r="F386" s="3" t="s">
        <v>183</v>
      </c>
      <c r="G386" s="6" t="s">
        <v>6323</v>
      </c>
      <c r="H386" s="3"/>
      <c r="I386" s="3" t="s">
        <v>6325</v>
      </c>
      <c r="J386" s="3" t="s">
        <v>337</v>
      </c>
      <c r="K386" s="3" t="s">
        <v>137</v>
      </c>
      <c r="L386" s="6" t="s">
        <v>4492</v>
      </c>
      <c r="M386" s="3" t="s">
        <v>63</v>
      </c>
      <c r="N386" s="6" t="s">
        <v>4493</v>
      </c>
      <c r="O386" s="3" t="s">
        <v>63</v>
      </c>
      <c r="P386" s="3" t="s">
        <v>202</v>
      </c>
      <c r="Q386" s="3"/>
      <c r="R386" s="3" t="s">
        <v>258</v>
      </c>
      <c r="S386" s="7">
        <v>38572.0</v>
      </c>
      <c r="T386" s="3" t="s">
        <v>63</v>
      </c>
      <c r="U386" s="6" t="s">
        <v>311</v>
      </c>
      <c r="V386" s="3" t="s">
        <v>4</v>
      </c>
      <c r="W386" s="3" t="s">
        <v>102</v>
      </c>
    </row>
    <row r="387" ht="15.75" customHeight="1">
      <c r="A387" s="6" t="s">
        <v>2265</v>
      </c>
      <c r="B387" s="3" t="s">
        <v>6331</v>
      </c>
      <c r="C387" s="7">
        <v>26485.0</v>
      </c>
      <c r="D387" s="3" t="s">
        <v>63</v>
      </c>
      <c r="E387" s="3">
        <v>54.0</v>
      </c>
      <c r="F387" s="3" t="s">
        <v>70</v>
      </c>
      <c r="G387" s="6" t="s">
        <v>6332</v>
      </c>
      <c r="H387" s="3" t="s">
        <v>6333</v>
      </c>
      <c r="I387" s="3" t="s">
        <v>6334</v>
      </c>
      <c r="J387" s="3" t="s">
        <v>327</v>
      </c>
      <c r="K387" s="3" t="s">
        <v>169</v>
      </c>
      <c r="L387" s="6" t="s">
        <v>2267</v>
      </c>
      <c r="M387" s="3" t="s">
        <v>63</v>
      </c>
      <c r="N387" s="6" t="s">
        <v>2271</v>
      </c>
      <c r="O387" s="3" t="s">
        <v>63</v>
      </c>
      <c r="P387" s="3" t="s">
        <v>160</v>
      </c>
      <c r="Q387" s="3"/>
      <c r="R387" s="3" t="s">
        <v>258</v>
      </c>
      <c r="S387" s="7">
        <v>39725.0</v>
      </c>
      <c r="T387" s="3" t="s">
        <v>63</v>
      </c>
      <c r="U387" s="6" t="s">
        <v>80</v>
      </c>
      <c r="V387" s="3" t="s">
        <v>4</v>
      </c>
      <c r="W387" s="3" t="s">
        <v>102</v>
      </c>
    </row>
    <row r="388" ht="15.75" customHeight="1">
      <c r="A388" s="6" t="s">
        <v>2266</v>
      </c>
      <c r="B388" s="3" t="s">
        <v>6339</v>
      </c>
      <c r="C388" s="7">
        <v>28137.0</v>
      </c>
      <c r="D388" s="3" t="s">
        <v>63</v>
      </c>
      <c r="E388" s="3">
        <v>49.0</v>
      </c>
      <c r="F388" s="3" t="s">
        <v>70</v>
      </c>
      <c r="G388" s="6" t="s">
        <v>6342</v>
      </c>
      <c r="H388" s="3" t="s">
        <v>6343</v>
      </c>
      <c r="I388" s="3" t="s">
        <v>6345</v>
      </c>
      <c r="J388" s="3" t="s">
        <v>190</v>
      </c>
      <c r="K388" s="3" t="s">
        <v>193</v>
      </c>
      <c r="L388" s="6" t="s">
        <v>6346</v>
      </c>
      <c r="M388" s="3" t="s">
        <v>63</v>
      </c>
      <c r="N388" s="6" t="s">
        <v>6347</v>
      </c>
      <c r="O388" s="3" t="s">
        <v>63</v>
      </c>
      <c r="P388" s="3" t="s">
        <v>202</v>
      </c>
      <c r="Q388" s="3"/>
      <c r="R388" s="3" t="s">
        <v>258</v>
      </c>
      <c r="S388" s="7">
        <v>44183.0</v>
      </c>
      <c r="T388" s="3" t="s">
        <v>63</v>
      </c>
      <c r="U388" s="6" t="s">
        <v>288</v>
      </c>
      <c r="V388" s="3" t="s">
        <v>4</v>
      </c>
      <c r="W388" s="3" t="s">
        <v>102</v>
      </c>
    </row>
    <row r="389" ht="15.75" customHeight="1">
      <c r="A389" s="6" t="s">
        <v>3363</v>
      </c>
      <c r="B389" s="3" t="s">
        <v>6352</v>
      </c>
      <c r="C389" s="7">
        <v>21910.0</v>
      </c>
      <c r="D389" s="3" t="s">
        <v>63</v>
      </c>
      <c r="E389" s="3">
        <v>66.0</v>
      </c>
      <c r="F389" s="3" t="s">
        <v>183</v>
      </c>
      <c r="G389" s="6" t="s">
        <v>6353</v>
      </c>
      <c r="H389" s="3" t="s">
        <v>6354</v>
      </c>
      <c r="I389" s="3" t="s">
        <v>6356</v>
      </c>
      <c r="J389" s="3" t="s">
        <v>271</v>
      </c>
      <c r="K389" s="3" t="s">
        <v>273</v>
      </c>
      <c r="L389" s="6" t="s">
        <v>5762</v>
      </c>
      <c r="M389" s="3" t="s">
        <v>63</v>
      </c>
      <c r="N389" s="6" t="s">
        <v>5763</v>
      </c>
      <c r="O389" s="3" t="s">
        <v>63</v>
      </c>
      <c r="P389" s="3" t="s">
        <v>464</v>
      </c>
      <c r="Q389" s="8">
        <v>2143008.0</v>
      </c>
      <c r="R389" s="3" t="s">
        <v>93</v>
      </c>
      <c r="S389" s="7">
        <v>45689.0</v>
      </c>
      <c r="T389" s="3" t="s">
        <v>63</v>
      </c>
      <c r="U389" s="6" t="s">
        <v>179</v>
      </c>
      <c r="V389" s="3" t="s">
        <v>4</v>
      </c>
      <c r="W389" s="3" t="s">
        <v>378</v>
      </c>
    </row>
    <row r="390" ht="15.75" customHeight="1">
      <c r="A390" s="6" t="s">
        <v>5793</v>
      </c>
      <c r="B390" s="3" t="s">
        <v>6365</v>
      </c>
      <c r="C390" s="7">
        <v>30207.0</v>
      </c>
      <c r="D390" s="3" t="s">
        <v>63</v>
      </c>
      <c r="E390" s="3">
        <v>43.0</v>
      </c>
      <c r="F390" s="3" t="s">
        <v>183</v>
      </c>
      <c r="G390" s="6" t="s">
        <v>6367</v>
      </c>
      <c r="H390" s="3" t="s">
        <v>6369</v>
      </c>
      <c r="I390" s="3" t="s">
        <v>6370</v>
      </c>
      <c r="J390" s="3" t="s">
        <v>151</v>
      </c>
      <c r="K390" s="3" t="s">
        <v>121</v>
      </c>
      <c r="L390" s="6" t="s">
        <v>5794</v>
      </c>
      <c r="M390" s="3" t="s">
        <v>63</v>
      </c>
      <c r="N390" s="6" t="s">
        <v>5795</v>
      </c>
      <c r="O390" s="3" t="s">
        <v>63</v>
      </c>
      <c r="P390" s="3" t="s">
        <v>300</v>
      </c>
      <c r="Q390" s="3"/>
      <c r="R390" s="3" t="s">
        <v>258</v>
      </c>
      <c r="S390" s="7">
        <v>40354.0</v>
      </c>
      <c r="T390" s="3" t="s">
        <v>63</v>
      </c>
      <c r="U390" s="6" t="s">
        <v>208</v>
      </c>
      <c r="V390" s="3" t="s">
        <v>4</v>
      </c>
      <c r="W390" s="3" t="s">
        <v>102</v>
      </c>
    </row>
    <row r="391" ht="15.75" customHeight="1">
      <c r="A391" s="6" t="s">
        <v>2056</v>
      </c>
      <c r="B391" s="3" t="s">
        <v>6377</v>
      </c>
      <c r="C391" s="7">
        <v>21694.0</v>
      </c>
      <c r="D391" s="3" t="s">
        <v>63</v>
      </c>
      <c r="E391" s="3">
        <v>67.0</v>
      </c>
      <c r="F391" s="3" t="s">
        <v>70</v>
      </c>
      <c r="G391" s="6" t="s">
        <v>6379</v>
      </c>
      <c r="H391" s="3" t="s">
        <v>6380</v>
      </c>
      <c r="I391" s="3" t="s">
        <v>1325</v>
      </c>
      <c r="J391" s="3" t="s">
        <v>305</v>
      </c>
      <c r="K391" s="3" t="s">
        <v>193</v>
      </c>
      <c r="L391" s="6" t="s">
        <v>3524</v>
      </c>
      <c r="M391" s="3" t="s">
        <v>63</v>
      </c>
      <c r="N391" s="6" t="s">
        <v>3525</v>
      </c>
      <c r="O391" s="3" t="s">
        <v>63</v>
      </c>
      <c r="P391" s="3" t="s">
        <v>324</v>
      </c>
      <c r="Q391" s="8">
        <v>1374891.0</v>
      </c>
      <c r="R391" s="3" t="s">
        <v>93</v>
      </c>
      <c r="S391" s="7">
        <v>39614.0</v>
      </c>
      <c r="T391" s="3" t="s">
        <v>63</v>
      </c>
      <c r="U391" s="6" t="s">
        <v>288</v>
      </c>
      <c r="V391" s="3" t="s">
        <v>237</v>
      </c>
      <c r="W391" s="3" t="s">
        <v>102</v>
      </c>
    </row>
    <row r="392" ht="15.75" customHeight="1">
      <c r="A392" s="6" t="s">
        <v>3428</v>
      </c>
      <c r="B392" s="3" t="s">
        <v>6385</v>
      </c>
      <c r="C392" s="7">
        <v>29567.0</v>
      </c>
      <c r="D392" s="3" t="s">
        <v>63</v>
      </c>
      <c r="E392" s="3">
        <v>45.0</v>
      </c>
      <c r="F392" s="3" t="s">
        <v>70</v>
      </c>
      <c r="G392" s="6" t="s">
        <v>6387</v>
      </c>
      <c r="H392" s="3" t="s">
        <v>6388</v>
      </c>
      <c r="I392" s="3" t="s">
        <v>6389</v>
      </c>
      <c r="J392" s="3" t="s">
        <v>98</v>
      </c>
      <c r="K392" s="3" t="s">
        <v>101</v>
      </c>
      <c r="L392" s="3"/>
      <c r="M392" s="3" t="s">
        <v>88</v>
      </c>
      <c r="N392" s="6" t="s">
        <v>3988</v>
      </c>
      <c r="O392" s="3" t="s">
        <v>63</v>
      </c>
      <c r="P392" s="3" t="s">
        <v>300</v>
      </c>
      <c r="Q392" s="3"/>
      <c r="R392" s="3" t="s">
        <v>258</v>
      </c>
      <c r="S392" s="7">
        <v>43328.0</v>
      </c>
      <c r="T392" s="3" t="s">
        <v>63</v>
      </c>
      <c r="U392" s="6" t="s">
        <v>333</v>
      </c>
      <c r="V392" s="3" t="s">
        <v>4</v>
      </c>
      <c r="W392" s="3" t="s">
        <v>102</v>
      </c>
    </row>
    <row r="393" ht="15.75" customHeight="1">
      <c r="A393" s="6" t="s">
        <v>5405</v>
      </c>
      <c r="B393" s="3" t="s">
        <v>5872</v>
      </c>
      <c r="C393" s="7">
        <v>47237.0</v>
      </c>
      <c r="D393" s="3" t="s">
        <v>1155</v>
      </c>
      <c r="E393" s="3"/>
      <c r="F393" s="3" t="s">
        <v>183</v>
      </c>
      <c r="G393" s="6" t="s">
        <v>6399</v>
      </c>
      <c r="H393" s="3" t="s">
        <v>6400</v>
      </c>
      <c r="I393" s="3" t="s">
        <v>6401</v>
      </c>
      <c r="J393" s="3" t="s">
        <v>184</v>
      </c>
      <c r="K393" s="3" t="s">
        <v>187</v>
      </c>
      <c r="L393" s="3"/>
      <c r="M393" s="3" t="s">
        <v>88</v>
      </c>
      <c r="N393" s="3"/>
      <c r="O393" s="3" t="s">
        <v>88</v>
      </c>
      <c r="P393" s="3" t="s">
        <v>160</v>
      </c>
      <c r="Q393" s="3"/>
      <c r="R393" s="3" t="s">
        <v>258</v>
      </c>
      <c r="S393" s="7">
        <v>41936.0</v>
      </c>
      <c r="T393" s="3" t="s">
        <v>1178</v>
      </c>
      <c r="U393" s="6" t="s">
        <v>92</v>
      </c>
      <c r="V393" s="3" t="s">
        <v>4</v>
      </c>
      <c r="W393" s="3" t="s">
        <v>102</v>
      </c>
    </row>
    <row r="394" ht="15.75" customHeight="1">
      <c r="A394" s="6" t="s">
        <v>4540</v>
      </c>
      <c r="B394" s="3" t="s">
        <v>6405</v>
      </c>
      <c r="C394" s="7">
        <v>25645.0</v>
      </c>
      <c r="D394" s="3" t="s">
        <v>63</v>
      </c>
      <c r="E394" s="3">
        <v>56.0</v>
      </c>
      <c r="F394" s="3" t="s">
        <v>70</v>
      </c>
      <c r="G394" s="6" t="s">
        <v>6409</v>
      </c>
      <c r="H394" s="3" t="s">
        <v>6410</v>
      </c>
      <c r="I394" s="3" t="s">
        <v>6411</v>
      </c>
      <c r="J394" s="3" t="s">
        <v>43</v>
      </c>
      <c r="K394" s="3" t="s">
        <v>45</v>
      </c>
      <c r="L394" s="6" t="s">
        <v>6413</v>
      </c>
      <c r="M394" s="3" t="s">
        <v>63</v>
      </c>
      <c r="N394" s="6" t="s">
        <v>6416</v>
      </c>
      <c r="O394" s="3" t="s">
        <v>63</v>
      </c>
      <c r="P394" s="3" t="s">
        <v>464</v>
      </c>
      <c r="Q394" s="8">
        <v>306329.0</v>
      </c>
      <c r="R394" s="3" t="s">
        <v>93</v>
      </c>
      <c r="S394" s="7">
        <v>41629.0</v>
      </c>
      <c r="T394" s="3" t="s">
        <v>63</v>
      </c>
      <c r="U394" s="6" t="s">
        <v>234</v>
      </c>
      <c r="V394" s="3" t="s">
        <v>4</v>
      </c>
      <c r="W394" s="3" t="s">
        <v>102</v>
      </c>
    </row>
    <row r="395" ht="15.75" customHeight="1">
      <c r="A395" s="6" t="s">
        <v>2767</v>
      </c>
      <c r="B395" s="3" t="s">
        <v>6420</v>
      </c>
      <c r="C395" s="7">
        <v>22982.0</v>
      </c>
      <c r="D395" s="3" t="s">
        <v>63</v>
      </c>
      <c r="E395" s="3">
        <v>63.0</v>
      </c>
      <c r="F395" s="3" t="s">
        <v>183</v>
      </c>
      <c r="G395" s="6" t="s">
        <v>6423</v>
      </c>
      <c r="H395" s="3" t="s">
        <v>6425</v>
      </c>
      <c r="I395" s="3" t="s">
        <v>6427</v>
      </c>
      <c r="J395" s="3" t="s">
        <v>134</v>
      </c>
      <c r="K395" s="3" t="s">
        <v>137</v>
      </c>
      <c r="L395" s="6" t="s">
        <v>5737</v>
      </c>
      <c r="M395" s="3" t="s">
        <v>63</v>
      </c>
      <c r="N395" s="6" t="s">
        <v>5738</v>
      </c>
      <c r="O395" s="3" t="s">
        <v>63</v>
      </c>
      <c r="P395" s="3" t="s">
        <v>160</v>
      </c>
      <c r="Q395" s="3"/>
      <c r="R395" s="3" t="s">
        <v>258</v>
      </c>
      <c r="S395" s="7">
        <v>43203.0</v>
      </c>
      <c r="T395" s="3" t="s">
        <v>63</v>
      </c>
      <c r="U395" s="6" t="s">
        <v>129</v>
      </c>
      <c r="V395" s="3" t="s">
        <v>4</v>
      </c>
      <c r="W395" s="3" t="s">
        <v>102</v>
      </c>
    </row>
    <row r="396" ht="15.75" customHeight="1">
      <c r="A396" s="6" t="s">
        <v>2131</v>
      </c>
      <c r="B396" s="3" t="s">
        <v>6434</v>
      </c>
      <c r="C396" s="7">
        <v>30468.0</v>
      </c>
      <c r="D396" s="3" t="s">
        <v>63</v>
      </c>
      <c r="E396" s="3">
        <v>43.0</v>
      </c>
      <c r="F396" s="3" t="s">
        <v>70</v>
      </c>
      <c r="G396" s="6" t="s">
        <v>6437</v>
      </c>
      <c r="H396" s="3" t="s">
        <v>6438</v>
      </c>
      <c r="I396" s="3" t="s">
        <v>6439</v>
      </c>
      <c r="J396" s="3" t="s">
        <v>85</v>
      </c>
      <c r="K396" s="3" t="s">
        <v>67</v>
      </c>
      <c r="L396" s="6" t="s">
        <v>6057</v>
      </c>
      <c r="M396" s="3" t="s">
        <v>63</v>
      </c>
      <c r="N396" s="6" t="s">
        <v>6058</v>
      </c>
      <c r="O396" s="3" t="s">
        <v>63</v>
      </c>
      <c r="P396" s="3" t="s">
        <v>90</v>
      </c>
      <c r="Q396" s="3"/>
      <c r="R396" s="3" t="s">
        <v>258</v>
      </c>
      <c r="S396" s="7">
        <v>41380.0</v>
      </c>
      <c r="T396" s="3" t="s">
        <v>63</v>
      </c>
      <c r="U396" s="6" t="s">
        <v>266</v>
      </c>
      <c r="V396" s="3" t="s">
        <v>4</v>
      </c>
      <c r="W396" s="3" t="s">
        <v>102</v>
      </c>
    </row>
    <row r="397" ht="15.75" customHeight="1">
      <c r="A397" s="6" t="s">
        <v>1070</v>
      </c>
      <c r="B397" s="3" t="s">
        <v>6444</v>
      </c>
      <c r="C397" s="7">
        <v>29531.0</v>
      </c>
      <c r="D397" s="3" t="s">
        <v>63</v>
      </c>
      <c r="E397" s="3">
        <v>45.0</v>
      </c>
      <c r="F397" s="3" t="s">
        <v>183</v>
      </c>
      <c r="G397" s="6" t="s">
        <v>6446</v>
      </c>
      <c r="H397" s="3" t="s">
        <v>6447</v>
      </c>
      <c r="I397" s="3" t="s">
        <v>6449</v>
      </c>
      <c r="J397" s="3" t="s">
        <v>305</v>
      </c>
      <c r="K397" s="3" t="s">
        <v>193</v>
      </c>
      <c r="L397" s="6" t="s">
        <v>3144</v>
      </c>
      <c r="M397" s="3" t="s">
        <v>63</v>
      </c>
      <c r="N397" s="6" t="s">
        <v>3145</v>
      </c>
      <c r="O397" s="3" t="s">
        <v>63</v>
      </c>
      <c r="P397" s="3" t="s">
        <v>396</v>
      </c>
      <c r="Q397" s="3"/>
      <c r="R397" s="3" t="s">
        <v>258</v>
      </c>
      <c r="S397" s="7">
        <v>39353.0</v>
      </c>
      <c r="T397" s="3" t="s">
        <v>63</v>
      </c>
      <c r="U397" s="6" t="s">
        <v>266</v>
      </c>
      <c r="V397" s="3" t="s">
        <v>4</v>
      </c>
      <c r="W397" s="3" t="s">
        <v>102</v>
      </c>
    </row>
    <row r="398" ht="15.75" customHeight="1">
      <c r="A398" s="6" t="s">
        <v>2769</v>
      </c>
      <c r="B398" s="3" t="s">
        <v>6456</v>
      </c>
      <c r="C398" s="7">
        <v>32907.0</v>
      </c>
      <c r="D398" s="3" t="s">
        <v>63</v>
      </c>
      <c r="E398" s="3">
        <v>36.0</v>
      </c>
      <c r="F398" s="3" t="s">
        <v>70</v>
      </c>
      <c r="G398" s="6" t="s">
        <v>6457</v>
      </c>
      <c r="H398" s="3" t="s">
        <v>6458</v>
      </c>
      <c r="I398" s="3" t="s">
        <v>6460</v>
      </c>
      <c r="J398" s="3" t="s">
        <v>184</v>
      </c>
      <c r="K398" s="3" t="s">
        <v>187</v>
      </c>
      <c r="L398" s="6" t="s">
        <v>2771</v>
      </c>
      <c r="M398" s="3" t="s">
        <v>63</v>
      </c>
      <c r="N398" s="6" t="s">
        <v>2773</v>
      </c>
      <c r="O398" s="3" t="s">
        <v>63</v>
      </c>
      <c r="P398" s="3" t="s">
        <v>396</v>
      </c>
      <c r="Q398" s="3"/>
      <c r="R398" s="3" t="s">
        <v>258</v>
      </c>
      <c r="S398" s="7">
        <v>44385.0</v>
      </c>
      <c r="T398" s="3" t="s">
        <v>63</v>
      </c>
      <c r="U398" s="6" t="s">
        <v>136</v>
      </c>
      <c r="V398" s="3" t="s">
        <v>4</v>
      </c>
      <c r="W398" s="3" t="s">
        <v>102</v>
      </c>
    </row>
    <row r="399" ht="15.75" customHeight="1">
      <c r="A399" s="6" t="s">
        <v>1050</v>
      </c>
      <c r="B399" s="3" t="s">
        <v>6466</v>
      </c>
      <c r="C399" s="7">
        <v>30114.0</v>
      </c>
      <c r="D399" s="3" t="s">
        <v>63</v>
      </c>
      <c r="E399" s="3">
        <v>44.0</v>
      </c>
      <c r="F399" s="3" t="s">
        <v>183</v>
      </c>
      <c r="G399" s="6" t="s">
        <v>6468</v>
      </c>
      <c r="H399" s="3" t="s">
        <v>6470</v>
      </c>
      <c r="I399" s="3" t="s">
        <v>6471</v>
      </c>
      <c r="J399" s="3" t="s">
        <v>327</v>
      </c>
      <c r="K399" s="3" t="s">
        <v>169</v>
      </c>
      <c r="L399" s="6" t="s">
        <v>6472</v>
      </c>
      <c r="M399" s="3" t="s">
        <v>63</v>
      </c>
      <c r="N399" s="6" t="s">
        <v>6474</v>
      </c>
      <c r="O399" s="3" t="s">
        <v>63</v>
      </c>
      <c r="P399" s="3" t="s">
        <v>202</v>
      </c>
      <c r="Q399" s="3"/>
      <c r="R399" s="3" t="s">
        <v>258</v>
      </c>
      <c r="S399" s="7">
        <v>42872.0</v>
      </c>
      <c r="T399" s="3" t="s">
        <v>63</v>
      </c>
      <c r="U399" s="6" t="s">
        <v>277</v>
      </c>
      <c r="V399" s="3" t="s">
        <v>4</v>
      </c>
      <c r="W399" s="3" t="s">
        <v>102</v>
      </c>
    </row>
    <row r="400" ht="15.75" customHeight="1">
      <c r="A400" s="6" t="s">
        <v>1398</v>
      </c>
      <c r="B400" s="3" t="s">
        <v>6479</v>
      </c>
      <c r="C400" s="7">
        <v>35759.0</v>
      </c>
      <c r="D400" s="3" t="s">
        <v>63</v>
      </c>
      <c r="E400" s="3">
        <v>28.0</v>
      </c>
      <c r="F400" s="3" t="s">
        <v>183</v>
      </c>
      <c r="G400" s="6" t="s">
        <v>6481</v>
      </c>
      <c r="H400" s="3" t="s">
        <v>6482</v>
      </c>
      <c r="I400" s="3" t="s">
        <v>6483</v>
      </c>
      <c r="J400" s="3" t="s">
        <v>225</v>
      </c>
      <c r="K400" s="3" t="s">
        <v>101</v>
      </c>
      <c r="L400" s="6" t="s">
        <v>5038</v>
      </c>
      <c r="M400" s="3" t="s">
        <v>63</v>
      </c>
      <c r="N400" s="6" t="s">
        <v>5039</v>
      </c>
      <c r="O400" s="3" t="s">
        <v>63</v>
      </c>
      <c r="P400" s="3" t="s">
        <v>160</v>
      </c>
      <c r="Q400" s="8">
        <v>1202662.0</v>
      </c>
      <c r="R400" s="3" t="s">
        <v>93</v>
      </c>
      <c r="S400" s="7">
        <v>42317.0</v>
      </c>
      <c r="T400" s="3" t="s">
        <v>63</v>
      </c>
      <c r="U400" s="6" t="s">
        <v>179</v>
      </c>
      <c r="V400" s="3" t="s">
        <v>4</v>
      </c>
      <c r="W400" s="3" t="s">
        <v>378</v>
      </c>
    </row>
    <row r="401" ht="15.75" customHeight="1">
      <c r="A401" s="6" t="s">
        <v>1315</v>
      </c>
      <c r="B401" s="3" t="s">
        <v>6485</v>
      </c>
      <c r="C401" s="7">
        <v>33029.0</v>
      </c>
      <c r="D401" s="3" t="s">
        <v>63</v>
      </c>
      <c r="E401" s="3">
        <v>36.0</v>
      </c>
      <c r="F401" s="3" t="s">
        <v>70</v>
      </c>
      <c r="G401" s="6" t="s">
        <v>6486</v>
      </c>
      <c r="H401" s="3"/>
      <c r="I401" s="3" t="s">
        <v>6487</v>
      </c>
      <c r="J401" s="3" t="s">
        <v>190</v>
      </c>
      <c r="K401" s="3" t="s">
        <v>193</v>
      </c>
      <c r="L401" s="6" t="s">
        <v>2229</v>
      </c>
      <c r="M401" s="3" t="s">
        <v>63</v>
      </c>
      <c r="N401" s="6" t="s">
        <v>2231</v>
      </c>
      <c r="O401" s="3" t="s">
        <v>63</v>
      </c>
      <c r="P401" s="3" t="s">
        <v>202</v>
      </c>
      <c r="Q401" s="8">
        <v>235702.0</v>
      </c>
      <c r="R401" s="3" t="s">
        <v>93</v>
      </c>
      <c r="S401" s="7">
        <v>44780.0</v>
      </c>
      <c r="T401" s="3" t="s">
        <v>63</v>
      </c>
      <c r="U401" s="6" t="s">
        <v>352</v>
      </c>
      <c r="V401" s="3" t="s">
        <v>4</v>
      </c>
      <c r="W401" s="3" t="s">
        <v>102</v>
      </c>
    </row>
    <row r="402" ht="15.75" customHeight="1">
      <c r="A402" s="6" t="s">
        <v>2987</v>
      </c>
      <c r="B402" s="3" t="s">
        <v>6494</v>
      </c>
      <c r="C402" s="7">
        <v>26155.0</v>
      </c>
      <c r="D402" s="3" t="s">
        <v>63</v>
      </c>
      <c r="E402" s="3">
        <v>54.0</v>
      </c>
      <c r="F402" s="3" t="s">
        <v>70</v>
      </c>
      <c r="G402" s="6" t="s">
        <v>6496</v>
      </c>
      <c r="H402" s="3"/>
      <c r="I402" s="3" t="s">
        <v>6497</v>
      </c>
      <c r="J402" s="3" t="s">
        <v>358</v>
      </c>
      <c r="K402" s="3" t="s">
        <v>360</v>
      </c>
      <c r="L402" s="6" t="s">
        <v>6498</v>
      </c>
      <c r="M402" s="3" t="s">
        <v>63</v>
      </c>
      <c r="N402" s="6" t="s">
        <v>6499</v>
      </c>
      <c r="O402" s="3" t="s">
        <v>63</v>
      </c>
      <c r="P402" s="3" t="s">
        <v>464</v>
      </c>
      <c r="Q402" s="3"/>
      <c r="R402" s="3" t="s">
        <v>258</v>
      </c>
      <c r="S402" s="7">
        <v>38381.0</v>
      </c>
      <c r="T402" s="3" t="s">
        <v>63</v>
      </c>
      <c r="U402" s="6" t="s">
        <v>385</v>
      </c>
      <c r="V402" s="3" t="s">
        <v>4</v>
      </c>
      <c r="W402" s="3" t="s">
        <v>102</v>
      </c>
    </row>
    <row r="403" ht="15.75" customHeight="1">
      <c r="A403" s="6" t="s">
        <v>3974</v>
      </c>
      <c r="B403" s="3" t="s">
        <v>6503</v>
      </c>
      <c r="C403" s="7">
        <v>33964.0</v>
      </c>
      <c r="D403" s="3" t="s">
        <v>63</v>
      </c>
      <c r="E403" s="3">
        <v>33.0</v>
      </c>
      <c r="F403" s="3" t="s">
        <v>183</v>
      </c>
      <c r="G403" s="6" t="s">
        <v>6505</v>
      </c>
      <c r="H403" s="3" t="s">
        <v>6506</v>
      </c>
      <c r="I403" s="3" t="s">
        <v>6507</v>
      </c>
      <c r="J403" s="3" t="s">
        <v>151</v>
      </c>
      <c r="K403" s="3" t="s">
        <v>121</v>
      </c>
      <c r="L403" s="6" t="s">
        <v>5302</v>
      </c>
      <c r="M403" s="3" t="s">
        <v>63</v>
      </c>
      <c r="N403" s="6" t="s">
        <v>5304</v>
      </c>
      <c r="O403" s="3" t="s">
        <v>63</v>
      </c>
      <c r="P403" s="3" t="s">
        <v>372</v>
      </c>
      <c r="Q403" s="8">
        <v>710152.0</v>
      </c>
      <c r="R403" s="3" t="s">
        <v>93</v>
      </c>
      <c r="S403" s="7">
        <v>41167.0</v>
      </c>
      <c r="T403" s="3" t="s">
        <v>63</v>
      </c>
      <c r="U403" s="6" t="s">
        <v>171</v>
      </c>
      <c r="V403" s="3" t="s">
        <v>4</v>
      </c>
      <c r="W403" s="3" t="s">
        <v>102</v>
      </c>
    </row>
    <row r="404" ht="15.75" customHeight="1">
      <c r="A404" s="6" t="s">
        <v>257</v>
      </c>
      <c r="B404" s="3" t="s">
        <v>6511</v>
      </c>
      <c r="C404" s="7">
        <v>22111.0</v>
      </c>
      <c r="D404" s="3" t="s">
        <v>63</v>
      </c>
      <c r="E404" s="3">
        <v>66.0</v>
      </c>
      <c r="F404" s="3" t="s">
        <v>183</v>
      </c>
      <c r="G404" s="6" t="s">
        <v>6514</v>
      </c>
      <c r="H404" s="3" t="s">
        <v>6515</v>
      </c>
      <c r="I404" s="3" t="s">
        <v>6516</v>
      </c>
      <c r="J404" s="3" t="s">
        <v>151</v>
      </c>
      <c r="K404" s="3" t="s">
        <v>121</v>
      </c>
      <c r="L404" s="6" t="s">
        <v>260</v>
      </c>
      <c r="M404" s="3" t="s">
        <v>63</v>
      </c>
      <c r="N404" s="6" t="s">
        <v>261</v>
      </c>
      <c r="O404" s="3" t="s">
        <v>63</v>
      </c>
      <c r="P404" s="3" t="s">
        <v>202</v>
      </c>
      <c r="Q404" s="3"/>
      <c r="R404" s="3" t="s">
        <v>258</v>
      </c>
      <c r="S404" s="7">
        <v>43732.0</v>
      </c>
      <c r="T404" s="3" t="s">
        <v>63</v>
      </c>
      <c r="U404" s="6" t="s">
        <v>208</v>
      </c>
      <c r="V404" s="3" t="s">
        <v>4</v>
      </c>
      <c r="W404" s="3" t="s">
        <v>102</v>
      </c>
    </row>
    <row r="405" ht="15.75" customHeight="1">
      <c r="A405" s="6" t="s">
        <v>3134</v>
      </c>
      <c r="B405" s="3" t="s">
        <v>6523</v>
      </c>
      <c r="C405" s="7">
        <v>36040.0</v>
      </c>
      <c r="D405" s="3" t="s">
        <v>63</v>
      </c>
      <c r="E405" s="3">
        <v>27.0</v>
      </c>
      <c r="F405" s="3" t="s">
        <v>183</v>
      </c>
      <c r="G405" s="6" t="s">
        <v>6526</v>
      </c>
      <c r="H405" s="3" t="s">
        <v>6528</v>
      </c>
      <c r="I405" s="3" t="s">
        <v>6529</v>
      </c>
      <c r="J405" s="3" t="s">
        <v>190</v>
      </c>
      <c r="K405" s="3" t="s">
        <v>193</v>
      </c>
      <c r="L405" s="6" t="s">
        <v>5927</v>
      </c>
      <c r="M405" s="3" t="s">
        <v>63</v>
      </c>
      <c r="N405" s="6" t="s">
        <v>5928</v>
      </c>
      <c r="O405" s="3" t="s">
        <v>63</v>
      </c>
      <c r="P405" s="3" t="s">
        <v>372</v>
      </c>
      <c r="Q405" s="3"/>
      <c r="R405" s="3" t="s">
        <v>258</v>
      </c>
      <c r="S405" s="7">
        <v>42120.0</v>
      </c>
      <c r="T405" s="3" t="s">
        <v>63</v>
      </c>
      <c r="U405" s="6" t="s">
        <v>109</v>
      </c>
      <c r="V405" s="3" t="s">
        <v>4</v>
      </c>
      <c r="W405" s="3" t="s">
        <v>102</v>
      </c>
    </row>
    <row r="406" ht="15.75" customHeight="1">
      <c r="A406" s="6" t="s">
        <v>878</v>
      </c>
      <c r="B406" s="3" t="s">
        <v>6534</v>
      </c>
      <c r="C406" s="7">
        <v>31496.0</v>
      </c>
      <c r="D406" s="3" t="s">
        <v>63</v>
      </c>
      <c r="E406" s="3">
        <v>40.0</v>
      </c>
      <c r="F406" s="3" t="s">
        <v>70</v>
      </c>
      <c r="G406" s="6" t="s">
        <v>6535</v>
      </c>
      <c r="H406" s="3" t="s">
        <v>6536</v>
      </c>
      <c r="I406" s="3" t="s">
        <v>6539</v>
      </c>
      <c r="J406" s="3" t="s">
        <v>201</v>
      </c>
      <c r="K406" s="3" t="s">
        <v>203</v>
      </c>
      <c r="L406" s="6" t="s">
        <v>5115</v>
      </c>
      <c r="M406" s="3" t="s">
        <v>63</v>
      </c>
      <c r="N406" s="6" t="s">
        <v>5117</v>
      </c>
      <c r="O406" s="3" t="s">
        <v>63</v>
      </c>
      <c r="P406" s="3" t="s">
        <v>396</v>
      </c>
      <c r="Q406" s="8">
        <v>2148818.0</v>
      </c>
      <c r="R406" s="3" t="s">
        <v>93</v>
      </c>
      <c r="S406" s="7">
        <v>41249.0</v>
      </c>
      <c r="T406" s="3" t="s">
        <v>63</v>
      </c>
      <c r="U406" s="6" t="s">
        <v>262</v>
      </c>
      <c r="V406" s="3" t="s">
        <v>4</v>
      </c>
      <c r="W406" s="3" t="s">
        <v>102</v>
      </c>
    </row>
    <row r="407" ht="15.75" customHeight="1">
      <c r="A407" s="6" t="s">
        <v>2393</v>
      </c>
      <c r="B407" s="3" t="s">
        <v>6549</v>
      </c>
      <c r="C407" s="7">
        <v>20344.0</v>
      </c>
      <c r="D407" s="3" t="s">
        <v>63</v>
      </c>
      <c r="E407" s="3">
        <v>70.0</v>
      </c>
      <c r="F407" s="3" t="s">
        <v>183</v>
      </c>
      <c r="G407" s="6" t="s">
        <v>6552</v>
      </c>
      <c r="H407" s="3" t="s">
        <v>6553</v>
      </c>
      <c r="I407" s="3" t="s">
        <v>6554</v>
      </c>
      <c r="J407" s="3" t="s">
        <v>79</v>
      </c>
      <c r="K407" s="3" t="s">
        <v>81</v>
      </c>
      <c r="L407" s="6" t="s">
        <v>4158</v>
      </c>
      <c r="M407" s="3" t="s">
        <v>63</v>
      </c>
      <c r="N407" s="6" t="s">
        <v>4159</v>
      </c>
      <c r="O407" s="3" t="s">
        <v>63</v>
      </c>
      <c r="P407" s="3" t="s">
        <v>90</v>
      </c>
      <c r="Q407" s="8">
        <v>526909.0</v>
      </c>
      <c r="R407" s="3" t="s">
        <v>93</v>
      </c>
      <c r="S407" s="7">
        <v>39776.0</v>
      </c>
      <c r="T407" s="3" t="s">
        <v>63</v>
      </c>
      <c r="U407" s="6" t="s">
        <v>208</v>
      </c>
      <c r="V407" s="3" t="s">
        <v>4</v>
      </c>
      <c r="W407" s="3" t="s">
        <v>102</v>
      </c>
    </row>
    <row r="408" ht="15.75" customHeight="1">
      <c r="A408" s="6" t="s">
        <v>2093</v>
      </c>
      <c r="B408" s="3" t="s">
        <v>6561</v>
      </c>
      <c r="C408" s="7">
        <v>20999.0</v>
      </c>
      <c r="D408" s="3" t="s">
        <v>63</v>
      </c>
      <c r="E408" s="3">
        <v>69.0</v>
      </c>
      <c r="F408" s="3" t="s">
        <v>70</v>
      </c>
      <c r="G408" s="6" t="s">
        <v>6563</v>
      </c>
      <c r="H408" s="3" t="s">
        <v>6564</v>
      </c>
      <c r="I408" s="3" t="s">
        <v>6566</v>
      </c>
      <c r="J408" s="3" t="s">
        <v>85</v>
      </c>
      <c r="K408" s="3" t="s">
        <v>67</v>
      </c>
      <c r="L408" s="6" t="s">
        <v>5280</v>
      </c>
      <c r="M408" s="3" t="s">
        <v>63</v>
      </c>
      <c r="N408" s="6" t="s">
        <v>5281</v>
      </c>
      <c r="O408" s="3" t="s">
        <v>63</v>
      </c>
      <c r="P408" s="3" t="s">
        <v>127</v>
      </c>
      <c r="Q408" s="8">
        <v>596552.0</v>
      </c>
      <c r="R408" s="3" t="s">
        <v>93</v>
      </c>
      <c r="S408" s="7">
        <v>45328.0</v>
      </c>
      <c r="T408" s="3" t="s">
        <v>63</v>
      </c>
      <c r="U408" s="6" t="s">
        <v>301</v>
      </c>
      <c r="V408" s="3" t="s">
        <v>4</v>
      </c>
      <c r="W408" s="3" t="s">
        <v>102</v>
      </c>
    </row>
    <row r="409" ht="15.75" customHeight="1">
      <c r="A409" s="6" t="s">
        <v>810</v>
      </c>
      <c r="B409" s="3" t="s">
        <v>6128</v>
      </c>
      <c r="C409" s="7">
        <v>32415.0</v>
      </c>
      <c r="D409" s="3" t="s">
        <v>63</v>
      </c>
      <c r="E409" s="3">
        <v>37.0</v>
      </c>
      <c r="F409" s="3" t="s">
        <v>70</v>
      </c>
      <c r="G409" s="6" t="s">
        <v>6572</v>
      </c>
      <c r="H409" s="3" t="s">
        <v>6573</v>
      </c>
      <c r="I409" s="3" t="s">
        <v>6575</v>
      </c>
      <c r="J409" s="3" t="s">
        <v>184</v>
      </c>
      <c r="K409" s="3" t="s">
        <v>187</v>
      </c>
      <c r="L409" s="3"/>
      <c r="M409" s="3" t="s">
        <v>88</v>
      </c>
      <c r="N409" s="6" t="s">
        <v>812</v>
      </c>
      <c r="O409" s="3" t="s">
        <v>620</v>
      </c>
      <c r="P409" s="3" t="s">
        <v>202</v>
      </c>
      <c r="Q409" s="8">
        <v>1022871.0</v>
      </c>
      <c r="R409" s="3" t="s">
        <v>93</v>
      </c>
      <c r="S409" s="7">
        <v>38787.0</v>
      </c>
      <c r="T409" s="3" t="s">
        <v>63</v>
      </c>
      <c r="U409" s="6" t="s">
        <v>92</v>
      </c>
      <c r="V409" s="3" t="s">
        <v>4</v>
      </c>
      <c r="W409" s="3" t="s">
        <v>102</v>
      </c>
    </row>
    <row r="410" ht="15.75" customHeight="1">
      <c r="A410" s="6" t="s">
        <v>4505</v>
      </c>
      <c r="B410" s="3" t="s">
        <v>6581</v>
      </c>
      <c r="C410" s="7">
        <v>28698.0</v>
      </c>
      <c r="D410" s="3" t="s">
        <v>63</v>
      </c>
      <c r="E410" s="3">
        <v>48.0</v>
      </c>
      <c r="F410" s="3" t="s">
        <v>70</v>
      </c>
      <c r="G410" s="6" t="s">
        <v>6584</v>
      </c>
      <c r="H410" s="3" t="s">
        <v>6585</v>
      </c>
      <c r="I410" s="3" t="s">
        <v>6586</v>
      </c>
      <c r="J410" s="3" t="s">
        <v>153</v>
      </c>
      <c r="K410" s="3" t="s">
        <v>67</v>
      </c>
      <c r="L410" s="6" t="s">
        <v>6587</v>
      </c>
      <c r="M410" s="3" t="s">
        <v>63</v>
      </c>
      <c r="N410" s="6" t="s">
        <v>6588</v>
      </c>
      <c r="O410" s="3" t="s">
        <v>63</v>
      </c>
      <c r="P410" s="3" t="s">
        <v>464</v>
      </c>
      <c r="Q410" s="8">
        <v>2284600.0</v>
      </c>
      <c r="R410" s="3" t="s">
        <v>93</v>
      </c>
      <c r="S410" s="7">
        <v>41690.0</v>
      </c>
      <c r="T410" s="3" t="s">
        <v>63</v>
      </c>
      <c r="U410" s="6" t="s">
        <v>221</v>
      </c>
      <c r="V410" s="3" t="s">
        <v>4</v>
      </c>
      <c r="W410" s="3" t="s">
        <v>102</v>
      </c>
    </row>
    <row r="411" ht="15.75" customHeight="1">
      <c r="A411" s="6" t="s">
        <v>3531</v>
      </c>
      <c r="B411" s="3" t="s">
        <v>6594</v>
      </c>
      <c r="C411" s="7">
        <v>24671.0</v>
      </c>
      <c r="D411" s="3" t="s">
        <v>63</v>
      </c>
      <c r="E411" s="3">
        <v>59.0</v>
      </c>
      <c r="F411" s="3" t="s">
        <v>70</v>
      </c>
      <c r="G411" s="6" t="s">
        <v>6597</v>
      </c>
      <c r="H411" s="3" t="s">
        <v>6598</v>
      </c>
      <c r="I411" s="3" t="s">
        <v>6599</v>
      </c>
      <c r="J411" s="3" t="s">
        <v>114</v>
      </c>
      <c r="K411" s="3" t="s">
        <v>118</v>
      </c>
      <c r="L411" s="6" t="s">
        <v>5083</v>
      </c>
      <c r="M411" s="3" t="s">
        <v>63</v>
      </c>
      <c r="N411" s="6" t="s">
        <v>5085</v>
      </c>
      <c r="O411" s="3" t="s">
        <v>63</v>
      </c>
      <c r="P411" s="3" t="s">
        <v>324</v>
      </c>
      <c r="Q411" s="3"/>
      <c r="R411" s="3" t="s">
        <v>258</v>
      </c>
      <c r="S411" s="7">
        <v>43646.0</v>
      </c>
      <c r="T411" s="3" t="s">
        <v>63</v>
      </c>
      <c r="U411" s="6" t="s">
        <v>129</v>
      </c>
      <c r="V411" s="3" t="s">
        <v>4</v>
      </c>
      <c r="W411" s="3" t="s">
        <v>102</v>
      </c>
    </row>
    <row r="412" ht="15.75" customHeight="1">
      <c r="A412" s="6" t="s">
        <v>2333</v>
      </c>
      <c r="B412" s="3" t="s">
        <v>6606</v>
      </c>
      <c r="C412" s="7">
        <v>22626.0</v>
      </c>
      <c r="D412" s="3" t="s">
        <v>63</v>
      </c>
      <c r="E412" s="3">
        <v>64.0</v>
      </c>
      <c r="F412" s="3" t="s">
        <v>70</v>
      </c>
      <c r="G412" s="6" t="s">
        <v>6608</v>
      </c>
      <c r="H412" s="3" t="s">
        <v>6610</v>
      </c>
      <c r="I412" s="3" t="s">
        <v>6611</v>
      </c>
      <c r="J412" s="3" t="s">
        <v>151</v>
      </c>
      <c r="K412" s="3" t="s">
        <v>121</v>
      </c>
      <c r="L412" s="6" t="s">
        <v>6612</v>
      </c>
      <c r="M412" s="3" t="s">
        <v>63</v>
      </c>
      <c r="N412" s="6" t="s">
        <v>6613</v>
      </c>
      <c r="O412" s="3" t="s">
        <v>63</v>
      </c>
      <c r="P412" s="3" t="s">
        <v>90</v>
      </c>
      <c r="Q412" s="8">
        <v>1879112.0</v>
      </c>
      <c r="R412" s="3" t="s">
        <v>93</v>
      </c>
      <c r="S412" s="7">
        <v>39970.0</v>
      </c>
      <c r="T412" s="3" t="s">
        <v>63</v>
      </c>
      <c r="U412" s="6" t="s">
        <v>221</v>
      </c>
      <c r="V412" s="3" t="s">
        <v>4</v>
      </c>
      <c r="W412" s="3" t="s">
        <v>102</v>
      </c>
    </row>
    <row r="413" ht="15.75" customHeight="1">
      <c r="A413" s="6" t="s">
        <v>4437</v>
      </c>
      <c r="B413" s="3" t="s">
        <v>6616</v>
      </c>
      <c r="C413" s="7">
        <v>35442.0</v>
      </c>
      <c r="D413" s="3" t="s">
        <v>63</v>
      </c>
      <c r="E413" s="3">
        <v>29.0</v>
      </c>
      <c r="F413" s="3" t="s">
        <v>70</v>
      </c>
      <c r="G413" s="6" t="s">
        <v>6618</v>
      </c>
      <c r="H413" s="3"/>
      <c r="I413" s="3" t="s">
        <v>6619</v>
      </c>
      <c r="J413" s="3" t="s">
        <v>79</v>
      </c>
      <c r="K413" s="3" t="s">
        <v>81</v>
      </c>
      <c r="L413" s="6" t="s">
        <v>4804</v>
      </c>
      <c r="M413" s="3" t="s">
        <v>63</v>
      </c>
      <c r="N413" s="6" t="s">
        <v>4806</v>
      </c>
      <c r="O413" s="3" t="s">
        <v>63</v>
      </c>
      <c r="P413" s="3" t="s">
        <v>372</v>
      </c>
      <c r="Q413" s="3"/>
      <c r="R413" s="3" t="s">
        <v>258</v>
      </c>
      <c r="S413" s="7">
        <v>42123.0</v>
      </c>
      <c r="T413" s="3" t="s">
        <v>63</v>
      </c>
      <c r="U413" s="6" t="s">
        <v>221</v>
      </c>
      <c r="V413" s="3" t="s">
        <v>237</v>
      </c>
      <c r="W413" s="3" t="s">
        <v>102</v>
      </c>
    </row>
    <row r="414" ht="15.75" customHeight="1">
      <c r="A414" s="6" t="s">
        <v>4006</v>
      </c>
      <c r="B414" s="3" t="s">
        <v>6621</v>
      </c>
      <c r="C414" s="7">
        <v>31872.0</v>
      </c>
      <c r="D414" s="3" t="s">
        <v>63</v>
      </c>
      <c r="E414" s="3">
        <v>39.0</v>
      </c>
      <c r="F414" s="3" t="s">
        <v>70</v>
      </c>
      <c r="G414" s="6" t="s">
        <v>6622</v>
      </c>
      <c r="H414" s="3" t="s">
        <v>6623</v>
      </c>
      <c r="I414" s="3" t="s">
        <v>6624</v>
      </c>
      <c r="J414" s="3" t="s">
        <v>251</v>
      </c>
      <c r="K414" s="3" t="s">
        <v>251</v>
      </c>
      <c r="L414" s="6" t="s">
        <v>4008</v>
      </c>
      <c r="M414" s="3" t="s">
        <v>63</v>
      </c>
      <c r="N414" s="6" t="s">
        <v>4010</v>
      </c>
      <c r="O414" s="3" t="s">
        <v>63</v>
      </c>
      <c r="P414" s="3" t="s">
        <v>160</v>
      </c>
      <c r="Q414" s="3"/>
      <c r="R414" s="3" t="s">
        <v>258</v>
      </c>
      <c r="S414" s="7">
        <v>45873.0</v>
      </c>
      <c r="T414" s="3" t="s">
        <v>63</v>
      </c>
      <c r="U414" s="6" t="s">
        <v>352</v>
      </c>
      <c r="V414" s="3" t="s">
        <v>4</v>
      </c>
      <c r="W414" s="3" t="s">
        <v>102</v>
      </c>
    </row>
    <row r="415" ht="15.75" customHeight="1">
      <c r="A415" s="6" t="s">
        <v>1444</v>
      </c>
      <c r="B415" s="3" t="s">
        <v>6627</v>
      </c>
      <c r="C415" s="7">
        <v>27209.0</v>
      </c>
      <c r="D415" s="3" t="s">
        <v>63</v>
      </c>
      <c r="E415" s="3">
        <v>52.0</v>
      </c>
      <c r="F415" s="3" t="s">
        <v>70</v>
      </c>
      <c r="G415" s="6" t="s">
        <v>6628</v>
      </c>
      <c r="H415" s="3" t="s">
        <v>6629</v>
      </c>
      <c r="I415" s="3" t="s">
        <v>6630</v>
      </c>
      <c r="J415" s="3" t="s">
        <v>184</v>
      </c>
      <c r="K415" s="3" t="s">
        <v>187</v>
      </c>
      <c r="L415" s="6" t="s">
        <v>5297</v>
      </c>
      <c r="M415" s="3" t="s">
        <v>63</v>
      </c>
      <c r="N415" s="6" t="s">
        <v>5298</v>
      </c>
      <c r="O415" s="3" t="s">
        <v>63</v>
      </c>
      <c r="P415" s="3" t="s">
        <v>324</v>
      </c>
      <c r="Q415" s="8">
        <v>2024127.0</v>
      </c>
      <c r="R415" s="3" t="s">
        <v>93</v>
      </c>
      <c r="S415" s="7">
        <v>38375.0</v>
      </c>
      <c r="T415" s="3" t="s">
        <v>63</v>
      </c>
      <c r="U415" s="6" t="s">
        <v>301</v>
      </c>
      <c r="V415" s="3" t="s">
        <v>237</v>
      </c>
      <c r="W415" s="3" t="s">
        <v>102</v>
      </c>
    </row>
    <row r="416" ht="15.75" customHeight="1">
      <c r="A416" s="6" t="s">
        <v>533</v>
      </c>
      <c r="B416" s="3" t="s">
        <v>6632</v>
      </c>
      <c r="C416" s="7">
        <v>27219.0</v>
      </c>
      <c r="D416" s="3" t="s">
        <v>63</v>
      </c>
      <c r="E416" s="3">
        <v>52.0</v>
      </c>
      <c r="F416" s="3" t="s">
        <v>183</v>
      </c>
      <c r="G416" s="6" t="s">
        <v>6634</v>
      </c>
      <c r="H416" s="3" t="s">
        <v>6635</v>
      </c>
      <c r="I416" s="3" t="s">
        <v>6636</v>
      </c>
      <c r="J416" s="3" t="s">
        <v>337</v>
      </c>
      <c r="K416" s="3" t="s">
        <v>137</v>
      </c>
      <c r="L416" s="6" t="s">
        <v>534</v>
      </c>
      <c r="M416" s="3" t="s">
        <v>63</v>
      </c>
      <c r="N416" s="6" t="s">
        <v>536</v>
      </c>
      <c r="O416" s="3" t="s">
        <v>63</v>
      </c>
      <c r="P416" s="3" t="s">
        <v>160</v>
      </c>
      <c r="Q416" s="3"/>
      <c r="R416" s="3" t="s">
        <v>258</v>
      </c>
      <c r="S416" s="7">
        <v>39479.0</v>
      </c>
      <c r="T416" s="3" t="s">
        <v>63</v>
      </c>
      <c r="U416" s="6" t="s">
        <v>385</v>
      </c>
      <c r="V416" s="3" t="s">
        <v>4</v>
      </c>
      <c r="W416" s="3" t="s">
        <v>102</v>
      </c>
    </row>
    <row r="417" ht="15.75" customHeight="1">
      <c r="A417" s="6" t="s">
        <v>6638</v>
      </c>
      <c r="B417" s="3" t="s">
        <v>6639</v>
      </c>
      <c r="C417" s="7">
        <v>24878.0</v>
      </c>
      <c r="D417" s="3" t="s">
        <v>63</v>
      </c>
      <c r="E417" s="3">
        <v>58.0</v>
      </c>
      <c r="F417" s="3" t="s">
        <v>183</v>
      </c>
      <c r="G417" s="6" t="s">
        <v>6640</v>
      </c>
      <c r="H417" s="3" t="s">
        <v>6641</v>
      </c>
      <c r="I417" s="3" t="s">
        <v>6642</v>
      </c>
      <c r="J417" s="3" t="s">
        <v>305</v>
      </c>
      <c r="K417" s="3" t="s">
        <v>193</v>
      </c>
      <c r="L417" s="6" t="s">
        <v>6644</v>
      </c>
      <c r="M417" s="3" t="s">
        <v>63</v>
      </c>
      <c r="N417" s="3"/>
      <c r="O417" s="3" t="s">
        <v>88</v>
      </c>
      <c r="P417" s="3" t="s">
        <v>324</v>
      </c>
      <c r="Q417" s="8">
        <v>2063682.0</v>
      </c>
      <c r="R417" s="3" t="s">
        <v>93</v>
      </c>
      <c r="S417" s="7">
        <v>42814.0</v>
      </c>
      <c r="T417" s="3" t="s">
        <v>63</v>
      </c>
      <c r="U417" s="6" t="s">
        <v>221</v>
      </c>
      <c r="V417" s="3" t="s">
        <v>4</v>
      </c>
      <c r="W417" s="3" t="s">
        <v>102</v>
      </c>
    </row>
    <row r="418" ht="15.75" customHeight="1">
      <c r="A418" s="6" t="s">
        <v>3911</v>
      </c>
      <c r="B418" s="3" t="s">
        <v>6645</v>
      </c>
      <c r="C418" s="7">
        <v>26101.0</v>
      </c>
      <c r="D418" s="3" t="s">
        <v>63</v>
      </c>
      <c r="E418" s="3">
        <v>55.0</v>
      </c>
      <c r="F418" s="3" t="s">
        <v>183</v>
      </c>
      <c r="G418" s="6" t="s">
        <v>6647</v>
      </c>
      <c r="H418" s="3" t="s">
        <v>6648</v>
      </c>
      <c r="I418" s="3" t="s">
        <v>6649</v>
      </c>
      <c r="J418" s="3" t="s">
        <v>119</v>
      </c>
      <c r="K418" s="3" t="s">
        <v>121</v>
      </c>
      <c r="L418" s="6" t="s">
        <v>5003</v>
      </c>
      <c r="M418" s="3" t="s">
        <v>63</v>
      </c>
      <c r="N418" s="6" t="s">
        <v>5005</v>
      </c>
      <c r="O418" s="3" t="s">
        <v>63</v>
      </c>
      <c r="P418" s="3" t="s">
        <v>160</v>
      </c>
      <c r="Q418" s="3"/>
      <c r="R418" s="3" t="s">
        <v>258</v>
      </c>
      <c r="S418" s="7">
        <v>38577.0</v>
      </c>
      <c r="T418" s="3" t="s">
        <v>63</v>
      </c>
      <c r="U418" s="6" t="s">
        <v>262</v>
      </c>
      <c r="V418" s="3" t="s">
        <v>4</v>
      </c>
      <c r="W418" s="3" t="s">
        <v>102</v>
      </c>
    </row>
    <row r="419" ht="15.75" customHeight="1">
      <c r="A419" s="6" t="s">
        <v>964</v>
      </c>
      <c r="B419" s="3" t="s">
        <v>4406</v>
      </c>
      <c r="C419" s="7">
        <v>32447.0</v>
      </c>
      <c r="D419" s="3" t="s">
        <v>63</v>
      </c>
      <c r="E419" s="3">
        <v>37.0</v>
      </c>
      <c r="F419" s="3" t="s">
        <v>183</v>
      </c>
      <c r="G419" s="6" t="s">
        <v>6652</v>
      </c>
      <c r="H419" s="3" t="s">
        <v>6653</v>
      </c>
      <c r="I419" s="3" t="s">
        <v>6654</v>
      </c>
      <c r="J419" s="3" t="s">
        <v>43</v>
      </c>
      <c r="K419" s="3" t="s">
        <v>45</v>
      </c>
      <c r="L419" s="6" t="s">
        <v>6545</v>
      </c>
      <c r="M419" s="3" t="s">
        <v>63</v>
      </c>
      <c r="N419" s="6" t="s">
        <v>6546</v>
      </c>
      <c r="O419" s="3" t="s">
        <v>63</v>
      </c>
      <c r="P419" s="3" t="s">
        <v>160</v>
      </c>
      <c r="Q419" s="8">
        <v>588869.0</v>
      </c>
      <c r="R419" s="3" t="s">
        <v>93</v>
      </c>
      <c r="S419" s="7">
        <v>38618.0</v>
      </c>
      <c r="T419" s="3" t="s">
        <v>63</v>
      </c>
      <c r="U419" s="6" t="s">
        <v>60</v>
      </c>
      <c r="V419" s="3" t="s">
        <v>4</v>
      </c>
      <c r="W419" s="3" t="s">
        <v>102</v>
      </c>
    </row>
    <row r="420" ht="15.75" customHeight="1">
      <c r="A420" s="6" t="s">
        <v>1629</v>
      </c>
      <c r="B420" s="3" t="s">
        <v>6655</v>
      </c>
      <c r="C420" s="7">
        <v>37768.0</v>
      </c>
      <c r="D420" s="3" t="s">
        <v>63</v>
      </c>
      <c r="E420" s="3">
        <v>23.0</v>
      </c>
      <c r="F420" s="3" t="s">
        <v>70</v>
      </c>
      <c r="G420" s="6" t="s">
        <v>1049</v>
      </c>
      <c r="H420" s="3" t="s">
        <v>6656</v>
      </c>
      <c r="I420" s="3" t="s">
        <v>6657</v>
      </c>
      <c r="J420" s="3" t="s">
        <v>119</v>
      </c>
      <c r="K420" s="3" t="s">
        <v>121</v>
      </c>
      <c r="L420" s="6" t="s">
        <v>6122</v>
      </c>
      <c r="M420" s="3" t="s">
        <v>63</v>
      </c>
      <c r="N420" s="3"/>
      <c r="O420" s="3" t="s">
        <v>88</v>
      </c>
      <c r="P420" s="3" t="s">
        <v>372</v>
      </c>
      <c r="Q420" s="8">
        <v>1225423.0</v>
      </c>
      <c r="R420" s="3" t="s">
        <v>93</v>
      </c>
      <c r="S420" s="7">
        <v>45114.0</v>
      </c>
      <c r="T420" s="3" t="s">
        <v>63</v>
      </c>
      <c r="U420" s="6" t="s">
        <v>301</v>
      </c>
      <c r="V420" s="3" t="s">
        <v>4</v>
      </c>
      <c r="W420" s="3" t="s">
        <v>102</v>
      </c>
    </row>
    <row r="421" ht="15.75" customHeight="1">
      <c r="A421" s="6" t="s">
        <v>1110</v>
      </c>
      <c r="B421" s="3" t="s">
        <v>6479</v>
      </c>
      <c r="C421" s="7">
        <v>35759.0</v>
      </c>
      <c r="D421" s="3" t="s">
        <v>63</v>
      </c>
      <c r="E421" s="3">
        <v>28.0</v>
      </c>
      <c r="F421" s="3" t="s">
        <v>183</v>
      </c>
      <c r="G421" s="6" t="s">
        <v>6658</v>
      </c>
      <c r="H421" s="3" t="s">
        <v>6482</v>
      </c>
      <c r="I421" s="3" t="s">
        <v>6483</v>
      </c>
      <c r="J421" s="3" t="s">
        <v>225</v>
      </c>
      <c r="K421" s="3" t="s">
        <v>101</v>
      </c>
      <c r="L421" s="6" t="s">
        <v>5038</v>
      </c>
      <c r="M421" s="3" t="s">
        <v>63</v>
      </c>
      <c r="N421" s="6" t="s">
        <v>5039</v>
      </c>
      <c r="O421" s="3" t="s">
        <v>63</v>
      </c>
      <c r="P421" s="3" t="s">
        <v>160</v>
      </c>
      <c r="Q421" s="8">
        <v>1202662.0</v>
      </c>
      <c r="R421" s="3" t="s">
        <v>93</v>
      </c>
      <c r="S421" s="7">
        <v>42317.0</v>
      </c>
      <c r="T421" s="3" t="s">
        <v>63</v>
      </c>
      <c r="U421" s="6" t="s">
        <v>179</v>
      </c>
      <c r="V421" s="3" t="s">
        <v>4</v>
      </c>
      <c r="W421" s="3" t="s">
        <v>378</v>
      </c>
    </row>
    <row r="422" ht="15.75" customHeight="1">
      <c r="A422" s="6" t="s">
        <v>6145</v>
      </c>
      <c r="B422" s="3" t="s">
        <v>6659</v>
      </c>
      <c r="C422" s="7">
        <v>20891.0</v>
      </c>
      <c r="D422" s="3" t="s">
        <v>63</v>
      </c>
      <c r="E422" s="3">
        <v>69.0</v>
      </c>
      <c r="F422" s="3" t="s">
        <v>70</v>
      </c>
      <c r="G422" s="6" t="s">
        <v>6660</v>
      </c>
      <c r="H422" s="3" t="s">
        <v>6661</v>
      </c>
      <c r="I422" s="3" t="s">
        <v>6662</v>
      </c>
      <c r="J422" s="3" t="s">
        <v>43</v>
      </c>
      <c r="K422" s="3" t="s">
        <v>45</v>
      </c>
      <c r="L422" s="6" t="s">
        <v>6146</v>
      </c>
      <c r="M422" s="3" t="s">
        <v>63</v>
      </c>
      <c r="N422" s="3"/>
      <c r="O422" s="3" t="s">
        <v>88</v>
      </c>
      <c r="P422" s="3" t="s">
        <v>160</v>
      </c>
      <c r="Q422" s="8">
        <v>1085346.0</v>
      </c>
      <c r="R422" s="3" t="s">
        <v>93</v>
      </c>
      <c r="S422" s="7">
        <v>44915.0</v>
      </c>
      <c r="T422" s="3" t="s">
        <v>63</v>
      </c>
      <c r="U422" s="6" t="s">
        <v>171</v>
      </c>
      <c r="V422" s="3" t="s">
        <v>4</v>
      </c>
      <c r="W422" s="3" t="s">
        <v>102</v>
      </c>
    </row>
    <row r="423" ht="15.75" customHeight="1">
      <c r="A423" s="6" t="s">
        <v>5172</v>
      </c>
      <c r="B423" s="3" t="s">
        <v>6663</v>
      </c>
      <c r="C423" s="7">
        <v>46524.0</v>
      </c>
      <c r="D423" s="3" t="s">
        <v>1155</v>
      </c>
      <c r="E423" s="3"/>
      <c r="F423" s="3" t="s">
        <v>70</v>
      </c>
      <c r="G423" s="6" t="s">
        <v>6664</v>
      </c>
      <c r="H423" s="3" t="s">
        <v>6665</v>
      </c>
      <c r="I423" s="3" t="s">
        <v>6666</v>
      </c>
      <c r="J423" s="3" t="s">
        <v>167</v>
      </c>
      <c r="K423" s="3" t="s">
        <v>169</v>
      </c>
      <c r="L423" s="6" t="s">
        <v>5173</v>
      </c>
      <c r="M423" s="3" t="s">
        <v>63</v>
      </c>
      <c r="N423" s="6" t="s">
        <v>5175</v>
      </c>
      <c r="O423" s="3" t="s">
        <v>63</v>
      </c>
      <c r="P423" s="3" t="s">
        <v>464</v>
      </c>
      <c r="Q423" s="3"/>
      <c r="R423" s="3" t="s">
        <v>258</v>
      </c>
      <c r="S423" s="7">
        <v>43451.0</v>
      </c>
      <c r="T423" s="3" t="s">
        <v>1178</v>
      </c>
      <c r="U423" s="6" t="s">
        <v>288</v>
      </c>
      <c r="V423" s="3" t="s">
        <v>4</v>
      </c>
      <c r="W423" s="3" t="s">
        <v>102</v>
      </c>
    </row>
    <row r="424" ht="15.75" customHeight="1">
      <c r="A424" s="6" t="s">
        <v>1763</v>
      </c>
      <c r="B424" s="3" t="s">
        <v>2734</v>
      </c>
      <c r="C424" s="7">
        <v>22735.0</v>
      </c>
      <c r="D424" s="3" t="s">
        <v>63</v>
      </c>
      <c r="E424" s="3">
        <v>64.0</v>
      </c>
      <c r="F424" s="3" t="s">
        <v>70</v>
      </c>
      <c r="G424" s="6" t="s">
        <v>6667</v>
      </c>
      <c r="H424" s="3" t="s">
        <v>6668</v>
      </c>
      <c r="I424" s="3" t="s">
        <v>6669</v>
      </c>
      <c r="J424" s="3" t="s">
        <v>213</v>
      </c>
      <c r="K424" s="3" t="s">
        <v>67</v>
      </c>
      <c r="L424" s="3"/>
      <c r="M424" s="3" t="s">
        <v>88</v>
      </c>
      <c r="N424" s="3"/>
      <c r="O424" s="3" t="s">
        <v>88</v>
      </c>
      <c r="P424" s="3" t="s">
        <v>202</v>
      </c>
      <c r="Q424" s="3"/>
      <c r="R424" s="3" t="s">
        <v>258</v>
      </c>
      <c r="S424" s="7">
        <v>41759.0</v>
      </c>
      <c r="T424" s="3" t="s">
        <v>63</v>
      </c>
      <c r="U424" s="6" t="s">
        <v>301</v>
      </c>
      <c r="V424" s="3" t="s">
        <v>4</v>
      </c>
      <c r="W424" s="3" t="s">
        <v>102</v>
      </c>
    </row>
    <row r="425" ht="15.75" customHeight="1">
      <c r="A425" s="6" t="s">
        <v>619</v>
      </c>
      <c r="B425" s="3" t="s">
        <v>6670</v>
      </c>
      <c r="C425" s="7">
        <v>28541.0</v>
      </c>
      <c r="D425" s="3" t="s">
        <v>63</v>
      </c>
      <c r="E425" s="3">
        <v>48.0</v>
      </c>
      <c r="F425" s="3" t="s">
        <v>183</v>
      </c>
      <c r="G425" s="6" t="s">
        <v>6671</v>
      </c>
      <c r="H425" s="3" t="s">
        <v>6672</v>
      </c>
      <c r="I425" s="3" t="s">
        <v>6673</v>
      </c>
      <c r="J425" s="3" t="s">
        <v>379</v>
      </c>
      <c r="K425" s="3" t="s">
        <v>229</v>
      </c>
      <c r="L425" s="6" t="s">
        <v>621</v>
      </c>
      <c r="M425" s="3" t="s">
        <v>63</v>
      </c>
      <c r="N425" s="6" t="s">
        <v>623</v>
      </c>
      <c r="O425" s="3" t="s">
        <v>63</v>
      </c>
      <c r="P425" s="3" t="s">
        <v>300</v>
      </c>
      <c r="Q425" s="8">
        <v>1036838.0</v>
      </c>
      <c r="R425" s="3" t="s">
        <v>93</v>
      </c>
      <c r="S425" s="7">
        <v>42476.0</v>
      </c>
      <c r="T425" s="3" t="s">
        <v>63</v>
      </c>
      <c r="U425" s="6" t="s">
        <v>129</v>
      </c>
      <c r="V425" s="3" t="s">
        <v>4</v>
      </c>
      <c r="W425" s="3" t="s">
        <v>102</v>
      </c>
    </row>
    <row r="426" ht="15.75" customHeight="1">
      <c r="A426" s="6" t="s">
        <v>2435</v>
      </c>
      <c r="B426" s="3" t="s">
        <v>6674</v>
      </c>
      <c r="C426" s="7">
        <v>37818.0</v>
      </c>
      <c r="D426" s="3" t="s">
        <v>63</v>
      </c>
      <c r="E426" s="3">
        <v>23.0</v>
      </c>
      <c r="F426" s="3" t="s">
        <v>70</v>
      </c>
      <c r="G426" s="6" t="s">
        <v>6675</v>
      </c>
      <c r="H426" s="3" t="s">
        <v>6676</v>
      </c>
      <c r="I426" s="3" t="s">
        <v>6677</v>
      </c>
      <c r="J426" s="3" t="s">
        <v>201</v>
      </c>
      <c r="K426" s="3" t="s">
        <v>203</v>
      </c>
      <c r="L426" s="6" t="s">
        <v>2438</v>
      </c>
      <c r="M426" s="3" t="s">
        <v>63</v>
      </c>
      <c r="N426" s="6" t="s">
        <v>2439</v>
      </c>
      <c r="O426" s="3" t="s">
        <v>63</v>
      </c>
      <c r="P426" s="3" t="s">
        <v>464</v>
      </c>
      <c r="Q426" s="8">
        <v>2238891.0</v>
      </c>
      <c r="R426" s="3" t="s">
        <v>93</v>
      </c>
      <c r="S426" s="7">
        <v>42933.0</v>
      </c>
      <c r="T426" s="3" t="s">
        <v>63</v>
      </c>
      <c r="U426" s="6" t="s">
        <v>333</v>
      </c>
      <c r="V426" s="3" t="s">
        <v>4</v>
      </c>
      <c r="W426" s="3" t="s">
        <v>102</v>
      </c>
    </row>
    <row r="427" ht="15.75" customHeight="1">
      <c r="A427" s="6" t="s">
        <v>3184</v>
      </c>
      <c r="B427" s="3" t="s">
        <v>6678</v>
      </c>
      <c r="C427" s="7">
        <v>22106.0</v>
      </c>
      <c r="D427" s="3" t="s">
        <v>63</v>
      </c>
      <c r="E427" s="3">
        <v>66.0</v>
      </c>
      <c r="F427" s="3" t="s">
        <v>70</v>
      </c>
      <c r="G427" s="6" t="s">
        <v>6679</v>
      </c>
      <c r="H427" s="3" t="s">
        <v>6680</v>
      </c>
      <c r="I427" s="3" t="s">
        <v>6681</v>
      </c>
      <c r="J427" s="3" t="s">
        <v>167</v>
      </c>
      <c r="K427" s="3" t="s">
        <v>169</v>
      </c>
      <c r="L427" s="6" t="s">
        <v>6682</v>
      </c>
      <c r="M427" s="3" t="s">
        <v>63</v>
      </c>
      <c r="N427" s="6" t="s">
        <v>6683</v>
      </c>
      <c r="O427" s="3" t="s">
        <v>63</v>
      </c>
      <c r="P427" s="3" t="s">
        <v>464</v>
      </c>
      <c r="Q427" s="3"/>
      <c r="R427" s="3" t="s">
        <v>258</v>
      </c>
      <c r="S427" s="7">
        <v>38440.0</v>
      </c>
      <c r="T427" s="3" t="s">
        <v>63</v>
      </c>
      <c r="U427" s="6" t="s">
        <v>146</v>
      </c>
      <c r="V427" s="3" t="s">
        <v>237</v>
      </c>
      <c r="W427" s="3" t="s">
        <v>102</v>
      </c>
    </row>
    <row r="428" ht="15.75" customHeight="1">
      <c r="A428" s="6" t="s">
        <v>2898</v>
      </c>
      <c r="B428" s="3" t="s">
        <v>191</v>
      </c>
      <c r="C428" s="7">
        <v>25851.0</v>
      </c>
      <c r="D428" s="3" t="s">
        <v>63</v>
      </c>
      <c r="E428" s="3">
        <v>55.0</v>
      </c>
      <c r="F428" s="3" t="s">
        <v>183</v>
      </c>
      <c r="G428" s="6" t="s">
        <v>6684</v>
      </c>
      <c r="H428" s="3" t="s">
        <v>6685</v>
      </c>
      <c r="I428" s="3" t="s">
        <v>6686</v>
      </c>
      <c r="J428" s="3" t="s">
        <v>153</v>
      </c>
      <c r="K428" s="3" t="s">
        <v>67</v>
      </c>
      <c r="L428" s="6" t="s">
        <v>2900</v>
      </c>
      <c r="M428" s="3" t="s">
        <v>63</v>
      </c>
      <c r="N428" s="6" t="s">
        <v>2902</v>
      </c>
      <c r="O428" s="3" t="s">
        <v>63</v>
      </c>
      <c r="P428" s="3" t="s">
        <v>160</v>
      </c>
      <c r="Q428" s="3"/>
      <c r="R428" s="3" t="s">
        <v>258</v>
      </c>
      <c r="S428" s="7">
        <v>44031.0</v>
      </c>
      <c r="T428" s="3" t="s">
        <v>63</v>
      </c>
      <c r="U428" s="6" t="s">
        <v>163</v>
      </c>
      <c r="V428" s="3" t="s">
        <v>4</v>
      </c>
      <c r="W428" s="3" t="s">
        <v>102</v>
      </c>
    </row>
    <row r="429" ht="15.75" customHeight="1">
      <c r="A429" s="6" t="s">
        <v>2532</v>
      </c>
      <c r="B429" s="3" t="s">
        <v>3394</v>
      </c>
      <c r="C429" s="7">
        <v>27198.0</v>
      </c>
      <c r="D429" s="3" t="s">
        <v>63</v>
      </c>
      <c r="E429" s="3">
        <v>52.0</v>
      </c>
      <c r="F429" s="3" t="s">
        <v>183</v>
      </c>
      <c r="G429" s="6" t="s">
        <v>1049</v>
      </c>
      <c r="H429" s="3" t="s">
        <v>3401</v>
      </c>
      <c r="I429" s="3" t="s">
        <v>3403</v>
      </c>
      <c r="J429" s="3" t="s">
        <v>167</v>
      </c>
      <c r="K429" s="3" t="s">
        <v>169</v>
      </c>
      <c r="L429" s="6" t="s">
        <v>2535</v>
      </c>
      <c r="M429" s="3" t="s">
        <v>63</v>
      </c>
      <c r="N429" s="6" t="s">
        <v>2537</v>
      </c>
      <c r="O429" s="3" t="s">
        <v>63</v>
      </c>
      <c r="P429" s="3" t="s">
        <v>202</v>
      </c>
      <c r="Q429" s="3"/>
      <c r="R429" s="3" t="s">
        <v>258</v>
      </c>
      <c r="S429" s="7">
        <v>41646.0</v>
      </c>
      <c r="T429" s="3" t="s">
        <v>63</v>
      </c>
      <c r="U429" s="6" t="s">
        <v>129</v>
      </c>
      <c r="V429" s="3" t="s">
        <v>4</v>
      </c>
      <c r="W429" s="3" t="s">
        <v>378</v>
      </c>
    </row>
    <row r="430" ht="15.75" customHeight="1">
      <c r="A430" s="6" t="s">
        <v>774</v>
      </c>
      <c r="B430" s="3" t="s">
        <v>6687</v>
      </c>
      <c r="C430" s="7">
        <v>35115.0</v>
      </c>
      <c r="D430" s="3" t="s">
        <v>63</v>
      </c>
      <c r="E430" s="3">
        <v>30.0</v>
      </c>
      <c r="F430" s="3" t="s">
        <v>183</v>
      </c>
      <c r="G430" s="6" t="s">
        <v>6688</v>
      </c>
      <c r="H430" s="3" t="s">
        <v>6689</v>
      </c>
      <c r="I430" s="3" t="s">
        <v>6690</v>
      </c>
      <c r="J430" s="3" t="s">
        <v>184</v>
      </c>
      <c r="K430" s="3" t="s">
        <v>187</v>
      </c>
      <c r="L430" s="6" t="s">
        <v>2929</v>
      </c>
      <c r="M430" s="3" t="s">
        <v>63</v>
      </c>
      <c r="N430" s="3"/>
      <c r="O430" s="3" t="s">
        <v>88</v>
      </c>
      <c r="P430" s="3" t="s">
        <v>127</v>
      </c>
      <c r="Q430" s="8">
        <v>1987884.0</v>
      </c>
      <c r="R430" s="3" t="s">
        <v>93</v>
      </c>
      <c r="S430" s="7">
        <v>43569.0</v>
      </c>
      <c r="T430" s="3" t="s">
        <v>63</v>
      </c>
      <c r="U430" s="6" t="s">
        <v>284</v>
      </c>
      <c r="V430" s="3" t="s">
        <v>4</v>
      </c>
      <c r="W430" s="3" t="s">
        <v>102</v>
      </c>
    </row>
    <row r="431" ht="15.75" customHeight="1">
      <c r="A431" s="6" t="s">
        <v>4994</v>
      </c>
      <c r="B431" s="3" t="s">
        <v>6691</v>
      </c>
      <c r="C431" s="7">
        <v>32412.0</v>
      </c>
      <c r="D431" s="3" t="s">
        <v>63</v>
      </c>
      <c r="E431" s="3">
        <v>37.0</v>
      </c>
      <c r="F431" s="3" t="s">
        <v>183</v>
      </c>
      <c r="G431" s="6" t="s">
        <v>6692</v>
      </c>
      <c r="H431" s="3" t="s">
        <v>6693</v>
      </c>
      <c r="I431" s="3" t="s">
        <v>6694</v>
      </c>
      <c r="J431" s="3" t="s">
        <v>184</v>
      </c>
      <c r="K431" s="3" t="s">
        <v>187</v>
      </c>
      <c r="L431" s="6" t="s">
        <v>4995</v>
      </c>
      <c r="M431" s="3" t="s">
        <v>63</v>
      </c>
      <c r="N431" s="6" t="s">
        <v>4996</v>
      </c>
      <c r="O431" s="3" t="s">
        <v>63</v>
      </c>
      <c r="P431" s="3" t="s">
        <v>372</v>
      </c>
      <c r="Q431" s="8">
        <v>1540817.0</v>
      </c>
      <c r="R431" s="3" t="s">
        <v>93</v>
      </c>
      <c r="S431" s="7">
        <v>39220.0</v>
      </c>
      <c r="T431" s="3" t="s">
        <v>63</v>
      </c>
      <c r="U431" s="6" t="s">
        <v>92</v>
      </c>
      <c r="V431" s="3" t="s">
        <v>4</v>
      </c>
      <c r="W431" s="3" t="s">
        <v>102</v>
      </c>
    </row>
    <row r="432" ht="15.75" customHeight="1">
      <c r="A432" s="6" t="s">
        <v>685</v>
      </c>
      <c r="B432" s="3" t="s">
        <v>6695</v>
      </c>
      <c r="C432" s="7">
        <v>32542.0</v>
      </c>
      <c r="D432" s="3" t="s">
        <v>63</v>
      </c>
      <c r="E432" s="3">
        <v>37.0</v>
      </c>
      <c r="F432" s="3" t="s">
        <v>183</v>
      </c>
      <c r="G432" s="6" t="s">
        <v>6696</v>
      </c>
      <c r="H432" s="3"/>
      <c r="I432" s="3" t="s">
        <v>6697</v>
      </c>
      <c r="J432" s="3" t="s">
        <v>250</v>
      </c>
      <c r="K432" s="3" t="s">
        <v>252</v>
      </c>
      <c r="L432" s="6" t="s">
        <v>686</v>
      </c>
      <c r="M432" s="3" t="s">
        <v>63</v>
      </c>
      <c r="N432" s="6" t="s">
        <v>688</v>
      </c>
      <c r="O432" s="3" t="s">
        <v>63</v>
      </c>
      <c r="P432" s="3" t="s">
        <v>372</v>
      </c>
      <c r="Q432" s="8">
        <v>1262251.0</v>
      </c>
      <c r="R432" s="3" t="s">
        <v>93</v>
      </c>
      <c r="S432" s="7">
        <v>38586.0</v>
      </c>
      <c r="T432" s="3" t="s">
        <v>63</v>
      </c>
      <c r="U432" s="6" t="s">
        <v>208</v>
      </c>
      <c r="V432" s="3" t="s">
        <v>237</v>
      </c>
      <c r="W432" s="3" t="s">
        <v>102</v>
      </c>
    </row>
    <row r="433" ht="15.75" customHeight="1">
      <c r="A433" s="6" t="s">
        <v>4321</v>
      </c>
      <c r="B433" s="3" t="s">
        <v>6698</v>
      </c>
      <c r="C433" s="7">
        <v>26632.0</v>
      </c>
      <c r="D433" s="3" t="s">
        <v>63</v>
      </c>
      <c r="E433" s="3">
        <v>53.0</v>
      </c>
      <c r="F433" s="3" t="s">
        <v>70</v>
      </c>
      <c r="G433" s="6" t="s">
        <v>6699</v>
      </c>
      <c r="H433" s="3" t="s">
        <v>6700</v>
      </c>
      <c r="I433" s="3" t="s">
        <v>6701</v>
      </c>
      <c r="J433" s="3" t="s">
        <v>151</v>
      </c>
      <c r="K433" s="3" t="s">
        <v>121</v>
      </c>
      <c r="L433" s="6" t="s">
        <v>4323</v>
      </c>
      <c r="M433" s="3" t="s">
        <v>63</v>
      </c>
      <c r="N433" s="6" t="s">
        <v>4327</v>
      </c>
      <c r="O433" s="3" t="s">
        <v>63</v>
      </c>
      <c r="P433" s="3" t="s">
        <v>464</v>
      </c>
      <c r="Q433" s="3"/>
      <c r="R433" s="3" t="s">
        <v>258</v>
      </c>
      <c r="S433" s="7">
        <v>44463.0</v>
      </c>
      <c r="T433" s="3" t="s">
        <v>63</v>
      </c>
      <c r="U433" s="6" t="s">
        <v>221</v>
      </c>
      <c r="V433" s="3" t="s">
        <v>4</v>
      </c>
      <c r="W433" s="3" t="s">
        <v>102</v>
      </c>
    </row>
    <row r="434" ht="15.75" customHeight="1">
      <c r="A434" s="6" t="s">
        <v>6453</v>
      </c>
      <c r="B434" s="3" t="s">
        <v>3074</v>
      </c>
      <c r="C434" s="7">
        <v>37043.0</v>
      </c>
      <c r="D434" s="3" t="s">
        <v>63</v>
      </c>
      <c r="E434" s="3">
        <v>25.0</v>
      </c>
      <c r="F434" s="3" t="s">
        <v>70</v>
      </c>
      <c r="G434" s="6" t="s">
        <v>6702</v>
      </c>
      <c r="H434" s="3" t="s">
        <v>6703</v>
      </c>
      <c r="I434" s="3" t="s">
        <v>6704</v>
      </c>
      <c r="J434" s="3" t="s">
        <v>65</v>
      </c>
      <c r="K434" s="3" t="s">
        <v>67</v>
      </c>
      <c r="L434" s="6" t="s">
        <v>6454</v>
      </c>
      <c r="M434" s="3" t="s">
        <v>63</v>
      </c>
      <c r="N434" s="6" t="s">
        <v>6455</v>
      </c>
      <c r="O434" s="3" t="s">
        <v>63</v>
      </c>
      <c r="P434" s="3" t="s">
        <v>372</v>
      </c>
      <c r="Q434" s="3"/>
      <c r="R434" s="3" t="s">
        <v>258</v>
      </c>
      <c r="S434" s="7">
        <v>42796.0</v>
      </c>
      <c r="T434" s="3" t="s">
        <v>63</v>
      </c>
      <c r="U434" s="6" t="s">
        <v>266</v>
      </c>
      <c r="V434" s="3" t="s">
        <v>4</v>
      </c>
      <c r="W434" s="3" t="s">
        <v>102</v>
      </c>
    </row>
    <row r="435" ht="15.75" customHeight="1">
      <c r="A435" s="6" t="s">
        <v>1715</v>
      </c>
      <c r="B435" s="3" t="s">
        <v>6705</v>
      </c>
      <c r="C435" s="7">
        <v>30345.0</v>
      </c>
      <c r="D435" s="3" t="s">
        <v>63</v>
      </c>
      <c r="E435" s="3">
        <v>43.0</v>
      </c>
      <c r="F435" s="3" t="s">
        <v>183</v>
      </c>
      <c r="G435" s="6" t="s">
        <v>6706</v>
      </c>
      <c r="H435" s="3" t="s">
        <v>6707</v>
      </c>
      <c r="I435" s="3" t="s">
        <v>6708</v>
      </c>
      <c r="J435" s="3" t="s">
        <v>65</v>
      </c>
      <c r="K435" s="3" t="s">
        <v>67</v>
      </c>
      <c r="L435" s="3"/>
      <c r="M435" s="3" t="s">
        <v>88</v>
      </c>
      <c r="N435" s="6" t="s">
        <v>2300</v>
      </c>
      <c r="O435" s="3" t="s">
        <v>63</v>
      </c>
      <c r="P435" s="3" t="s">
        <v>160</v>
      </c>
      <c r="Q435" s="8">
        <v>708571.0</v>
      </c>
      <c r="R435" s="3" t="s">
        <v>93</v>
      </c>
      <c r="S435" s="7">
        <v>42655.0</v>
      </c>
      <c r="T435" s="3" t="s">
        <v>63</v>
      </c>
      <c r="U435" s="6" t="s">
        <v>311</v>
      </c>
      <c r="V435" s="3" t="s">
        <v>4</v>
      </c>
      <c r="W435" s="3" t="s">
        <v>102</v>
      </c>
    </row>
    <row r="436" ht="15.75" customHeight="1">
      <c r="A436" s="6" t="s">
        <v>5107</v>
      </c>
      <c r="B436" s="3" t="s">
        <v>6709</v>
      </c>
      <c r="C436" s="7">
        <v>23420.0</v>
      </c>
      <c r="D436" s="3" t="s">
        <v>63</v>
      </c>
      <c r="E436" s="3">
        <v>62.0</v>
      </c>
      <c r="F436" s="3" t="s">
        <v>70</v>
      </c>
      <c r="G436" s="3"/>
      <c r="H436" s="3" t="s">
        <v>6710</v>
      </c>
      <c r="I436" s="3" t="s">
        <v>6711</v>
      </c>
      <c r="J436" s="3" t="s">
        <v>358</v>
      </c>
      <c r="K436" s="3" t="s">
        <v>360</v>
      </c>
      <c r="L436" s="6" t="s">
        <v>5109</v>
      </c>
      <c r="M436" s="3" t="s">
        <v>63</v>
      </c>
      <c r="N436" s="6" t="s">
        <v>5111</v>
      </c>
      <c r="O436" s="3" t="s">
        <v>63</v>
      </c>
      <c r="P436" s="3" t="s">
        <v>372</v>
      </c>
      <c r="Q436" s="8">
        <v>2445470.0</v>
      </c>
      <c r="R436" s="3" t="s">
        <v>93</v>
      </c>
      <c r="S436" s="7">
        <v>38662.0</v>
      </c>
      <c r="T436" s="3" t="s">
        <v>63</v>
      </c>
      <c r="U436" s="6" t="s">
        <v>208</v>
      </c>
      <c r="V436" s="3" t="s">
        <v>4</v>
      </c>
      <c r="W436" s="3" t="s">
        <v>102</v>
      </c>
    </row>
    <row r="437" ht="15.75" customHeight="1">
      <c r="A437" s="6" t="s">
        <v>5013</v>
      </c>
      <c r="B437" s="3" t="s">
        <v>6712</v>
      </c>
      <c r="C437" s="7">
        <v>33731.0</v>
      </c>
      <c r="D437" s="3" t="s">
        <v>63</v>
      </c>
      <c r="E437" s="3">
        <v>34.0</v>
      </c>
      <c r="F437" s="3" t="s">
        <v>70</v>
      </c>
      <c r="G437" s="6" t="s">
        <v>6713</v>
      </c>
      <c r="H437" s="3" t="s">
        <v>6714</v>
      </c>
      <c r="I437" s="3" t="s">
        <v>6715</v>
      </c>
      <c r="J437" s="3" t="s">
        <v>305</v>
      </c>
      <c r="K437" s="3" t="s">
        <v>193</v>
      </c>
      <c r="L437" s="6" t="s">
        <v>5015</v>
      </c>
      <c r="M437" s="3" t="s">
        <v>63</v>
      </c>
      <c r="N437" s="6" t="s">
        <v>5016</v>
      </c>
      <c r="O437" s="3" t="s">
        <v>63</v>
      </c>
      <c r="P437" s="3" t="s">
        <v>160</v>
      </c>
      <c r="Q437" s="3"/>
      <c r="R437" s="3" t="s">
        <v>258</v>
      </c>
      <c r="S437" s="7">
        <v>43405.0</v>
      </c>
      <c r="T437" s="3" t="s">
        <v>63</v>
      </c>
      <c r="U437" s="6" t="s">
        <v>221</v>
      </c>
      <c r="V437" s="3" t="s">
        <v>4</v>
      </c>
      <c r="W437" s="3" t="s">
        <v>102</v>
      </c>
    </row>
    <row r="438" ht="15.75" customHeight="1">
      <c r="A438" s="6" t="s">
        <v>5488</v>
      </c>
      <c r="B438" s="3" t="s">
        <v>6716</v>
      </c>
      <c r="C438" s="7">
        <v>28989.0</v>
      </c>
      <c r="D438" s="3" t="s">
        <v>63</v>
      </c>
      <c r="E438" s="3">
        <v>47.0</v>
      </c>
      <c r="F438" s="3" t="s">
        <v>183</v>
      </c>
      <c r="G438" s="6" t="s">
        <v>6717</v>
      </c>
      <c r="H438" s="3" t="s">
        <v>6718</v>
      </c>
      <c r="I438" s="3" t="s">
        <v>6719</v>
      </c>
      <c r="J438" s="3" t="s">
        <v>305</v>
      </c>
      <c r="K438" s="3" t="s">
        <v>193</v>
      </c>
      <c r="L438" s="6" t="s">
        <v>5490</v>
      </c>
      <c r="M438" s="3" t="s">
        <v>63</v>
      </c>
      <c r="N438" s="3"/>
      <c r="O438" s="3" t="s">
        <v>88</v>
      </c>
      <c r="P438" s="3" t="s">
        <v>300</v>
      </c>
      <c r="Q438" s="8">
        <v>1019355.0</v>
      </c>
      <c r="R438" s="3" t="s">
        <v>93</v>
      </c>
      <c r="S438" s="7">
        <v>39070.0</v>
      </c>
      <c r="T438" s="3" t="s">
        <v>63</v>
      </c>
      <c r="U438" s="6" t="s">
        <v>208</v>
      </c>
      <c r="V438" s="3" t="s">
        <v>4</v>
      </c>
      <c r="W438" s="3" t="s">
        <v>102</v>
      </c>
    </row>
    <row r="439" ht="15.75" customHeight="1">
      <c r="A439" s="6" t="s">
        <v>899</v>
      </c>
      <c r="B439" s="3" t="s">
        <v>422</v>
      </c>
      <c r="C439" s="7">
        <v>28180.0</v>
      </c>
      <c r="D439" s="3" t="s">
        <v>63</v>
      </c>
      <c r="E439" s="3">
        <v>49.0</v>
      </c>
      <c r="F439" s="3" t="s">
        <v>70</v>
      </c>
      <c r="G439" s="6" t="s">
        <v>6720</v>
      </c>
      <c r="H439" s="3" t="s">
        <v>6721</v>
      </c>
      <c r="I439" s="3" t="s">
        <v>6722</v>
      </c>
      <c r="J439" s="3" t="s">
        <v>119</v>
      </c>
      <c r="K439" s="3" t="s">
        <v>121</v>
      </c>
      <c r="L439" s="6" t="s">
        <v>2471</v>
      </c>
      <c r="M439" s="3" t="s">
        <v>63</v>
      </c>
      <c r="N439" s="6" t="s">
        <v>2473</v>
      </c>
      <c r="O439" s="3" t="s">
        <v>63</v>
      </c>
      <c r="P439" s="3" t="s">
        <v>90</v>
      </c>
      <c r="Q439" s="8">
        <v>2280517.0</v>
      </c>
      <c r="R439" s="3" t="s">
        <v>93</v>
      </c>
      <c r="S439" s="7">
        <v>39534.0</v>
      </c>
      <c r="T439" s="3" t="s">
        <v>63</v>
      </c>
      <c r="U439" s="6" t="s">
        <v>333</v>
      </c>
      <c r="V439" s="3" t="s">
        <v>4</v>
      </c>
      <c r="W439" s="3" t="s">
        <v>102</v>
      </c>
    </row>
    <row r="440" ht="15.75" customHeight="1">
      <c r="A440" s="6" t="s">
        <v>6723</v>
      </c>
      <c r="B440" s="3" t="s">
        <v>6724</v>
      </c>
      <c r="C440" s="7">
        <v>23864.0</v>
      </c>
      <c r="D440" s="3" t="s">
        <v>63</v>
      </c>
      <c r="E440" s="3">
        <v>61.0</v>
      </c>
      <c r="F440" s="3" t="s">
        <v>183</v>
      </c>
      <c r="G440" s="6" t="s">
        <v>6725</v>
      </c>
      <c r="H440" s="3" t="s">
        <v>6726</v>
      </c>
      <c r="I440" s="3" t="s">
        <v>6727</v>
      </c>
      <c r="J440" s="3" t="s">
        <v>251</v>
      </c>
      <c r="K440" s="3" t="s">
        <v>251</v>
      </c>
      <c r="L440" s="6" t="s">
        <v>6728</v>
      </c>
      <c r="M440" s="3" t="s">
        <v>63</v>
      </c>
      <c r="N440" s="6" t="s">
        <v>6729</v>
      </c>
      <c r="O440" s="3" t="s">
        <v>63</v>
      </c>
      <c r="P440" s="3" t="s">
        <v>160</v>
      </c>
      <c r="Q440" s="3"/>
      <c r="R440" s="3" t="s">
        <v>258</v>
      </c>
      <c r="S440" s="7">
        <v>42888.0</v>
      </c>
      <c r="T440" s="3" t="s">
        <v>63</v>
      </c>
      <c r="U440" s="6" t="s">
        <v>385</v>
      </c>
      <c r="V440" s="3" t="s">
        <v>4</v>
      </c>
      <c r="W440" s="3" t="s">
        <v>102</v>
      </c>
    </row>
    <row r="441" ht="15.75" customHeight="1">
      <c r="A441" s="6" t="s">
        <v>1037</v>
      </c>
      <c r="B441" s="3" t="s">
        <v>6730</v>
      </c>
      <c r="C441" s="7">
        <v>20683.0</v>
      </c>
      <c r="D441" s="3" t="s">
        <v>63</v>
      </c>
      <c r="E441" s="3">
        <v>69.0</v>
      </c>
      <c r="F441" s="3" t="s">
        <v>70</v>
      </c>
      <c r="G441" s="6" t="s">
        <v>6731</v>
      </c>
      <c r="H441" s="3" t="s">
        <v>6732</v>
      </c>
      <c r="I441" s="3" t="s">
        <v>6733</v>
      </c>
      <c r="J441" s="3" t="s">
        <v>98</v>
      </c>
      <c r="K441" s="3" t="s">
        <v>101</v>
      </c>
      <c r="L441" s="6" t="s">
        <v>6734</v>
      </c>
      <c r="M441" s="3" t="s">
        <v>63</v>
      </c>
      <c r="N441" s="6" t="s">
        <v>6735</v>
      </c>
      <c r="O441" s="3" t="s">
        <v>63</v>
      </c>
      <c r="P441" s="3" t="s">
        <v>160</v>
      </c>
      <c r="Q441" s="8">
        <v>775087.0</v>
      </c>
      <c r="R441" s="3" t="s">
        <v>93</v>
      </c>
      <c r="S441" s="7">
        <v>42989.0</v>
      </c>
      <c r="T441" s="3" t="s">
        <v>63</v>
      </c>
      <c r="U441" s="6" t="s">
        <v>397</v>
      </c>
      <c r="V441" s="3" t="s">
        <v>4</v>
      </c>
      <c r="W441" s="3" t="s">
        <v>102</v>
      </c>
    </row>
    <row r="442" ht="15.75" customHeight="1">
      <c r="A442" s="6" t="s">
        <v>1894</v>
      </c>
      <c r="B442" s="3" t="s">
        <v>6736</v>
      </c>
      <c r="C442" s="7">
        <v>26904.0</v>
      </c>
      <c r="D442" s="3" t="s">
        <v>63</v>
      </c>
      <c r="E442" s="3">
        <v>52.0</v>
      </c>
      <c r="F442" s="3" t="s">
        <v>70</v>
      </c>
      <c r="G442" s="6" t="s">
        <v>6737</v>
      </c>
      <c r="H442" s="3" t="s">
        <v>6738</v>
      </c>
      <c r="I442" s="3" t="s">
        <v>6739</v>
      </c>
      <c r="J442" s="3" t="s">
        <v>282</v>
      </c>
      <c r="K442" s="3" t="s">
        <v>229</v>
      </c>
      <c r="L442" s="6" t="s">
        <v>3828</v>
      </c>
      <c r="M442" s="3" t="s">
        <v>63</v>
      </c>
      <c r="N442" s="3"/>
      <c r="O442" s="3" t="s">
        <v>88</v>
      </c>
      <c r="P442" s="3" t="s">
        <v>324</v>
      </c>
      <c r="Q442" s="8">
        <v>273721.0</v>
      </c>
      <c r="R442" s="3" t="s">
        <v>93</v>
      </c>
      <c r="S442" s="7">
        <v>39488.0</v>
      </c>
      <c r="T442" s="3" t="s">
        <v>63</v>
      </c>
      <c r="U442" s="6" t="s">
        <v>80</v>
      </c>
      <c r="V442" s="3" t="s">
        <v>4</v>
      </c>
      <c r="W442" s="3" t="s">
        <v>102</v>
      </c>
    </row>
    <row r="443" ht="15.75" customHeight="1">
      <c r="A443" s="6" t="s">
        <v>5807</v>
      </c>
      <c r="B443" s="3" t="s">
        <v>6740</v>
      </c>
      <c r="C443" s="7">
        <v>27886.0</v>
      </c>
      <c r="D443" s="3" t="s">
        <v>63</v>
      </c>
      <c r="E443" s="3">
        <v>50.0</v>
      </c>
      <c r="F443" s="3" t="s">
        <v>70</v>
      </c>
      <c r="G443" s="6" t="s">
        <v>6741</v>
      </c>
      <c r="H443" s="3" t="s">
        <v>6742</v>
      </c>
      <c r="I443" s="3" t="s">
        <v>6743</v>
      </c>
      <c r="J443" s="3" t="s">
        <v>282</v>
      </c>
      <c r="K443" s="3" t="s">
        <v>229</v>
      </c>
      <c r="L443" s="3"/>
      <c r="M443" s="3" t="s">
        <v>88</v>
      </c>
      <c r="N443" s="6" t="s">
        <v>5809</v>
      </c>
      <c r="O443" s="3" t="s">
        <v>63</v>
      </c>
      <c r="P443" s="3" t="s">
        <v>372</v>
      </c>
      <c r="Q443" s="8">
        <v>2375316.0</v>
      </c>
      <c r="R443" s="3" t="s">
        <v>93</v>
      </c>
      <c r="S443" s="7">
        <v>42069.0</v>
      </c>
      <c r="T443" s="3" t="s">
        <v>63</v>
      </c>
      <c r="U443" s="6" t="s">
        <v>311</v>
      </c>
      <c r="V443" s="3" t="s">
        <v>4</v>
      </c>
      <c r="W443" s="3" t="s">
        <v>102</v>
      </c>
    </row>
    <row r="444" ht="15.75" customHeight="1">
      <c r="A444" s="6" t="s">
        <v>557</v>
      </c>
      <c r="B444" s="3" t="s">
        <v>6744</v>
      </c>
      <c r="C444" s="7">
        <v>26351.0</v>
      </c>
      <c r="D444" s="3" t="s">
        <v>63</v>
      </c>
      <c r="E444" s="3">
        <v>54.0</v>
      </c>
      <c r="F444" s="3" t="s">
        <v>183</v>
      </c>
      <c r="G444" s="6" t="s">
        <v>6745</v>
      </c>
      <c r="H444" s="3" t="s">
        <v>6746</v>
      </c>
      <c r="I444" s="3" t="s">
        <v>6747</v>
      </c>
      <c r="J444" s="3" t="s">
        <v>134</v>
      </c>
      <c r="K444" s="3" t="s">
        <v>137</v>
      </c>
      <c r="L444" s="6" t="s">
        <v>2403</v>
      </c>
      <c r="M444" s="3" t="s">
        <v>63</v>
      </c>
      <c r="N444" s="6" t="s">
        <v>2404</v>
      </c>
      <c r="O444" s="3" t="s">
        <v>63</v>
      </c>
      <c r="P444" s="3" t="s">
        <v>464</v>
      </c>
      <c r="Q444" s="8">
        <v>1504722.0</v>
      </c>
      <c r="R444" s="3" t="s">
        <v>93</v>
      </c>
      <c r="S444" s="7">
        <v>42971.0</v>
      </c>
      <c r="T444" s="3" t="s">
        <v>63</v>
      </c>
      <c r="U444" s="6" t="s">
        <v>333</v>
      </c>
      <c r="V444" s="3" t="s">
        <v>4</v>
      </c>
      <c r="W444" s="3" t="s">
        <v>102</v>
      </c>
    </row>
    <row r="445" ht="15.75" customHeight="1">
      <c r="A445" s="6" t="s">
        <v>1064</v>
      </c>
      <c r="B445" s="3" t="s">
        <v>6748</v>
      </c>
      <c r="C445" s="7">
        <v>38281.0</v>
      </c>
      <c r="D445" s="3" t="s">
        <v>63</v>
      </c>
      <c r="E445" s="3">
        <v>21.0</v>
      </c>
      <c r="F445" s="3" t="s">
        <v>183</v>
      </c>
      <c r="G445" s="6" t="s">
        <v>6749</v>
      </c>
      <c r="H445" s="3" t="s">
        <v>6750</v>
      </c>
      <c r="I445" s="3" t="s">
        <v>6325</v>
      </c>
      <c r="J445" s="3" t="s">
        <v>167</v>
      </c>
      <c r="K445" s="3" t="s">
        <v>169</v>
      </c>
      <c r="L445" s="6" t="s">
        <v>5800</v>
      </c>
      <c r="M445" s="3" t="s">
        <v>63</v>
      </c>
      <c r="N445" s="3"/>
      <c r="O445" s="3" t="s">
        <v>88</v>
      </c>
      <c r="P445" s="3" t="s">
        <v>90</v>
      </c>
      <c r="Q445" s="8">
        <v>1297027.0</v>
      </c>
      <c r="R445" s="3" t="s">
        <v>93</v>
      </c>
      <c r="S445" s="7">
        <v>40520.0</v>
      </c>
      <c r="T445" s="3" t="s">
        <v>63</v>
      </c>
      <c r="U445" s="6" t="s">
        <v>163</v>
      </c>
      <c r="V445" s="3" t="s">
        <v>4</v>
      </c>
      <c r="W445" s="3" t="s">
        <v>102</v>
      </c>
    </row>
    <row r="446" ht="15.75" customHeight="1">
      <c r="A446" s="6" t="s">
        <v>463</v>
      </c>
      <c r="B446" s="3" t="s">
        <v>6751</v>
      </c>
      <c r="C446" s="7">
        <v>25501.0</v>
      </c>
      <c r="D446" s="3" t="s">
        <v>63</v>
      </c>
      <c r="E446" s="3">
        <v>56.0</v>
      </c>
      <c r="F446" s="3" t="s">
        <v>70</v>
      </c>
      <c r="G446" s="6" t="s">
        <v>6752</v>
      </c>
      <c r="H446" s="3" t="s">
        <v>6753</v>
      </c>
      <c r="I446" s="3" t="s">
        <v>6754</v>
      </c>
      <c r="J446" s="3" t="s">
        <v>305</v>
      </c>
      <c r="K446" s="3" t="s">
        <v>193</v>
      </c>
      <c r="L446" s="6" t="s">
        <v>465</v>
      </c>
      <c r="M446" s="3" t="s">
        <v>63</v>
      </c>
      <c r="N446" s="6" t="s">
        <v>466</v>
      </c>
      <c r="O446" s="3" t="s">
        <v>63</v>
      </c>
      <c r="P446" s="3" t="s">
        <v>464</v>
      </c>
      <c r="Q446" s="3"/>
      <c r="R446" s="3" t="s">
        <v>258</v>
      </c>
      <c r="S446" s="7">
        <v>42657.0</v>
      </c>
      <c r="T446" s="3" t="s">
        <v>63</v>
      </c>
      <c r="U446" s="6" t="s">
        <v>245</v>
      </c>
      <c r="V446" s="3" t="s">
        <v>4</v>
      </c>
      <c r="W446" s="3" t="s">
        <v>102</v>
      </c>
    </row>
    <row r="447" ht="15.75" customHeight="1">
      <c r="A447" s="6" t="s">
        <v>4210</v>
      </c>
      <c r="B447" s="3" t="s">
        <v>6755</v>
      </c>
      <c r="C447" s="7">
        <v>33226.0</v>
      </c>
      <c r="D447" s="3" t="s">
        <v>63</v>
      </c>
      <c r="E447" s="3">
        <v>35.0</v>
      </c>
      <c r="F447" s="3" t="s">
        <v>183</v>
      </c>
      <c r="G447" s="6" t="s">
        <v>6756</v>
      </c>
      <c r="H447" s="3" t="s">
        <v>6757</v>
      </c>
      <c r="I447" s="3" t="s">
        <v>6758</v>
      </c>
      <c r="J447" s="3" t="s">
        <v>153</v>
      </c>
      <c r="K447" s="3" t="s">
        <v>67</v>
      </c>
      <c r="L447" s="6" t="s">
        <v>4211</v>
      </c>
      <c r="M447" s="3" t="s">
        <v>63</v>
      </c>
      <c r="N447" s="6" t="s">
        <v>4212</v>
      </c>
      <c r="O447" s="3" t="s">
        <v>63</v>
      </c>
      <c r="P447" s="3" t="s">
        <v>160</v>
      </c>
      <c r="Q447" s="8">
        <v>1184919.0</v>
      </c>
      <c r="R447" s="3" t="s">
        <v>93</v>
      </c>
      <c r="S447" s="7">
        <v>43053.0</v>
      </c>
      <c r="T447" s="3" t="s">
        <v>63</v>
      </c>
      <c r="U447" s="6" t="s">
        <v>401</v>
      </c>
      <c r="V447" s="3" t="s">
        <v>4</v>
      </c>
      <c r="W447" s="3" t="s">
        <v>102</v>
      </c>
    </row>
    <row r="448" ht="15.75" customHeight="1">
      <c r="A448" s="6" t="s">
        <v>398</v>
      </c>
      <c r="B448" s="3" t="s">
        <v>6759</v>
      </c>
      <c r="C448" s="7">
        <v>27691.0</v>
      </c>
      <c r="D448" s="3" t="s">
        <v>63</v>
      </c>
      <c r="E448" s="3">
        <v>50.0</v>
      </c>
      <c r="F448" s="3" t="s">
        <v>70</v>
      </c>
      <c r="G448" s="6" t="s">
        <v>6760</v>
      </c>
      <c r="H448" s="3" t="s">
        <v>6761</v>
      </c>
      <c r="I448" s="3" t="s">
        <v>6762</v>
      </c>
      <c r="J448" s="3" t="s">
        <v>251</v>
      </c>
      <c r="K448" s="3" t="s">
        <v>251</v>
      </c>
      <c r="L448" s="6" t="s">
        <v>400</v>
      </c>
      <c r="M448" s="3" t="s">
        <v>63</v>
      </c>
      <c r="N448" s="6" t="s">
        <v>402</v>
      </c>
      <c r="O448" s="3" t="s">
        <v>63</v>
      </c>
      <c r="P448" s="3" t="s">
        <v>464</v>
      </c>
      <c r="Q448" s="3"/>
      <c r="R448" s="3" t="s">
        <v>258</v>
      </c>
      <c r="S448" s="7">
        <v>39994.0</v>
      </c>
      <c r="T448" s="3" t="s">
        <v>63</v>
      </c>
      <c r="U448" s="6" t="s">
        <v>221</v>
      </c>
      <c r="V448" s="3" t="s">
        <v>4</v>
      </c>
      <c r="W448" s="3" t="s">
        <v>102</v>
      </c>
    </row>
    <row r="449" ht="15.75" customHeight="1">
      <c r="A449" s="6" t="s">
        <v>3395</v>
      </c>
      <c r="B449" s="3" t="s">
        <v>6763</v>
      </c>
      <c r="C449" s="7">
        <v>27648.0</v>
      </c>
      <c r="D449" s="3" t="s">
        <v>63</v>
      </c>
      <c r="E449" s="3">
        <v>50.0</v>
      </c>
      <c r="F449" s="3" t="s">
        <v>183</v>
      </c>
      <c r="G449" s="6" t="s">
        <v>6764</v>
      </c>
      <c r="H449" s="3" t="s">
        <v>6765</v>
      </c>
      <c r="I449" s="3" t="s">
        <v>6766</v>
      </c>
      <c r="J449" s="3" t="s">
        <v>227</v>
      </c>
      <c r="K449" s="3" t="s">
        <v>229</v>
      </c>
      <c r="L449" s="6" t="s">
        <v>3396</v>
      </c>
      <c r="M449" s="3" t="s">
        <v>63</v>
      </c>
      <c r="N449" s="6" t="s">
        <v>3398</v>
      </c>
      <c r="O449" s="3" t="s">
        <v>63</v>
      </c>
      <c r="P449" s="3" t="s">
        <v>396</v>
      </c>
      <c r="Q449" s="8">
        <v>320256.0</v>
      </c>
      <c r="R449" s="3" t="s">
        <v>93</v>
      </c>
      <c r="S449" s="7">
        <v>45647.0</v>
      </c>
      <c r="T449" s="3" t="s">
        <v>63</v>
      </c>
      <c r="U449" s="6" t="s">
        <v>129</v>
      </c>
      <c r="V449" s="3" t="s">
        <v>4</v>
      </c>
      <c r="W449" s="3" t="s">
        <v>102</v>
      </c>
    </row>
    <row r="450" ht="15.75" customHeight="1">
      <c r="A450" s="6" t="s">
        <v>2496</v>
      </c>
      <c r="B450" s="3" t="s">
        <v>6767</v>
      </c>
      <c r="C450" s="7">
        <v>30346.0</v>
      </c>
      <c r="D450" s="3" t="s">
        <v>63</v>
      </c>
      <c r="E450" s="3">
        <v>43.0</v>
      </c>
      <c r="F450" s="3" t="s">
        <v>183</v>
      </c>
      <c r="G450" s="6" t="s">
        <v>6768</v>
      </c>
      <c r="H450" s="3" t="s">
        <v>6769</v>
      </c>
      <c r="I450" s="3" t="s">
        <v>3556</v>
      </c>
      <c r="J450" s="3" t="s">
        <v>119</v>
      </c>
      <c r="K450" s="3" t="s">
        <v>121</v>
      </c>
      <c r="L450" s="6" t="s">
        <v>1405</v>
      </c>
      <c r="M450" s="3" t="s">
        <v>63</v>
      </c>
      <c r="N450" s="6" t="s">
        <v>1408</v>
      </c>
      <c r="O450" s="3" t="s">
        <v>63</v>
      </c>
      <c r="P450" s="3" t="s">
        <v>202</v>
      </c>
      <c r="Q450" s="8">
        <v>312323.0</v>
      </c>
      <c r="R450" s="3" t="s">
        <v>93</v>
      </c>
      <c r="S450" s="7">
        <v>39239.0</v>
      </c>
      <c r="T450" s="3" t="s">
        <v>63</v>
      </c>
      <c r="U450" s="6" t="s">
        <v>221</v>
      </c>
      <c r="V450" s="3" t="s">
        <v>237</v>
      </c>
      <c r="W450" s="3" t="s">
        <v>378</v>
      </c>
    </row>
    <row r="451" ht="15.75" customHeight="1">
      <c r="A451" s="6" t="s">
        <v>1958</v>
      </c>
      <c r="B451" s="3" t="s">
        <v>6770</v>
      </c>
      <c r="C451" s="7">
        <v>29823.0</v>
      </c>
      <c r="D451" s="3" t="s">
        <v>63</v>
      </c>
      <c r="E451" s="3">
        <v>44.0</v>
      </c>
      <c r="F451" s="3" t="s">
        <v>70</v>
      </c>
      <c r="G451" s="6" t="s">
        <v>6771</v>
      </c>
      <c r="H451" s="3" t="s">
        <v>6772</v>
      </c>
      <c r="I451" s="3" t="s">
        <v>1230</v>
      </c>
      <c r="J451" s="3" t="s">
        <v>134</v>
      </c>
      <c r="K451" s="3" t="s">
        <v>137</v>
      </c>
      <c r="L451" s="3"/>
      <c r="M451" s="3" t="s">
        <v>88</v>
      </c>
      <c r="N451" s="6" t="s">
        <v>1962</v>
      </c>
      <c r="O451" s="3" t="s">
        <v>63</v>
      </c>
      <c r="P451" s="3" t="s">
        <v>464</v>
      </c>
      <c r="Q451" s="8">
        <v>221141.0</v>
      </c>
      <c r="R451" s="3" t="s">
        <v>93</v>
      </c>
      <c r="S451" s="7">
        <v>39808.0</v>
      </c>
      <c r="T451" s="3" t="s">
        <v>63</v>
      </c>
      <c r="U451" s="6" t="s">
        <v>397</v>
      </c>
      <c r="V451" s="3" t="s">
        <v>4</v>
      </c>
      <c r="W451" s="3" t="s">
        <v>102</v>
      </c>
    </row>
    <row r="452" ht="15.75" customHeight="1">
      <c r="A452" s="6" t="s">
        <v>769</v>
      </c>
      <c r="B452" s="3" t="s">
        <v>6014</v>
      </c>
      <c r="C452" s="7">
        <v>21317.0</v>
      </c>
      <c r="D452" s="3" t="s">
        <v>63</v>
      </c>
      <c r="E452" s="3">
        <v>68.0</v>
      </c>
      <c r="F452" s="3" t="s">
        <v>183</v>
      </c>
      <c r="G452" s="6" t="s">
        <v>6773</v>
      </c>
      <c r="H452" s="3" t="s">
        <v>6774</v>
      </c>
      <c r="I452" s="3" t="s">
        <v>6775</v>
      </c>
      <c r="J452" s="3" t="s">
        <v>282</v>
      </c>
      <c r="K452" s="3" t="s">
        <v>229</v>
      </c>
      <c r="L452" s="6" t="s">
        <v>1455</v>
      </c>
      <c r="M452" s="3" t="s">
        <v>63</v>
      </c>
      <c r="N452" s="6" t="s">
        <v>1456</v>
      </c>
      <c r="O452" s="3" t="s">
        <v>63</v>
      </c>
      <c r="P452" s="3" t="s">
        <v>324</v>
      </c>
      <c r="Q452" s="3"/>
      <c r="R452" s="3" t="s">
        <v>258</v>
      </c>
      <c r="S452" s="7">
        <v>43610.0</v>
      </c>
      <c r="T452" s="3" t="s">
        <v>63</v>
      </c>
      <c r="U452" s="6" t="s">
        <v>352</v>
      </c>
      <c r="V452" s="3" t="s">
        <v>4</v>
      </c>
      <c r="W452" s="3" t="s">
        <v>102</v>
      </c>
    </row>
    <row r="453" ht="15.75" customHeight="1">
      <c r="A453" s="6" t="s">
        <v>3123</v>
      </c>
      <c r="B453" s="3" t="s">
        <v>6776</v>
      </c>
      <c r="C453" s="7">
        <v>24836.0</v>
      </c>
      <c r="D453" s="3" t="s">
        <v>63</v>
      </c>
      <c r="E453" s="3">
        <v>58.0</v>
      </c>
      <c r="F453" s="3" t="s">
        <v>183</v>
      </c>
      <c r="G453" s="6" t="s">
        <v>6777</v>
      </c>
      <c r="H453" s="3" t="s">
        <v>6778</v>
      </c>
      <c r="I453" s="3" t="s">
        <v>6779</v>
      </c>
      <c r="J453" s="3" t="s">
        <v>250</v>
      </c>
      <c r="K453" s="3" t="s">
        <v>252</v>
      </c>
      <c r="L453" s="6" t="s">
        <v>3124</v>
      </c>
      <c r="M453" s="3" t="s">
        <v>63</v>
      </c>
      <c r="N453" s="6" t="s">
        <v>3126</v>
      </c>
      <c r="O453" s="3" t="s">
        <v>63</v>
      </c>
      <c r="P453" s="3" t="s">
        <v>160</v>
      </c>
      <c r="Q453" s="3"/>
      <c r="R453" s="3" t="s">
        <v>258</v>
      </c>
      <c r="S453" s="7">
        <v>38640.0</v>
      </c>
      <c r="T453" s="3" t="s">
        <v>63</v>
      </c>
      <c r="U453" s="6" t="s">
        <v>397</v>
      </c>
      <c r="V453" s="3" t="s">
        <v>4</v>
      </c>
      <c r="W453" s="3" t="s">
        <v>102</v>
      </c>
    </row>
    <row r="454" ht="15.75" customHeight="1">
      <c r="A454" s="6" t="s">
        <v>2032</v>
      </c>
      <c r="B454" s="3" t="s">
        <v>6780</v>
      </c>
      <c r="C454" s="7">
        <v>32289.0</v>
      </c>
      <c r="D454" s="3" t="s">
        <v>63</v>
      </c>
      <c r="E454" s="3">
        <v>38.0</v>
      </c>
      <c r="F454" s="3" t="s">
        <v>183</v>
      </c>
      <c r="G454" s="6" t="s">
        <v>6781</v>
      </c>
      <c r="H454" s="3" t="s">
        <v>6782</v>
      </c>
      <c r="I454" s="3" t="s">
        <v>6783</v>
      </c>
      <c r="J454" s="3" t="s">
        <v>227</v>
      </c>
      <c r="K454" s="3" t="s">
        <v>229</v>
      </c>
      <c r="L454" s="6" t="s">
        <v>5095</v>
      </c>
      <c r="M454" s="3" t="s">
        <v>63</v>
      </c>
      <c r="N454" s="6" t="s">
        <v>5097</v>
      </c>
      <c r="O454" s="3" t="s">
        <v>63</v>
      </c>
      <c r="P454" s="3" t="s">
        <v>160</v>
      </c>
      <c r="Q454" s="8">
        <v>1343735.0</v>
      </c>
      <c r="R454" s="3" t="s">
        <v>93</v>
      </c>
      <c r="S454" s="7">
        <v>41016.0</v>
      </c>
      <c r="T454" s="3" t="s">
        <v>63</v>
      </c>
      <c r="U454" s="6" t="s">
        <v>266</v>
      </c>
      <c r="V454" s="3" t="s">
        <v>4</v>
      </c>
      <c r="W454" s="3" t="s">
        <v>102</v>
      </c>
    </row>
    <row r="455" ht="15.75" customHeight="1">
      <c r="A455" s="6" t="s">
        <v>3929</v>
      </c>
      <c r="B455" s="3" t="s">
        <v>6784</v>
      </c>
      <c r="C455" s="7">
        <v>24607.0</v>
      </c>
      <c r="D455" s="3" t="s">
        <v>63</v>
      </c>
      <c r="E455" s="3">
        <v>59.0</v>
      </c>
      <c r="F455" s="3" t="s">
        <v>70</v>
      </c>
      <c r="G455" s="6" t="s">
        <v>6785</v>
      </c>
      <c r="H455" s="3" t="s">
        <v>6786</v>
      </c>
      <c r="I455" s="3" t="s">
        <v>6787</v>
      </c>
      <c r="J455" s="3" t="s">
        <v>184</v>
      </c>
      <c r="K455" s="3" t="s">
        <v>187</v>
      </c>
      <c r="L455" s="6" t="s">
        <v>3931</v>
      </c>
      <c r="M455" s="3" t="s">
        <v>63</v>
      </c>
      <c r="N455" s="6" t="s">
        <v>3933</v>
      </c>
      <c r="O455" s="3" t="s">
        <v>63</v>
      </c>
      <c r="P455" s="3" t="s">
        <v>464</v>
      </c>
      <c r="Q455" s="3"/>
      <c r="R455" s="3" t="s">
        <v>258</v>
      </c>
      <c r="S455" s="7">
        <v>43883.0</v>
      </c>
      <c r="T455" s="3" t="s">
        <v>63</v>
      </c>
      <c r="U455" s="6" t="s">
        <v>333</v>
      </c>
      <c r="V455" s="3" t="s">
        <v>237</v>
      </c>
      <c r="W455" s="3" t="s">
        <v>102</v>
      </c>
    </row>
    <row r="456" ht="15.75" customHeight="1">
      <c r="A456" s="6" t="s">
        <v>868</v>
      </c>
      <c r="B456" s="3" t="s">
        <v>6788</v>
      </c>
      <c r="C456" s="7">
        <v>37428.0</v>
      </c>
      <c r="D456" s="3" t="s">
        <v>63</v>
      </c>
      <c r="E456" s="3">
        <v>24.0</v>
      </c>
      <c r="F456" s="3" t="s">
        <v>70</v>
      </c>
      <c r="G456" s="6" t="s">
        <v>6789</v>
      </c>
      <c r="H456" s="3" t="s">
        <v>6790</v>
      </c>
      <c r="I456" s="3" t="s">
        <v>6791</v>
      </c>
      <c r="J456" s="3" t="s">
        <v>251</v>
      </c>
      <c r="K456" s="3" t="s">
        <v>251</v>
      </c>
      <c r="L456" s="6" t="s">
        <v>5380</v>
      </c>
      <c r="M456" s="3" t="s">
        <v>63</v>
      </c>
      <c r="N456" s="6" t="s">
        <v>5381</v>
      </c>
      <c r="O456" s="3" t="s">
        <v>63</v>
      </c>
      <c r="P456" s="3" t="s">
        <v>127</v>
      </c>
      <c r="Q456" s="3"/>
      <c r="R456" s="3" t="s">
        <v>258</v>
      </c>
      <c r="S456" s="7">
        <v>42755.0</v>
      </c>
      <c r="T456" s="3" t="s">
        <v>63</v>
      </c>
      <c r="U456" s="6" t="s">
        <v>284</v>
      </c>
      <c r="V456" s="3" t="s">
        <v>4</v>
      </c>
      <c r="W456" s="3" t="s">
        <v>102</v>
      </c>
    </row>
    <row r="457" ht="15.75" customHeight="1">
      <c r="A457" s="6" t="s">
        <v>2049</v>
      </c>
      <c r="B457" s="3" t="s">
        <v>6792</v>
      </c>
      <c r="C457" s="7">
        <v>38393.0</v>
      </c>
      <c r="D457" s="3" t="s">
        <v>63</v>
      </c>
      <c r="E457" s="3">
        <v>21.0</v>
      </c>
      <c r="F457" s="3" t="s">
        <v>70</v>
      </c>
      <c r="G457" s="6" t="s">
        <v>6793</v>
      </c>
      <c r="H457" s="3" t="s">
        <v>6794</v>
      </c>
      <c r="I457" s="3" t="s">
        <v>4272</v>
      </c>
      <c r="J457" s="3" t="s">
        <v>282</v>
      </c>
      <c r="K457" s="3" t="s">
        <v>229</v>
      </c>
      <c r="L457" s="6" t="s">
        <v>2051</v>
      </c>
      <c r="M457" s="3" t="s">
        <v>63</v>
      </c>
      <c r="N457" s="6" t="s">
        <v>2052</v>
      </c>
      <c r="O457" s="3" t="s">
        <v>63</v>
      </c>
      <c r="P457" s="3" t="s">
        <v>372</v>
      </c>
      <c r="Q457" s="8">
        <v>2121766.0</v>
      </c>
      <c r="R457" s="3" t="s">
        <v>93</v>
      </c>
      <c r="S457" s="7">
        <v>42804.0</v>
      </c>
      <c r="T457" s="3" t="s">
        <v>63</v>
      </c>
      <c r="U457" s="6" t="s">
        <v>109</v>
      </c>
      <c r="V457" s="3" t="s">
        <v>4</v>
      </c>
      <c r="W457" s="3" t="s">
        <v>102</v>
      </c>
    </row>
    <row r="458" ht="15.75" customHeight="1">
      <c r="A458" s="6" t="s">
        <v>1842</v>
      </c>
      <c r="B458" s="3" t="s">
        <v>6795</v>
      </c>
      <c r="C458" s="7">
        <v>35394.0</v>
      </c>
      <c r="D458" s="3" t="s">
        <v>63</v>
      </c>
      <c r="E458" s="3">
        <v>29.0</v>
      </c>
      <c r="F458" s="3" t="s">
        <v>70</v>
      </c>
      <c r="G458" s="6" t="s">
        <v>6796</v>
      </c>
      <c r="H458" s="3" t="s">
        <v>6797</v>
      </c>
      <c r="I458" s="3" t="s">
        <v>6798</v>
      </c>
      <c r="J458" s="3" t="s">
        <v>119</v>
      </c>
      <c r="K458" s="3" t="s">
        <v>121</v>
      </c>
      <c r="L458" s="3"/>
      <c r="M458" s="3" t="s">
        <v>88</v>
      </c>
      <c r="N458" s="6" t="s">
        <v>4903</v>
      </c>
      <c r="O458" s="3" t="s">
        <v>63</v>
      </c>
      <c r="P458" s="3" t="s">
        <v>202</v>
      </c>
      <c r="Q458" s="8">
        <v>1488790.0</v>
      </c>
      <c r="R458" s="3" t="s">
        <v>93</v>
      </c>
      <c r="S458" s="7">
        <v>41361.0</v>
      </c>
      <c r="T458" s="3" t="s">
        <v>63</v>
      </c>
      <c r="U458" s="6" t="s">
        <v>301</v>
      </c>
      <c r="V458" s="3" t="s">
        <v>4</v>
      </c>
      <c r="W458" s="3" t="s">
        <v>102</v>
      </c>
    </row>
    <row r="459" ht="15.75" customHeight="1">
      <c r="A459" s="6" t="s">
        <v>2167</v>
      </c>
      <c r="B459" s="3" t="s">
        <v>6799</v>
      </c>
      <c r="C459" s="7">
        <v>29847.0</v>
      </c>
      <c r="D459" s="3" t="s">
        <v>63</v>
      </c>
      <c r="E459" s="3">
        <v>44.0</v>
      </c>
      <c r="F459" s="3" t="s">
        <v>183</v>
      </c>
      <c r="G459" s="6" t="s">
        <v>6800</v>
      </c>
      <c r="H459" s="3" t="s">
        <v>6801</v>
      </c>
      <c r="I459" s="3" t="s">
        <v>6802</v>
      </c>
      <c r="J459" s="3" t="s">
        <v>349</v>
      </c>
      <c r="K459" s="3" t="s">
        <v>45</v>
      </c>
      <c r="L459" s="6" t="s">
        <v>6189</v>
      </c>
      <c r="M459" s="3" t="s">
        <v>63</v>
      </c>
      <c r="N459" s="6" t="s">
        <v>6190</v>
      </c>
      <c r="O459" s="3" t="s">
        <v>63</v>
      </c>
      <c r="P459" s="3" t="s">
        <v>160</v>
      </c>
      <c r="Q459" s="3"/>
      <c r="R459" s="3" t="s">
        <v>258</v>
      </c>
      <c r="S459" s="7">
        <v>38838.0</v>
      </c>
      <c r="T459" s="3" t="s">
        <v>63</v>
      </c>
      <c r="U459" s="6" t="s">
        <v>401</v>
      </c>
      <c r="V459" s="3" t="s">
        <v>237</v>
      </c>
      <c r="W459" s="3" t="s">
        <v>378</v>
      </c>
    </row>
    <row r="460" ht="15.75" customHeight="1">
      <c r="A460" s="6" t="s">
        <v>6803</v>
      </c>
      <c r="B460" s="3" t="s">
        <v>6128</v>
      </c>
      <c r="C460" s="7">
        <v>31129.0</v>
      </c>
      <c r="D460" s="3" t="s">
        <v>63</v>
      </c>
      <c r="E460" s="3">
        <v>41.0</v>
      </c>
      <c r="F460" s="3" t="s">
        <v>70</v>
      </c>
      <c r="G460" s="6" t="s">
        <v>6804</v>
      </c>
      <c r="H460" s="3" t="s">
        <v>6805</v>
      </c>
      <c r="I460" s="3" t="s">
        <v>6747</v>
      </c>
      <c r="J460" s="3" t="s">
        <v>213</v>
      </c>
      <c r="K460" s="3" t="s">
        <v>67</v>
      </c>
      <c r="L460" s="6" t="s">
        <v>6806</v>
      </c>
      <c r="M460" s="3" t="s">
        <v>63</v>
      </c>
      <c r="N460" s="3"/>
      <c r="O460" s="3" t="s">
        <v>88</v>
      </c>
      <c r="P460" s="3" t="s">
        <v>372</v>
      </c>
      <c r="Q460" s="8">
        <v>821472.0</v>
      </c>
      <c r="R460" s="3" t="s">
        <v>93</v>
      </c>
      <c r="S460" s="7">
        <v>45905.0</v>
      </c>
      <c r="T460" s="3" t="s">
        <v>63</v>
      </c>
      <c r="U460" s="6" t="s">
        <v>136</v>
      </c>
      <c r="V460" s="3" t="s">
        <v>237</v>
      </c>
      <c r="W460" s="3" t="s">
        <v>102</v>
      </c>
    </row>
    <row r="461" ht="15.75" customHeight="1">
      <c r="A461" s="6" t="s">
        <v>338</v>
      </c>
      <c r="B461" s="3" t="s">
        <v>6807</v>
      </c>
      <c r="C461" s="7">
        <v>29908.0</v>
      </c>
      <c r="D461" s="3" t="s">
        <v>63</v>
      </c>
      <c r="E461" s="3">
        <v>44.0</v>
      </c>
      <c r="F461" s="3" t="s">
        <v>70</v>
      </c>
      <c r="G461" s="6" t="s">
        <v>6808</v>
      </c>
      <c r="H461" s="3" t="s">
        <v>6809</v>
      </c>
      <c r="I461" s="3" t="s">
        <v>6810</v>
      </c>
      <c r="J461" s="3" t="s">
        <v>251</v>
      </c>
      <c r="K461" s="3" t="s">
        <v>251</v>
      </c>
      <c r="L461" s="6" t="s">
        <v>340</v>
      </c>
      <c r="M461" s="3" t="s">
        <v>63</v>
      </c>
      <c r="N461" s="6" t="s">
        <v>343</v>
      </c>
      <c r="O461" s="3" t="s">
        <v>63</v>
      </c>
      <c r="P461" s="3" t="s">
        <v>90</v>
      </c>
      <c r="Q461" s="8">
        <v>1252495.0</v>
      </c>
      <c r="R461" s="3" t="s">
        <v>93</v>
      </c>
      <c r="S461" s="7">
        <v>46007.0</v>
      </c>
      <c r="T461" s="3" t="s">
        <v>63</v>
      </c>
      <c r="U461" s="6" t="s">
        <v>221</v>
      </c>
      <c r="V461" s="3" t="s">
        <v>4</v>
      </c>
      <c r="W461" s="3" t="s">
        <v>102</v>
      </c>
    </row>
    <row r="462" ht="15.75" customHeight="1">
      <c r="A462" s="6" t="s">
        <v>4113</v>
      </c>
      <c r="B462" s="3" t="s">
        <v>6811</v>
      </c>
      <c r="C462" s="7">
        <v>26939.0</v>
      </c>
      <c r="D462" s="3" t="s">
        <v>63</v>
      </c>
      <c r="E462" s="3">
        <v>52.0</v>
      </c>
      <c r="F462" s="3" t="s">
        <v>70</v>
      </c>
      <c r="G462" s="6" t="s">
        <v>6812</v>
      </c>
      <c r="H462" s="3" t="s">
        <v>6813</v>
      </c>
      <c r="I462" s="3" t="s">
        <v>6814</v>
      </c>
      <c r="J462" s="3" t="s">
        <v>271</v>
      </c>
      <c r="K462" s="3" t="s">
        <v>273</v>
      </c>
      <c r="L462" s="6" t="s">
        <v>4115</v>
      </c>
      <c r="M462" s="3" t="s">
        <v>63</v>
      </c>
      <c r="N462" s="6" t="s">
        <v>4117</v>
      </c>
      <c r="O462" s="3" t="s">
        <v>63</v>
      </c>
      <c r="P462" s="3" t="s">
        <v>160</v>
      </c>
      <c r="Q462" s="8">
        <v>818116.0</v>
      </c>
      <c r="R462" s="3" t="s">
        <v>93</v>
      </c>
      <c r="S462" s="7">
        <v>38480.0</v>
      </c>
      <c r="T462" s="3" t="s">
        <v>63</v>
      </c>
      <c r="U462" s="6" t="s">
        <v>245</v>
      </c>
      <c r="V462" s="3" t="s">
        <v>4</v>
      </c>
      <c r="W462" s="3" t="s">
        <v>102</v>
      </c>
    </row>
    <row r="463" ht="15.75" customHeight="1">
      <c r="A463" s="6" t="s">
        <v>2969</v>
      </c>
      <c r="B463" s="3" t="s">
        <v>3086</v>
      </c>
      <c r="C463" s="7">
        <v>26399.0</v>
      </c>
      <c r="D463" s="3" t="s">
        <v>63</v>
      </c>
      <c r="E463" s="3">
        <v>54.0</v>
      </c>
      <c r="F463" s="3" t="s">
        <v>70</v>
      </c>
      <c r="G463" s="6" t="s">
        <v>6815</v>
      </c>
      <c r="H463" s="3"/>
      <c r="I463" s="3" t="s">
        <v>3091</v>
      </c>
      <c r="J463" s="3" t="s">
        <v>65</v>
      </c>
      <c r="K463" s="3" t="s">
        <v>67</v>
      </c>
      <c r="L463" s="6" t="s">
        <v>887</v>
      </c>
      <c r="M463" s="3" t="s">
        <v>63</v>
      </c>
      <c r="N463" s="6" t="s">
        <v>889</v>
      </c>
      <c r="O463" s="3" t="s">
        <v>63</v>
      </c>
      <c r="P463" s="3" t="s">
        <v>127</v>
      </c>
      <c r="Q463" s="8">
        <v>1720598.0</v>
      </c>
      <c r="R463" s="3" t="s">
        <v>93</v>
      </c>
      <c r="S463" s="7">
        <v>40702.0</v>
      </c>
      <c r="T463" s="3" t="s">
        <v>63</v>
      </c>
      <c r="U463" s="6" t="s">
        <v>36</v>
      </c>
      <c r="V463" s="3" t="s">
        <v>4</v>
      </c>
      <c r="W463" s="3" t="s">
        <v>378</v>
      </c>
    </row>
    <row r="464" ht="15.75" customHeight="1">
      <c r="A464" s="6" t="s">
        <v>219</v>
      </c>
      <c r="B464" s="3" t="s">
        <v>6816</v>
      </c>
      <c r="C464" s="7">
        <v>34727.0</v>
      </c>
      <c r="D464" s="3" t="s">
        <v>63</v>
      </c>
      <c r="E464" s="3">
        <v>31.0</v>
      </c>
      <c r="F464" s="3" t="s">
        <v>183</v>
      </c>
      <c r="G464" s="6" t="s">
        <v>6817</v>
      </c>
      <c r="H464" s="3" t="s">
        <v>6818</v>
      </c>
      <c r="I464" s="3" t="s">
        <v>6819</v>
      </c>
      <c r="J464" s="3" t="s">
        <v>227</v>
      </c>
      <c r="K464" s="3" t="s">
        <v>229</v>
      </c>
      <c r="L464" s="6" t="s">
        <v>222</v>
      </c>
      <c r="M464" s="3" t="s">
        <v>63</v>
      </c>
      <c r="N464" s="6" t="s">
        <v>226</v>
      </c>
      <c r="O464" s="3" t="s">
        <v>63</v>
      </c>
      <c r="P464" s="3" t="s">
        <v>372</v>
      </c>
      <c r="Q464" s="8">
        <v>2327461.0</v>
      </c>
      <c r="R464" s="3" t="s">
        <v>93</v>
      </c>
      <c r="S464" s="7">
        <v>38398.0</v>
      </c>
      <c r="T464" s="3" t="s">
        <v>63</v>
      </c>
      <c r="U464" s="6" t="s">
        <v>36</v>
      </c>
      <c r="V464" s="3" t="s">
        <v>4</v>
      </c>
      <c r="W464" s="3" t="s">
        <v>102</v>
      </c>
    </row>
    <row r="465" ht="15.75" customHeight="1">
      <c r="A465" s="6" t="s">
        <v>3649</v>
      </c>
      <c r="B465" s="3" t="s">
        <v>6820</v>
      </c>
      <c r="C465" s="7">
        <v>20389.0</v>
      </c>
      <c r="D465" s="3" t="s">
        <v>63</v>
      </c>
      <c r="E465" s="3">
        <v>70.0</v>
      </c>
      <c r="F465" s="3" t="s">
        <v>70</v>
      </c>
      <c r="G465" s="6" t="s">
        <v>6821</v>
      </c>
      <c r="H465" s="3"/>
      <c r="I465" s="3" t="s">
        <v>6822</v>
      </c>
      <c r="J465" s="3" t="s">
        <v>337</v>
      </c>
      <c r="K465" s="3" t="s">
        <v>137</v>
      </c>
      <c r="L465" s="6" t="s">
        <v>3650</v>
      </c>
      <c r="M465" s="3" t="s">
        <v>63</v>
      </c>
      <c r="N465" s="6" t="s">
        <v>3651</v>
      </c>
      <c r="O465" s="3" t="s">
        <v>63</v>
      </c>
      <c r="P465" s="3" t="s">
        <v>464</v>
      </c>
      <c r="Q465" s="3"/>
      <c r="R465" s="3" t="s">
        <v>258</v>
      </c>
      <c r="S465" s="7">
        <v>41616.0</v>
      </c>
      <c r="T465" s="3" t="s">
        <v>63</v>
      </c>
      <c r="U465" s="6" t="s">
        <v>323</v>
      </c>
      <c r="V465" s="3" t="s">
        <v>4</v>
      </c>
      <c r="W465" s="3" t="s">
        <v>102</v>
      </c>
    </row>
    <row r="466" ht="15.75" customHeight="1">
      <c r="A466" s="6" t="s">
        <v>1357</v>
      </c>
      <c r="B466" s="3" t="s">
        <v>2077</v>
      </c>
      <c r="C466" s="7">
        <v>34625.0</v>
      </c>
      <c r="D466" s="3" t="s">
        <v>63</v>
      </c>
      <c r="E466" s="3">
        <v>31.0</v>
      </c>
      <c r="F466" s="3" t="s">
        <v>183</v>
      </c>
      <c r="G466" s="6" t="s">
        <v>6823</v>
      </c>
      <c r="H466" s="3" t="s">
        <v>6824</v>
      </c>
      <c r="I466" s="3" t="s">
        <v>6825</v>
      </c>
      <c r="J466" s="3" t="s">
        <v>251</v>
      </c>
      <c r="K466" s="3" t="s">
        <v>251</v>
      </c>
      <c r="L466" s="6" t="s">
        <v>4258</v>
      </c>
      <c r="M466" s="3" t="s">
        <v>63</v>
      </c>
      <c r="N466" s="6" t="s">
        <v>4260</v>
      </c>
      <c r="O466" s="3" t="s">
        <v>63</v>
      </c>
      <c r="P466" s="3" t="s">
        <v>90</v>
      </c>
      <c r="Q466" s="3"/>
      <c r="R466" s="3" t="s">
        <v>258</v>
      </c>
      <c r="S466" s="7">
        <v>43588.0</v>
      </c>
      <c r="T466" s="3" t="s">
        <v>63</v>
      </c>
      <c r="U466" s="6" t="s">
        <v>179</v>
      </c>
      <c r="V466" s="3" t="s">
        <v>4</v>
      </c>
      <c r="W466" s="3" t="s">
        <v>102</v>
      </c>
    </row>
    <row r="467" ht="15.75" customHeight="1">
      <c r="A467" s="6" t="s">
        <v>3154</v>
      </c>
      <c r="B467" s="3" t="s">
        <v>6826</v>
      </c>
      <c r="C467" s="7">
        <v>36852.0</v>
      </c>
      <c r="D467" s="3" t="s">
        <v>63</v>
      </c>
      <c r="E467" s="3">
        <v>25.0</v>
      </c>
      <c r="F467" s="3" t="s">
        <v>70</v>
      </c>
      <c r="G467" s="6" t="s">
        <v>6827</v>
      </c>
      <c r="H467" s="3" t="s">
        <v>6828</v>
      </c>
      <c r="I467" s="3" t="s">
        <v>6829</v>
      </c>
      <c r="J467" s="3" t="s">
        <v>79</v>
      </c>
      <c r="K467" s="3" t="s">
        <v>81</v>
      </c>
      <c r="L467" s="6" t="s">
        <v>5216</v>
      </c>
      <c r="M467" s="3" t="s">
        <v>63</v>
      </c>
      <c r="N467" s="6" t="s">
        <v>5217</v>
      </c>
      <c r="O467" s="3" t="s">
        <v>63</v>
      </c>
      <c r="P467" s="3" t="s">
        <v>90</v>
      </c>
      <c r="Q467" s="3"/>
      <c r="R467" s="3" t="s">
        <v>258</v>
      </c>
      <c r="S467" s="7">
        <v>38572.0</v>
      </c>
      <c r="T467" s="3" t="s">
        <v>63</v>
      </c>
      <c r="U467" s="6" t="s">
        <v>109</v>
      </c>
      <c r="V467" s="3" t="s">
        <v>4</v>
      </c>
      <c r="W467" s="3" t="s">
        <v>102</v>
      </c>
    </row>
    <row r="468" ht="15.75" customHeight="1">
      <c r="A468" s="6" t="s">
        <v>478</v>
      </c>
      <c r="B468" s="3" t="s">
        <v>6830</v>
      </c>
      <c r="C468" s="7">
        <v>20163.0</v>
      </c>
      <c r="D468" s="3" t="s">
        <v>63</v>
      </c>
      <c r="E468" s="3">
        <v>71.0</v>
      </c>
      <c r="F468" s="3" t="s">
        <v>183</v>
      </c>
      <c r="G468" s="6" t="s">
        <v>6831</v>
      </c>
      <c r="H468" s="3" t="s">
        <v>6832</v>
      </c>
      <c r="I468" s="3" t="s">
        <v>6833</v>
      </c>
      <c r="J468" s="3" t="s">
        <v>85</v>
      </c>
      <c r="K468" s="3" t="s">
        <v>67</v>
      </c>
      <c r="L468" s="6" t="s">
        <v>479</v>
      </c>
      <c r="M468" s="3" t="s">
        <v>63</v>
      </c>
      <c r="N468" s="6" t="s">
        <v>480</v>
      </c>
      <c r="O468" s="3" t="s">
        <v>63</v>
      </c>
      <c r="P468" s="3" t="s">
        <v>372</v>
      </c>
      <c r="Q468" s="8">
        <v>1201811.0</v>
      </c>
      <c r="R468" s="3" t="s">
        <v>93</v>
      </c>
      <c r="S468" s="7">
        <v>43664.0</v>
      </c>
      <c r="T468" s="3" t="s">
        <v>63</v>
      </c>
      <c r="U468" s="6" t="s">
        <v>197</v>
      </c>
      <c r="V468" s="3" t="s">
        <v>237</v>
      </c>
      <c r="W468" s="3" t="s">
        <v>102</v>
      </c>
    </row>
    <row r="469" ht="15.75" customHeight="1">
      <c r="A469" s="6" t="s">
        <v>4062</v>
      </c>
      <c r="B469" s="3" t="s">
        <v>6834</v>
      </c>
      <c r="C469" s="7">
        <v>20619.0</v>
      </c>
      <c r="D469" s="3" t="s">
        <v>63</v>
      </c>
      <c r="E469" s="3">
        <v>70.0</v>
      </c>
      <c r="F469" s="3" t="s">
        <v>183</v>
      </c>
      <c r="G469" s="6" t="s">
        <v>6835</v>
      </c>
      <c r="H469" s="3"/>
      <c r="I469" s="3" t="s">
        <v>1345</v>
      </c>
      <c r="J469" s="3" t="s">
        <v>227</v>
      </c>
      <c r="K469" s="3" t="s">
        <v>229</v>
      </c>
      <c r="L469" s="6" t="s">
        <v>6448</v>
      </c>
      <c r="M469" s="3" t="s">
        <v>63</v>
      </c>
      <c r="N469" s="6" t="s">
        <v>6450</v>
      </c>
      <c r="O469" s="3" t="s">
        <v>63</v>
      </c>
      <c r="P469" s="3" t="s">
        <v>127</v>
      </c>
      <c r="Q469" s="3"/>
      <c r="R469" s="3" t="s">
        <v>258</v>
      </c>
      <c r="S469" s="7">
        <v>39818.0</v>
      </c>
      <c r="T469" s="3" t="s">
        <v>63</v>
      </c>
      <c r="U469" s="6" t="s">
        <v>208</v>
      </c>
      <c r="V469" s="3" t="s">
        <v>4</v>
      </c>
      <c r="W469" s="3" t="s">
        <v>102</v>
      </c>
    </row>
    <row r="470" ht="15.75" customHeight="1">
      <c r="A470" s="6" t="s">
        <v>3580</v>
      </c>
      <c r="B470" s="3" t="s">
        <v>6836</v>
      </c>
      <c r="C470" s="7">
        <v>29915.0</v>
      </c>
      <c r="D470" s="3" t="s">
        <v>63</v>
      </c>
      <c r="E470" s="3">
        <v>44.0</v>
      </c>
      <c r="F470" s="3" t="s">
        <v>183</v>
      </c>
      <c r="G470" s="6" t="s">
        <v>6837</v>
      </c>
      <c r="H470" s="3" t="s">
        <v>6838</v>
      </c>
      <c r="I470" s="3" t="s">
        <v>6839</v>
      </c>
      <c r="J470" s="3" t="s">
        <v>119</v>
      </c>
      <c r="K470" s="3" t="s">
        <v>121</v>
      </c>
      <c r="L470" s="6" t="s">
        <v>4752</v>
      </c>
      <c r="M470" s="3" t="s">
        <v>63</v>
      </c>
      <c r="N470" s="6" t="s">
        <v>4753</v>
      </c>
      <c r="O470" s="3" t="s">
        <v>63</v>
      </c>
      <c r="P470" s="3" t="s">
        <v>90</v>
      </c>
      <c r="Q470" s="3"/>
      <c r="R470" s="3" t="s">
        <v>258</v>
      </c>
      <c r="S470" s="7">
        <v>45824.0</v>
      </c>
      <c r="T470" s="3" t="s">
        <v>63</v>
      </c>
      <c r="U470" s="6" t="s">
        <v>92</v>
      </c>
      <c r="V470" s="3" t="s">
        <v>4</v>
      </c>
      <c r="W470" s="3" t="s">
        <v>102</v>
      </c>
    </row>
    <row r="471" ht="15.75" customHeight="1">
      <c r="A471" s="6" t="s">
        <v>1606</v>
      </c>
      <c r="B471" s="3" t="s">
        <v>6840</v>
      </c>
      <c r="C471" s="7">
        <v>25553.0</v>
      </c>
      <c r="D471" s="3" t="s">
        <v>63</v>
      </c>
      <c r="E471" s="3">
        <v>56.0</v>
      </c>
      <c r="F471" s="3" t="s">
        <v>183</v>
      </c>
      <c r="G471" s="6" t="s">
        <v>6841</v>
      </c>
      <c r="H471" s="3" t="s">
        <v>6842</v>
      </c>
      <c r="I471" s="3" t="s">
        <v>2465</v>
      </c>
      <c r="J471" s="3" t="s">
        <v>250</v>
      </c>
      <c r="K471" s="3" t="s">
        <v>252</v>
      </c>
      <c r="L471" s="6" t="s">
        <v>5741</v>
      </c>
      <c r="M471" s="3" t="s">
        <v>63</v>
      </c>
      <c r="N471" s="6" t="s">
        <v>5742</v>
      </c>
      <c r="O471" s="3" t="s">
        <v>63</v>
      </c>
      <c r="P471" s="3" t="s">
        <v>464</v>
      </c>
      <c r="Q471" s="8">
        <v>562396.0</v>
      </c>
      <c r="R471" s="3" t="s">
        <v>93</v>
      </c>
      <c r="S471" s="7">
        <v>43221.0</v>
      </c>
      <c r="T471" s="3" t="s">
        <v>63</v>
      </c>
      <c r="U471" s="6" t="s">
        <v>245</v>
      </c>
      <c r="V471" s="3" t="s">
        <v>237</v>
      </c>
      <c r="W471" s="3" t="s">
        <v>102</v>
      </c>
    </row>
    <row r="472" ht="15.75" customHeight="1">
      <c r="A472" s="6" t="s">
        <v>1555</v>
      </c>
      <c r="B472" s="3" t="s">
        <v>6843</v>
      </c>
      <c r="C472" s="7">
        <v>22478.0</v>
      </c>
      <c r="D472" s="3" t="s">
        <v>63</v>
      </c>
      <c r="E472" s="3">
        <v>65.0</v>
      </c>
      <c r="F472" s="3" t="s">
        <v>183</v>
      </c>
      <c r="G472" s="6" t="s">
        <v>6844</v>
      </c>
      <c r="H472" s="3" t="s">
        <v>6845</v>
      </c>
      <c r="I472" s="3" t="s">
        <v>6846</v>
      </c>
      <c r="J472" s="3" t="s">
        <v>114</v>
      </c>
      <c r="K472" s="3" t="s">
        <v>118</v>
      </c>
      <c r="L472" s="6" t="s">
        <v>6847</v>
      </c>
      <c r="M472" s="3" t="s">
        <v>63</v>
      </c>
      <c r="N472" s="3"/>
      <c r="O472" s="3" t="s">
        <v>88</v>
      </c>
      <c r="P472" s="3" t="s">
        <v>396</v>
      </c>
      <c r="Q472" s="8">
        <v>1020212.0</v>
      </c>
      <c r="R472" s="3" t="s">
        <v>93</v>
      </c>
      <c r="S472" s="7">
        <v>42455.0</v>
      </c>
      <c r="T472" s="3" t="s">
        <v>63</v>
      </c>
      <c r="U472" s="6" t="s">
        <v>221</v>
      </c>
      <c r="V472" s="3" t="s">
        <v>4</v>
      </c>
      <c r="W472" s="3" t="s">
        <v>102</v>
      </c>
    </row>
    <row r="473" ht="15.75" customHeight="1">
      <c r="A473" s="6" t="s">
        <v>5464</v>
      </c>
      <c r="B473" s="3" t="s">
        <v>6848</v>
      </c>
      <c r="C473" s="7">
        <v>36901.0</v>
      </c>
      <c r="D473" s="3" t="s">
        <v>63</v>
      </c>
      <c r="E473" s="3">
        <v>25.0</v>
      </c>
      <c r="F473" s="3" t="s">
        <v>183</v>
      </c>
      <c r="G473" s="6" t="s">
        <v>6849</v>
      </c>
      <c r="H473" s="3" t="s">
        <v>6850</v>
      </c>
      <c r="I473" s="3" t="s">
        <v>6851</v>
      </c>
      <c r="J473" s="3" t="s">
        <v>201</v>
      </c>
      <c r="K473" s="3" t="s">
        <v>203</v>
      </c>
      <c r="L473" s="6" t="s">
        <v>5465</v>
      </c>
      <c r="M473" s="3" t="s">
        <v>63</v>
      </c>
      <c r="N473" s="6" t="s">
        <v>5467</v>
      </c>
      <c r="O473" s="3" t="s">
        <v>63</v>
      </c>
      <c r="P473" s="3" t="s">
        <v>396</v>
      </c>
      <c r="Q473" s="8">
        <v>1487245.0</v>
      </c>
      <c r="R473" s="3" t="s">
        <v>93</v>
      </c>
      <c r="S473" s="7">
        <v>45386.0</v>
      </c>
      <c r="T473" s="3" t="s">
        <v>63</v>
      </c>
      <c r="U473" s="6" t="s">
        <v>36</v>
      </c>
      <c r="V473" s="3" t="s">
        <v>4</v>
      </c>
      <c r="W473" s="3" t="s">
        <v>102</v>
      </c>
    </row>
    <row r="474" ht="15.75" customHeight="1">
      <c r="A474" s="6" t="s">
        <v>5531</v>
      </c>
      <c r="B474" s="3" t="s">
        <v>6852</v>
      </c>
      <c r="C474" s="7">
        <v>36048.0</v>
      </c>
      <c r="D474" s="3" t="s">
        <v>63</v>
      </c>
      <c r="E474" s="3">
        <v>27.0</v>
      </c>
      <c r="F474" s="3" t="s">
        <v>183</v>
      </c>
      <c r="G474" s="6" t="s">
        <v>6853</v>
      </c>
      <c r="H474" s="3" t="s">
        <v>6854</v>
      </c>
      <c r="I474" s="3" t="s">
        <v>6855</v>
      </c>
      <c r="J474" s="3" t="s">
        <v>190</v>
      </c>
      <c r="K474" s="3" t="s">
        <v>193</v>
      </c>
      <c r="L474" s="3"/>
      <c r="M474" s="3" t="s">
        <v>88</v>
      </c>
      <c r="N474" s="3"/>
      <c r="O474" s="3" t="s">
        <v>88</v>
      </c>
      <c r="P474" s="3" t="s">
        <v>127</v>
      </c>
      <c r="Q474" s="3"/>
      <c r="R474" s="3" t="s">
        <v>258</v>
      </c>
      <c r="S474" s="7">
        <v>45587.0</v>
      </c>
      <c r="T474" s="3" t="s">
        <v>63</v>
      </c>
      <c r="U474" s="6" t="s">
        <v>284</v>
      </c>
      <c r="V474" s="3" t="s">
        <v>4</v>
      </c>
      <c r="W474" s="3" t="s">
        <v>102</v>
      </c>
    </row>
    <row r="475" ht="15.75" customHeight="1">
      <c r="A475" s="6" t="s">
        <v>6856</v>
      </c>
      <c r="B475" s="3" t="s">
        <v>6857</v>
      </c>
      <c r="C475" s="7">
        <v>33633.0</v>
      </c>
      <c r="D475" s="3" t="s">
        <v>63</v>
      </c>
      <c r="E475" s="3">
        <v>34.0</v>
      </c>
      <c r="F475" s="3" t="s">
        <v>183</v>
      </c>
      <c r="G475" s="6" t="s">
        <v>6858</v>
      </c>
      <c r="H475" s="3" t="s">
        <v>6859</v>
      </c>
      <c r="I475" s="3" t="s">
        <v>6860</v>
      </c>
      <c r="J475" s="3" t="s">
        <v>282</v>
      </c>
      <c r="K475" s="3" t="s">
        <v>229</v>
      </c>
      <c r="L475" s="6" t="s">
        <v>6861</v>
      </c>
      <c r="M475" s="3" t="s">
        <v>63</v>
      </c>
      <c r="N475" s="6" t="s">
        <v>6862</v>
      </c>
      <c r="O475" s="3" t="s">
        <v>63</v>
      </c>
      <c r="P475" s="3" t="s">
        <v>372</v>
      </c>
      <c r="Q475" s="3"/>
      <c r="R475" s="3" t="s">
        <v>258</v>
      </c>
      <c r="S475" s="7">
        <v>39340.0</v>
      </c>
      <c r="T475" s="3" t="s">
        <v>63</v>
      </c>
      <c r="U475" s="6" t="s">
        <v>266</v>
      </c>
      <c r="V475" s="3" t="s">
        <v>4</v>
      </c>
      <c r="W475" s="3" t="s">
        <v>102</v>
      </c>
    </row>
    <row r="476" ht="15.75" customHeight="1">
      <c r="A476" s="6" t="s">
        <v>2018</v>
      </c>
      <c r="B476" s="3" t="s">
        <v>6863</v>
      </c>
      <c r="C476" s="7">
        <v>22387.0</v>
      </c>
      <c r="D476" s="3" t="s">
        <v>63</v>
      </c>
      <c r="E476" s="3">
        <v>65.0</v>
      </c>
      <c r="F476" s="3" t="s">
        <v>183</v>
      </c>
      <c r="G476" s="6" t="s">
        <v>6864</v>
      </c>
      <c r="H476" s="3" t="s">
        <v>6865</v>
      </c>
      <c r="I476" s="3" t="s">
        <v>6866</v>
      </c>
      <c r="J476" s="3" t="s">
        <v>98</v>
      </c>
      <c r="K476" s="3" t="s">
        <v>101</v>
      </c>
      <c r="L476" s="3"/>
      <c r="M476" s="3" t="s">
        <v>88</v>
      </c>
      <c r="N476" s="6" t="s">
        <v>5791</v>
      </c>
      <c r="O476" s="3" t="s">
        <v>63</v>
      </c>
      <c r="P476" s="3" t="s">
        <v>202</v>
      </c>
      <c r="Q476" s="8">
        <v>414210.0</v>
      </c>
      <c r="R476" s="3" t="s">
        <v>93</v>
      </c>
      <c r="S476" s="7">
        <v>42446.0</v>
      </c>
      <c r="T476" s="3" t="s">
        <v>63</v>
      </c>
      <c r="U476" s="6" t="s">
        <v>385</v>
      </c>
      <c r="V476" s="3" t="s">
        <v>4</v>
      </c>
      <c r="W476" s="3" t="s">
        <v>102</v>
      </c>
    </row>
    <row r="477" ht="15.75" customHeight="1">
      <c r="A477" s="6" t="s">
        <v>1588</v>
      </c>
      <c r="B477" s="3" t="s">
        <v>6655</v>
      </c>
      <c r="C477" s="7">
        <v>24755.0</v>
      </c>
      <c r="D477" s="3" t="s">
        <v>63</v>
      </c>
      <c r="E477" s="3">
        <v>58.0</v>
      </c>
      <c r="F477" s="3" t="s">
        <v>70</v>
      </c>
      <c r="G477" s="6" t="s">
        <v>6867</v>
      </c>
      <c r="H477" s="3"/>
      <c r="I477" s="3" t="s">
        <v>6868</v>
      </c>
      <c r="J477" s="3" t="s">
        <v>153</v>
      </c>
      <c r="K477" s="3" t="s">
        <v>67</v>
      </c>
      <c r="L477" s="6" t="s">
        <v>4440</v>
      </c>
      <c r="M477" s="3" t="s">
        <v>63</v>
      </c>
      <c r="N477" s="6" t="s">
        <v>4442</v>
      </c>
      <c r="O477" s="3" t="s">
        <v>63</v>
      </c>
      <c r="P477" s="3" t="s">
        <v>160</v>
      </c>
      <c r="Q477" s="8">
        <v>1191105.0</v>
      </c>
      <c r="R477" s="3" t="s">
        <v>93</v>
      </c>
      <c r="S477" s="7">
        <v>41599.0</v>
      </c>
      <c r="T477" s="3" t="s">
        <v>63</v>
      </c>
      <c r="U477" s="6" t="s">
        <v>60</v>
      </c>
      <c r="V477" s="3" t="s">
        <v>4</v>
      </c>
      <c r="W477" s="3" t="s">
        <v>102</v>
      </c>
    </row>
    <row r="478" ht="15.75" customHeight="1">
      <c r="A478" s="6" t="s">
        <v>4528</v>
      </c>
      <c r="B478" s="3" t="s">
        <v>5089</v>
      </c>
      <c r="C478" s="7">
        <v>27430.0</v>
      </c>
      <c r="D478" s="3" t="s">
        <v>63</v>
      </c>
      <c r="E478" s="3">
        <v>51.0</v>
      </c>
      <c r="F478" s="3" t="s">
        <v>183</v>
      </c>
      <c r="G478" s="6" t="s">
        <v>6869</v>
      </c>
      <c r="H478" s="3" t="s">
        <v>5092</v>
      </c>
      <c r="I478" s="3" t="s">
        <v>5093</v>
      </c>
      <c r="J478" s="3" t="s">
        <v>349</v>
      </c>
      <c r="K478" s="3" t="s">
        <v>45</v>
      </c>
      <c r="L478" s="3"/>
      <c r="M478" s="3" t="s">
        <v>88</v>
      </c>
      <c r="N478" s="6" t="s">
        <v>5096</v>
      </c>
      <c r="O478" s="3" t="s">
        <v>63</v>
      </c>
      <c r="P478" s="3" t="s">
        <v>202</v>
      </c>
      <c r="Q478" s="8">
        <v>2205644.0</v>
      </c>
      <c r="R478" s="3" t="s">
        <v>93</v>
      </c>
      <c r="S478" s="7">
        <v>40990.0</v>
      </c>
      <c r="T478" s="3" t="s">
        <v>63</v>
      </c>
      <c r="U478" s="6" t="s">
        <v>163</v>
      </c>
      <c r="V478" s="3" t="s">
        <v>237</v>
      </c>
      <c r="W478" s="3" t="s">
        <v>378</v>
      </c>
    </row>
    <row r="479" ht="15.75" customHeight="1">
      <c r="A479" s="6" t="s">
        <v>4422</v>
      </c>
      <c r="B479" s="3" t="s">
        <v>6870</v>
      </c>
      <c r="C479" s="7">
        <v>26775.0</v>
      </c>
      <c r="D479" s="3" t="s">
        <v>63</v>
      </c>
      <c r="E479" s="3">
        <v>53.0</v>
      </c>
      <c r="F479" s="3" t="s">
        <v>183</v>
      </c>
      <c r="G479" s="6" t="s">
        <v>6871</v>
      </c>
      <c r="H479" s="3" t="s">
        <v>6872</v>
      </c>
      <c r="I479" s="3" t="s">
        <v>6873</v>
      </c>
      <c r="J479" s="3" t="s">
        <v>250</v>
      </c>
      <c r="K479" s="3" t="s">
        <v>252</v>
      </c>
      <c r="L479" s="6" t="s">
        <v>5257</v>
      </c>
      <c r="M479" s="3" t="s">
        <v>63</v>
      </c>
      <c r="N479" s="6" t="s">
        <v>5258</v>
      </c>
      <c r="O479" s="3" t="s">
        <v>63</v>
      </c>
      <c r="P479" s="3" t="s">
        <v>324</v>
      </c>
      <c r="Q479" s="8">
        <v>1952056.0</v>
      </c>
      <c r="R479" s="3" t="s">
        <v>93</v>
      </c>
      <c r="S479" s="7">
        <v>40106.0</v>
      </c>
      <c r="T479" s="3" t="s">
        <v>63</v>
      </c>
      <c r="U479" s="6" t="s">
        <v>129</v>
      </c>
      <c r="V479" s="3" t="s">
        <v>4</v>
      </c>
      <c r="W479" s="3" t="s">
        <v>102</v>
      </c>
    </row>
    <row r="480" ht="15.75" customHeight="1">
      <c r="A480" s="6" t="s">
        <v>5769</v>
      </c>
      <c r="B480" s="3" t="s">
        <v>6874</v>
      </c>
      <c r="C480" s="7">
        <v>30215.0</v>
      </c>
      <c r="D480" s="3" t="s">
        <v>63</v>
      </c>
      <c r="E480" s="3">
        <v>43.0</v>
      </c>
      <c r="F480" s="3" t="s">
        <v>70</v>
      </c>
      <c r="G480" s="6" t="s">
        <v>6875</v>
      </c>
      <c r="H480" s="3" t="s">
        <v>6876</v>
      </c>
      <c r="I480" s="3" t="s">
        <v>6877</v>
      </c>
      <c r="J480" s="3" t="s">
        <v>98</v>
      </c>
      <c r="K480" s="3" t="s">
        <v>101</v>
      </c>
      <c r="L480" s="6" t="s">
        <v>5770</v>
      </c>
      <c r="M480" s="3" t="s">
        <v>63</v>
      </c>
      <c r="N480" s="6" t="s">
        <v>5772</v>
      </c>
      <c r="O480" s="3" t="s">
        <v>63</v>
      </c>
      <c r="P480" s="3" t="s">
        <v>464</v>
      </c>
      <c r="Q480" s="8">
        <v>1179940.0</v>
      </c>
      <c r="R480" s="3" t="s">
        <v>93</v>
      </c>
      <c r="S480" s="7">
        <v>39372.0</v>
      </c>
      <c r="T480" s="3" t="s">
        <v>63</v>
      </c>
      <c r="U480" s="6" t="s">
        <v>221</v>
      </c>
      <c r="V480" s="3" t="s">
        <v>4</v>
      </c>
      <c r="W480" s="3" t="s">
        <v>102</v>
      </c>
    </row>
    <row r="481" ht="15.75" customHeight="1">
      <c r="A481" s="6" t="s">
        <v>2356</v>
      </c>
      <c r="B481" s="3" t="s">
        <v>6878</v>
      </c>
      <c r="C481" s="7">
        <v>31794.0</v>
      </c>
      <c r="D481" s="3" t="s">
        <v>63</v>
      </c>
      <c r="E481" s="3">
        <v>39.0</v>
      </c>
      <c r="F481" s="3" t="s">
        <v>70</v>
      </c>
      <c r="G481" s="6" t="s">
        <v>6879</v>
      </c>
      <c r="H481" s="3" t="s">
        <v>6880</v>
      </c>
      <c r="I481" s="3" t="s">
        <v>6881</v>
      </c>
      <c r="J481" s="3" t="s">
        <v>151</v>
      </c>
      <c r="K481" s="3" t="s">
        <v>121</v>
      </c>
      <c r="L481" s="6" t="s">
        <v>2358</v>
      </c>
      <c r="M481" s="3" t="s">
        <v>63</v>
      </c>
      <c r="N481" s="6" t="s">
        <v>2361</v>
      </c>
      <c r="O481" s="3" t="s">
        <v>63</v>
      </c>
      <c r="P481" s="3" t="s">
        <v>464</v>
      </c>
      <c r="Q481" s="3"/>
      <c r="R481" s="3" t="s">
        <v>258</v>
      </c>
      <c r="S481" s="7">
        <v>39054.0</v>
      </c>
      <c r="T481" s="3" t="s">
        <v>63</v>
      </c>
      <c r="U481" s="6" t="s">
        <v>197</v>
      </c>
      <c r="V481" s="3" t="s">
        <v>4</v>
      </c>
      <c r="W481" s="3" t="s">
        <v>102</v>
      </c>
    </row>
    <row r="482" ht="15.75" customHeight="1">
      <c r="A482" s="6" t="s">
        <v>1741</v>
      </c>
      <c r="B482" s="3" t="s">
        <v>6882</v>
      </c>
      <c r="C482" s="7">
        <v>27247.0</v>
      </c>
      <c r="D482" s="3" t="s">
        <v>63</v>
      </c>
      <c r="E482" s="3">
        <v>52.0</v>
      </c>
      <c r="F482" s="3" t="s">
        <v>70</v>
      </c>
      <c r="G482" s="6" t="s">
        <v>6883</v>
      </c>
      <c r="H482" s="3" t="s">
        <v>6884</v>
      </c>
      <c r="I482" s="3" t="s">
        <v>6885</v>
      </c>
      <c r="J482" s="3" t="s">
        <v>65</v>
      </c>
      <c r="K482" s="3" t="s">
        <v>67</v>
      </c>
      <c r="L482" s="6" t="s">
        <v>2461</v>
      </c>
      <c r="M482" s="3" t="s">
        <v>63</v>
      </c>
      <c r="N482" s="6" t="s">
        <v>2464</v>
      </c>
      <c r="O482" s="3" t="s">
        <v>63</v>
      </c>
      <c r="P482" s="3" t="s">
        <v>202</v>
      </c>
      <c r="Q482" s="3"/>
      <c r="R482" s="3" t="s">
        <v>258</v>
      </c>
      <c r="S482" s="7">
        <v>41108.0</v>
      </c>
      <c r="T482" s="3" t="s">
        <v>63</v>
      </c>
      <c r="U482" s="6" t="s">
        <v>352</v>
      </c>
      <c r="V482" s="3" t="s">
        <v>4</v>
      </c>
      <c r="W482" s="3" t="s">
        <v>102</v>
      </c>
    </row>
    <row r="483" ht="15.75" customHeight="1">
      <c r="A483" s="6" t="s">
        <v>1780</v>
      </c>
      <c r="B483" s="3" t="s">
        <v>6886</v>
      </c>
      <c r="C483" s="7">
        <v>31699.0</v>
      </c>
      <c r="D483" s="3" t="s">
        <v>63</v>
      </c>
      <c r="E483" s="3">
        <v>39.0</v>
      </c>
      <c r="F483" s="3" t="s">
        <v>183</v>
      </c>
      <c r="G483" s="6" t="s">
        <v>6887</v>
      </c>
      <c r="H483" s="3" t="s">
        <v>6888</v>
      </c>
      <c r="I483" s="3" t="s">
        <v>6889</v>
      </c>
      <c r="J483" s="3" t="s">
        <v>98</v>
      </c>
      <c r="K483" s="3" t="s">
        <v>101</v>
      </c>
      <c r="L483" s="6" t="s">
        <v>6570</v>
      </c>
      <c r="M483" s="3" t="s">
        <v>63</v>
      </c>
      <c r="N483" s="6" t="s">
        <v>6571</v>
      </c>
      <c r="O483" s="3" t="s">
        <v>63</v>
      </c>
      <c r="P483" s="3" t="s">
        <v>160</v>
      </c>
      <c r="Q483" s="3"/>
      <c r="R483" s="3" t="s">
        <v>258</v>
      </c>
      <c r="S483" s="7">
        <v>40330.0</v>
      </c>
      <c r="T483" s="3" t="s">
        <v>63</v>
      </c>
      <c r="U483" s="6" t="s">
        <v>129</v>
      </c>
      <c r="V483" s="3" t="s">
        <v>237</v>
      </c>
      <c r="W483" s="3" t="s">
        <v>102</v>
      </c>
    </row>
    <row r="484" ht="15.75" customHeight="1">
      <c r="A484" s="6" t="s">
        <v>5265</v>
      </c>
      <c r="B484" s="3" t="s">
        <v>6890</v>
      </c>
      <c r="C484" s="7">
        <v>35088.0</v>
      </c>
      <c r="D484" s="3" t="s">
        <v>63</v>
      </c>
      <c r="E484" s="3">
        <v>30.0</v>
      </c>
      <c r="F484" s="3" t="s">
        <v>70</v>
      </c>
      <c r="G484" s="6" t="s">
        <v>6891</v>
      </c>
      <c r="H484" s="3" t="s">
        <v>6892</v>
      </c>
      <c r="I484" s="3" t="s">
        <v>6893</v>
      </c>
      <c r="J484" s="3" t="s">
        <v>184</v>
      </c>
      <c r="K484" s="3" t="s">
        <v>187</v>
      </c>
      <c r="L484" s="6" t="s">
        <v>5266</v>
      </c>
      <c r="M484" s="3" t="s">
        <v>63</v>
      </c>
      <c r="N484" s="3"/>
      <c r="O484" s="3" t="s">
        <v>88</v>
      </c>
      <c r="P484" s="3" t="s">
        <v>372</v>
      </c>
      <c r="Q484" s="8">
        <v>2284736.0</v>
      </c>
      <c r="R484" s="3" t="s">
        <v>93</v>
      </c>
      <c r="S484" s="7">
        <v>41410.0</v>
      </c>
      <c r="T484" s="3" t="s">
        <v>63</v>
      </c>
      <c r="U484" s="6" t="s">
        <v>352</v>
      </c>
      <c r="V484" s="3" t="s">
        <v>4</v>
      </c>
      <c r="W484" s="3" t="s">
        <v>102</v>
      </c>
    </row>
    <row r="485" ht="15.75" customHeight="1">
      <c r="A485" s="6" t="s">
        <v>1028</v>
      </c>
      <c r="B485" s="3" t="s">
        <v>6894</v>
      </c>
      <c r="C485" s="7">
        <v>28979.0</v>
      </c>
      <c r="D485" s="3" t="s">
        <v>63</v>
      </c>
      <c r="E485" s="3">
        <v>47.0</v>
      </c>
      <c r="F485" s="3" t="s">
        <v>70</v>
      </c>
      <c r="G485" s="6" t="s">
        <v>6895</v>
      </c>
      <c r="H485" s="3" t="s">
        <v>6896</v>
      </c>
      <c r="I485" s="3" t="s">
        <v>6897</v>
      </c>
      <c r="J485" s="3" t="s">
        <v>151</v>
      </c>
      <c r="K485" s="3" t="s">
        <v>121</v>
      </c>
      <c r="L485" s="6" t="s">
        <v>5075</v>
      </c>
      <c r="M485" s="3" t="s">
        <v>63</v>
      </c>
      <c r="N485" s="6" t="s">
        <v>5077</v>
      </c>
      <c r="O485" s="3" t="s">
        <v>63</v>
      </c>
      <c r="P485" s="3" t="s">
        <v>90</v>
      </c>
      <c r="Q485" s="3"/>
      <c r="R485" s="3" t="s">
        <v>258</v>
      </c>
      <c r="S485" s="7">
        <v>40529.0</v>
      </c>
      <c r="T485" s="3" t="s">
        <v>63</v>
      </c>
      <c r="U485" s="6" t="s">
        <v>277</v>
      </c>
      <c r="V485" s="3" t="s">
        <v>237</v>
      </c>
      <c r="W485" s="3" t="s">
        <v>102</v>
      </c>
    </row>
    <row r="486" ht="15.75" customHeight="1">
      <c r="A486" s="6" t="s">
        <v>2859</v>
      </c>
      <c r="B486" s="3" t="s">
        <v>6898</v>
      </c>
      <c r="C486" s="7">
        <v>23283.0</v>
      </c>
      <c r="D486" s="3" t="s">
        <v>63</v>
      </c>
      <c r="E486" s="3">
        <v>62.0</v>
      </c>
      <c r="F486" s="3" t="s">
        <v>70</v>
      </c>
      <c r="G486" s="6" t="s">
        <v>6899</v>
      </c>
      <c r="H486" s="3" t="s">
        <v>6900</v>
      </c>
      <c r="I486" s="3" t="s">
        <v>6901</v>
      </c>
      <c r="J486" s="3" t="s">
        <v>43</v>
      </c>
      <c r="K486" s="3" t="s">
        <v>45</v>
      </c>
      <c r="L486" s="6" t="s">
        <v>3446</v>
      </c>
      <c r="M486" s="3" t="s">
        <v>63</v>
      </c>
      <c r="N486" s="6" t="s">
        <v>3447</v>
      </c>
      <c r="O486" s="3" t="s">
        <v>63</v>
      </c>
      <c r="P486" s="3" t="s">
        <v>300</v>
      </c>
      <c r="Q486" s="8">
        <v>881110.0</v>
      </c>
      <c r="R486" s="3" t="s">
        <v>93</v>
      </c>
      <c r="S486" s="7">
        <v>39859.0</v>
      </c>
      <c r="T486" s="3" t="s">
        <v>63</v>
      </c>
      <c r="U486" s="6" t="s">
        <v>401</v>
      </c>
      <c r="V486" s="3" t="s">
        <v>4</v>
      </c>
      <c r="W486" s="3" t="s">
        <v>102</v>
      </c>
    </row>
    <row r="487" ht="15.75" customHeight="1">
      <c r="A487" s="6" t="s">
        <v>6513</v>
      </c>
      <c r="B487" s="3" t="s">
        <v>6902</v>
      </c>
      <c r="C487" s="7">
        <v>28294.0</v>
      </c>
      <c r="D487" s="3" t="s">
        <v>63</v>
      </c>
      <c r="E487" s="3">
        <v>49.0</v>
      </c>
      <c r="F487" s="3" t="s">
        <v>183</v>
      </c>
      <c r="G487" s="6" t="s">
        <v>6903</v>
      </c>
      <c r="H487" s="3" t="s">
        <v>6904</v>
      </c>
      <c r="I487" s="3" t="s">
        <v>6905</v>
      </c>
      <c r="J487" s="3" t="s">
        <v>379</v>
      </c>
      <c r="K487" s="3" t="s">
        <v>229</v>
      </c>
      <c r="L487" s="6" t="s">
        <v>6906</v>
      </c>
      <c r="M487" s="3" t="s">
        <v>63</v>
      </c>
      <c r="N487" s="6" t="s">
        <v>6907</v>
      </c>
      <c r="O487" s="3" t="s">
        <v>63</v>
      </c>
      <c r="P487" s="3" t="s">
        <v>160</v>
      </c>
      <c r="Q487" s="3"/>
      <c r="R487" s="3" t="s">
        <v>258</v>
      </c>
      <c r="S487" s="7">
        <v>42850.0</v>
      </c>
      <c r="T487" s="3" t="s">
        <v>63</v>
      </c>
      <c r="U487" s="6" t="s">
        <v>333</v>
      </c>
      <c r="V487" s="3" t="s">
        <v>4</v>
      </c>
      <c r="W487" s="3" t="s">
        <v>102</v>
      </c>
    </row>
    <row r="488" ht="15.75" customHeight="1">
      <c r="A488" s="6" t="s">
        <v>1808</v>
      </c>
      <c r="B488" s="3" t="s">
        <v>6908</v>
      </c>
      <c r="C488" s="7">
        <v>27553.0</v>
      </c>
      <c r="D488" s="3" t="s">
        <v>63</v>
      </c>
      <c r="E488" s="3">
        <v>51.0</v>
      </c>
      <c r="F488" s="3" t="s">
        <v>70</v>
      </c>
      <c r="G488" s="6" t="s">
        <v>6909</v>
      </c>
      <c r="H488" s="3" t="s">
        <v>6910</v>
      </c>
      <c r="I488" s="3" t="s">
        <v>6911</v>
      </c>
      <c r="J488" s="3" t="s">
        <v>213</v>
      </c>
      <c r="K488" s="3" t="s">
        <v>67</v>
      </c>
      <c r="L488" s="6" t="s">
        <v>1809</v>
      </c>
      <c r="M488" s="3" t="s">
        <v>63</v>
      </c>
      <c r="N488" s="6" t="s">
        <v>1811</v>
      </c>
      <c r="O488" s="3" t="s">
        <v>63</v>
      </c>
      <c r="P488" s="3" t="s">
        <v>396</v>
      </c>
      <c r="Q488" s="3"/>
      <c r="R488" s="3" t="s">
        <v>258</v>
      </c>
      <c r="S488" s="7">
        <v>41092.0</v>
      </c>
      <c r="T488" s="3" t="s">
        <v>63</v>
      </c>
      <c r="U488" s="6" t="s">
        <v>221</v>
      </c>
      <c r="V488" s="3" t="s">
        <v>4</v>
      </c>
      <c r="W488" s="3" t="s">
        <v>102</v>
      </c>
    </row>
    <row r="489" ht="15.75" customHeight="1">
      <c r="A489" s="6" t="s">
        <v>1708</v>
      </c>
      <c r="B489" s="3" t="s">
        <v>6912</v>
      </c>
      <c r="C489" s="7">
        <v>36137.0</v>
      </c>
      <c r="D489" s="3" t="s">
        <v>63</v>
      </c>
      <c r="E489" s="3">
        <v>27.0</v>
      </c>
      <c r="F489" s="3" t="s">
        <v>70</v>
      </c>
      <c r="G489" s="6" t="s">
        <v>6913</v>
      </c>
      <c r="H489" s="3" t="s">
        <v>6914</v>
      </c>
      <c r="I489" s="3" t="s">
        <v>6915</v>
      </c>
      <c r="J489" s="3" t="s">
        <v>305</v>
      </c>
      <c r="K489" s="3" t="s">
        <v>193</v>
      </c>
      <c r="L489" s="6" t="s">
        <v>5050</v>
      </c>
      <c r="M489" s="3" t="s">
        <v>63</v>
      </c>
      <c r="N489" s="6" t="s">
        <v>5051</v>
      </c>
      <c r="O489" s="3" t="s">
        <v>63</v>
      </c>
      <c r="P489" s="3" t="s">
        <v>372</v>
      </c>
      <c r="Q489" s="3"/>
      <c r="R489" s="3" t="s">
        <v>258</v>
      </c>
      <c r="S489" s="7">
        <v>41318.0</v>
      </c>
      <c r="T489" s="3" t="s">
        <v>63</v>
      </c>
      <c r="U489" s="6" t="s">
        <v>221</v>
      </c>
      <c r="V489" s="3" t="s">
        <v>4</v>
      </c>
      <c r="W489" s="3" t="s">
        <v>102</v>
      </c>
    </row>
    <row r="490" ht="15.75" customHeight="1">
      <c r="A490" s="6" t="s">
        <v>361</v>
      </c>
      <c r="B490" s="3" t="s">
        <v>6916</v>
      </c>
      <c r="C490" s="7">
        <v>21649.0</v>
      </c>
      <c r="D490" s="3" t="s">
        <v>63</v>
      </c>
      <c r="E490" s="3">
        <v>67.0</v>
      </c>
      <c r="F490" s="3" t="s">
        <v>70</v>
      </c>
      <c r="G490" s="6" t="s">
        <v>6917</v>
      </c>
      <c r="H490" s="3" t="s">
        <v>6918</v>
      </c>
      <c r="I490" s="3" t="s">
        <v>6919</v>
      </c>
      <c r="J490" s="3" t="s">
        <v>65</v>
      </c>
      <c r="K490" s="3" t="s">
        <v>67</v>
      </c>
      <c r="L490" s="6" t="s">
        <v>364</v>
      </c>
      <c r="M490" s="3" t="s">
        <v>63</v>
      </c>
      <c r="N490" s="6" t="s">
        <v>367</v>
      </c>
      <c r="O490" s="3" t="s">
        <v>63</v>
      </c>
      <c r="P490" s="3" t="s">
        <v>372</v>
      </c>
      <c r="Q490" s="3"/>
      <c r="R490" s="3" t="s">
        <v>258</v>
      </c>
      <c r="S490" s="7">
        <v>43542.0</v>
      </c>
      <c r="T490" s="3" t="s">
        <v>63</v>
      </c>
      <c r="U490" s="6" t="s">
        <v>385</v>
      </c>
      <c r="V490" s="3" t="s">
        <v>4</v>
      </c>
      <c r="W490" s="3" t="s">
        <v>102</v>
      </c>
    </row>
    <row r="491" ht="15.75" customHeight="1">
      <c r="A491" s="6" t="s">
        <v>3246</v>
      </c>
      <c r="B491" s="3" t="s">
        <v>6920</v>
      </c>
      <c r="C491" s="7">
        <v>38568.0</v>
      </c>
      <c r="D491" s="3" t="s">
        <v>63</v>
      </c>
      <c r="E491" s="3">
        <v>21.0</v>
      </c>
      <c r="F491" s="3" t="s">
        <v>70</v>
      </c>
      <c r="G491" s="6" t="s">
        <v>6921</v>
      </c>
      <c r="H491" s="3" t="s">
        <v>6922</v>
      </c>
      <c r="I491" s="3" t="s">
        <v>6923</v>
      </c>
      <c r="J491" s="3" t="s">
        <v>114</v>
      </c>
      <c r="K491" s="3" t="s">
        <v>118</v>
      </c>
      <c r="L491" s="6" t="s">
        <v>5419</v>
      </c>
      <c r="M491" s="3" t="s">
        <v>63</v>
      </c>
      <c r="N491" s="6" t="s">
        <v>5420</v>
      </c>
      <c r="O491" s="3" t="s">
        <v>63</v>
      </c>
      <c r="P491" s="3" t="s">
        <v>127</v>
      </c>
      <c r="Q491" s="8">
        <v>1332097.0</v>
      </c>
      <c r="R491" s="3" t="s">
        <v>93</v>
      </c>
      <c r="S491" s="7">
        <v>43310.0</v>
      </c>
      <c r="T491" s="3" t="s">
        <v>63</v>
      </c>
      <c r="U491" s="6" t="s">
        <v>323</v>
      </c>
      <c r="V491" s="3" t="s">
        <v>4</v>
      </c>
      <c r="W491" s="3" t="s">
        <v>102</v>
      </c>
    </row>
    <row r="492" ht="15.75" customHeight="1">
      <c r="A492" s="6" t="s">
        <v>304</v>
      </c>
      <c r="B492" s="3" t="s">
        <v>6924</v>
      </c>
      <c r="C492" s="7">
        <v>27181.0</v>
      </c>
      <c r="D492" s="3" t="s">
        <v>63</v>
      </c>
      <c r="E492" s="3">
        <v>52.0</v>
      </c>
      <c r="F492" s="3" t="s">
        <v>70</v>
      </c>
      <c r="G492" s="6" t="s">
        <v>6925</v>
      </c>
      <c r="H492" s="3" t="s">
        <v>6926</v>
      </c>
      <c r="I492" s="3" t="s">
        <v>6927</v>
      </c>
      <c r="J492" s="3" t="s">
        <v>85</v>
      </c>
      <c r="K492" s="3" t="s">
        <v>67</v>
      </c>
      <c r="L492" s="6" t="s">
        <v>306</v>
      </c>
      <c r="M492" s="3" t="s">
        <v>63</v>
      </c>
      <c r="N492" s="6" t="s">
        <v>307</v>
      </c>
      <c r="O492" s="3" t="s">
        <v>63</v>
      </c>
      <c r="P492" s="3" t="s">
        <v>464</v>
      </c>
      <c r="Q492" s="3"/>
      <c r="R492" s="3" t="s">
        <v>258</v>
      </c>
      <c r="S492" s="7">
        <v>44290.0</v>
      </c>
      <c r="T492" s="3" t="s">
        <v>63</v>
      </c>
      <c r="U492" s="6" t="s">
        <v>171</v>
      </c>
      <c r="V492" s="3" t="s">
        <v>237</v>
      </c>
      <c r="W492" s="3" t="s">
        <v>102</v>
      </c>
    </row>
    <row r="493" ht="15.75" customHeight="1">
      <c r="A493" s="6" t="s">
        <v>3303</v>
      </c>
      <c r="B493" s="3" t="s">
        <v>1537</v>
      </c>
      <c r="C493" s="7">
        <v>34826.0</v>
      </c>
      <c r="D493" s="3" t="s">
        <v>63</v>
      </c>
      <c r="E493" s="3">
        <v>31.0</v>
      </c>
      <c r="F493" s="3" t="s">
        <v>70</v>
      </c>
      <c r="G493" s="6" t="s">
        <v>6928</v>
      </c>
      <c r="H493" s="3" t="s">
        <v>6929</v>
      </c>
      <c r="I493" s="3" t="s">
        <v>6930</v>
      </c>
      <c r="J493" s="3" t="s">
        <v>358</v>
      </c>
      <c r="K493" s="3" t="s">
        <v>360</v>
      </c>
      <c r="L493" s="6" t="s">
        <v>3304</v>
      </c>
      <c r="M493" s="3" t="s">
        <v>63</v>
      </c>
      <c r="N493" s="3"/>
      <c r="O493" s="3" t="s">
        <v>88</v>
      </c>
      <c r="P493" s="3" t="s">
        <v>300</v>
      </c>
      <c r="Q493" s="8">
        <v>1786042.0</v>
      </c>
      <c r="R493" s="3" t="s">
        <v>93</v>
      </c>
      <c r="S493" s="7">
        <v>40399.0</v>
      </c>
      <c r="T493" s="3" t="s">
        <v>63</v>
      </c>
      <c r="U493" s="6" t="s">
        <v>311</v>
      </c>
      <c r="V493" s="3" t="s">
        <v>4</v>
      </c>
      <c r="W493" s="3" t="s">
        <v>102</v>
      </c>
    </row>
    <row r="494" ht="15.75" customHeight="1">
      <c r="A494" s="6" t="s">
        <v>1302</v>
      </c>
      <c r="B494" s="3" t="s">
        <v>6931</v>
      </c>
      <c r="C494" s="7">
        <v>23335.0</v>
      </c>
      <c r="D494" s="3" t="s">
        <v>63</v>
      </c>
      <c r="E494" s="3">
        <v>62.0</v>
      </c>
      <c r="F494" s="3" t="s">
        <v>70</v>
      </c>
      <c r="G494" s="6" t="s">
        <v>6932</v>
      </c>
      <c r="H494" s="3" t="s">
        <v>6933</v>
      </c>
      <c r="I494" s="3" t="s">
        <v>6934</v>
      </c>
      <c r="J494" s="3" t="s">
        <v>167</v>
      </c>
      <c r="K494" s="3" t="s">
        <v>169</v>
      </c>
      <c r="L494" s="6" t="s">
        <v>1303</v>
      </c>
      <c r="M494" s="3" t="s">
        <v>63</v>
      </c>
      <c r="N494" s="6" t="s">
        <v>1305</v>
      </c>
      <c r="O494" s="3" t="s">
        <v>63</v>
      </c>
      <c r="P494" s="3" t="s">
        <v>396</v>
      </c>
      <c r="Q494" s="3"/>
      <c r="R494" s="3" t="s">
        <v>258</v>
      </c>
      <c r="S494" s="7">
        <v>39963.0</v>
      </c>
      <c r="T494" s="3" t="s">
        <v>63</v>
      </c>
      <c r="U494" s="6" t="s">
        <v>80</v>
      </c>
      <c r="V494" s="3" t="s">
        <v>4</v>
      </c>
      <c r="W494" s="3" t="s">
        <v>102</v>
      </c>
    </row>
    <row r="495" ht="15.75" customHeight="1">
      <c r="A495" s="6" t="s">
        <v>2293</v>
      </c>
      <c r="B495" s="3" t="s">
        <v>6935</v>
      </c>
      <c r="C495" s="7">
        <v>24498.0</v>
      </c>
      <c r="D495" s="3" t="s">
        <v>63</v>
      </c>
      <c r="E495" s="3">
        <v>59.0</v>
      </c>
      <c r="F495" s="3" t="s">
        <v>183</v>
      </c>
      <c r="G495" s="6" t="s">
        <v>6936</v>
      </c>
      <c r="H495" s="3" t="s">
        <v>6937</v>
      </c>
      <c r="I495" s="3" t="s">
        <v>6938</v>
      </c>
      <c r="J495" s="3" t="s">
        <v>213</v>
      </c>
      <c r="K495" s="3" t="s">
        <v>67</v>
      </c>
      <c r="L495" s="6" t="s">
        <v>4893</v>
      </c>
      <c r="M495" s="3" t="s">
        <v>63</v>
      </c>
      <c r="N495" s="6" t="s">
        <v>4894</v>
      </c>
      <c r="O495" s="3" t="s">
        <v>63</v>
      </c>
      <c r="P495" s="3" t="s">
        <v>90</v>
      </c>
      <c r="Q495" s="8">
        <v>2456840.0</v>
      </c>
      <c r="R495" s="3" t="s">
        <v>93</v>
      </c>
      <c r="S495" s="7">
        <v>44636.0</v>
      </c>
      <c r="T495" s="3" t="s">
        <v>63</v>
      </c>
      <c r="U495" s="6" t="s">
        <v>92</v>
      </c>
      <c r="V495" s="3" t="s">
        <v>4</v>
      </c>
      <c r="W495" s="3" t="s">
        <v>102</v>
      </c>
    </row>
    <row r="496" ht="15.75" customHeight="1">
      <c r="A496" s="6" t="s">
        <v>5233</v>
      </c>
      <c r="B496" s="3" t="s">
        <v>6939</v>
      </c>
      <c r="C496" s="7">
        <v>35785.0</v>
      </c>
      <c r="D496" s="3" t="s">
        <v>63</v>
      </c>
      <c r="E496" s="3">
        <v>28.0</v>
      </c>
      <c r="F496" s="3" t="s">
        <v>183</v>
      </c>
      <c r="G496" s="6" t="s">
        <v>6940</v>
      </c>
      <c r="H496" s="3" t="s">
        <v>6941</v>
      </c>
      <c r="I496" s="3" t="s">
        <v>6942</v>
      </c>
      <c r="J496" s="3" t="s">
        <v>167</v>
      </c>
      <c r="K496" s="3" t="s">
        <v>169</v>
      </c>
      <c r="L496" s="6" t="s">
        <v>5235</v>
      </c>
      <c r="M496" s="3" t="s">
        <v>63</v>
      </c>
      <c r="N496" s="6" t="s">
        <v>5237</v>
      </c>
      <c r="O496" s="3" t="s">
        <v>63</v>
      </c>
      <c r="P496" s="3" t="s">
        <v>396</v>
      </c>
      <c r="Q496" s="8">
        <v>2145621.0</v>
      </c>
      <c r="R496" s="3" t="s">
        <v>93</v>
      </c>
      <c r="S496" s="7">
        <v>41717.0</v>
      </c>
      <c r="T496" s="3" t="s">
        <v>63</v>
      </c>
      <c r="U496" s="6" t="s">
        <v>129</v>
      </c>
      <c r="V496" s="3" t="s">
        <v>4</v>
      </c>
      <c r="W496" s="3" t="s">
        <v>102</v>
      </c>
    </row>
    <row r="497" ht="15.75" customHeight="1">
      <c r="A497" s="6" t="s">
        <v>5166</v>
      </c>
      <c r="B497" s="3" t="s">
        <v>263</v>
      </c>
      <c r="C497" s="7">
        <v>31622.0</v>
      </c>
      <c r="D497" s="3" t="s">
        <v>63</v>
      </c>
      <c r="E497" s="3">
        <v>40.0</v>
      </c>
      <c r="F497" s="3" t="s">
        <v>183</v>
      </c>
      <c r="G497" s="6" t="s">
        <v>6943</v>
      </c>
      <c r="H497" s="3" t="s">
        <v>6944</v>
      </c>
      <c r="I497" s="3" t="s">
        <v>6945</v>
      </c>
      <c r="J497" s="3" t="s">
        <v>151</v>
      </c>
      <c r="K497" s="3" t="s">
        <v>121</v>
      </c>
      <c r="L497" s="6" t="s">
        <v>6946</v>
      </c>
      <c r="M497" s="3" t="s">
        <v>63</v>
      </c>
      <c r="N497" s="6" t="s">
        <v>6947</v>
      </c>
      <c r="O497" s="3" t="s">
        <v>63</v>
      </c>
      <c r="P497" s="3" t="s">
        <v>464</v>
      </c>
      <c r="Q497" s="3"/>
      <c r="R497" s="3" t="s">
        <v>258</v>
      </c>
      <c r="S497" s="7">
        <v>40934.0</v>
      </c>
      <c r="T497" s="3" t="s">
        <v>63</v>
      </c>
      <c r="U497" s="6" t="s">
        <v>129</v>
      </c>
      <c r="V497" s="3" t="s">
        <v>4</v>
      </c>
      <c r="W497" s="3" t="s">
        <v>102</v>
      </c>
    </row>
    <row r="498" ht="15.75" customHeight="1">
      <c r="A498" s="6" t="s">
        <v>783</v>
      </c>
      <c r="B498" s="3" t="s">
        <v>6948</v>
      </c>
      <c r="C498" s="7">
        <v>27108.0</v>
      </c>
      <c r="D498" s="3" t="s">
        <v>63</v>
      </c>
      <c r="E498" s="3">
        <v>52.0</v>
      </c>
      <c r="F498" s="3" t="s">
        <v>183</v>
      </c>
      <c r="G498" s="6" t="s">
        <v>6949</v>
      </c>
      <c r="H498" s="3" t="s">
        <v>6950</v>
      </c>
      <c r="I498" s="3" t="s">
        <v>6951</v>
      </c>
      <c r="J498" s="3" t="s">
        <v>282</v>
      </c>
      <c r="K498" s="3" t="s">
        <v>229</v>
      </c>
      <c r="L498" s="6" t="s">
        <v>5885</v>
      </c>
      <c r="M498" s="3" t="s">
        <v>63</v>
      </c>
      <c r="N498" s="6" t="s">
        <v>5887</v>
      </c>
      <c r="O498" s="3" t="s">
        <v>63</v>
      </c>
      <c r="P498" s="3" t="s">
        <v>127</v>
      </c>
      <c r="Q498" s="8">
        <v>2445952.0</v>
      </c>
      <c r="R498" s="3" t="s">
        <v>93</v>
      </c>
      <c r="S498" s="7">
        <v>42402.0</v>
      </c>
      <c r="T498" s="3" t="s">
        <v>63</v>
      </c>
      <c r="U498" s="6" t="s">
        <v>352</v>
      </c>
      <c r="V498" s="3" t="s">
        <v>4</v>
      </c>
      <c r="W498" s="3" t="s">
        <v>102</v>
      </c>
    </row>
    <row r="499" ht="15.75" customHeight="1">
      <c r="A499" s="6" t="s">
        <v>1673</v>
      </c>
      <c r="B499" s="3" t="s">
        <v>6952</v>
      </c>
      <c r="C499" s="7">
        <v>37374.0</v>
      </c>
      <c r="D499" s="3" t="s">
        <v>63</v>
      </c>
      <c r="E499" s="3">
        <v>24.0</v>
      </c>
      <c r="F499" s="3" t="s">
        <v>183</v>
      </c>
      <c r="G499" s="6" t="s">
        <v>6953</v>
      </c>
      <c r="H499" s="3" t="s">
        <v>6954</v>
      </c>
      <c r="I499" s="3" t="s">
        <v>6955</v>
      </c>
      <c r="J499" s="3" t="s">
        <v>79</v>
      </c>
      <c r="K499" s="3" t="s">
        <v>81</v>
      </c>
      <c r="L499" s="6" t="s">
        <v>1675</v>
      </c>
      <c r="M499" s="3" t="s">
        <v>63</v>
      </c>
      <c r="N499" s="6" t="s">
        <v>1676</v>
      </c>
      <c r="O499" s="3" t="s">
        <v>63</v>
      </c>
      <c r="P499" s="3" t="s">
        <v>396</v>
      </c>
      <c r="Q499" s="8">
        <v>835255.0</v>
      </c>
      <c r="R499" s="3" t="s">
        <v>93</v>
      </c>
      <c r="S499" s="7">
        <v>45057.0</v>
      </c>
      <c r="T499" s="3" t="s">
        <v>63</v>
      </c>
      <c r="U499" s="6" t="s">
        <v>352</v>
      </c>
      <c r="V499" s="3" t="s">
        <v>4</v>
      </c>
      <c r="W499" s="3" t="s">
        <v>102</v>
      </c>
    </row>
    <row r="500" ht="15.75" customHeight="1">
      <c r="A500" s="6" t="s">
        <v>3094</v>
      </c>
      <c r="B500" s="3" t="s">
        <v>6956</v>
      </c>
      <c r="C500" s="7">
        <v>28057.0</v>
      </c>
      <c r="D500" s="3" t="s">
        <v>63</v>
      </c>
      <c r="E500" s="3">
        <v>49.0</v>
      </c>
      <c r="F500" s="3" t="s">
        <v>183</v>
      </c>
      <c r="G500" s="6" t="s">
        <v>6957</v>
      </c>
      <c r="H500" s="3" t="s">
        <v>6958</v>
      </c>
      <c r="I500" s="3" t="s">
        <v>6727</v>
      </c>
      <c r="J500" s="3" t="s">
        <v>349</v>
      </c>
      <c r="K500" s="3" t="s">
        <v>45</v>
      </c>
      <c r="L500" s="3"/>
      <c r="M500" s="3" t="s">
        <v>88</v>
      </c>
      <c r="N500" s="6" t="s">
        <v>6959</v>
      </c>
      <c r="O500" s="3" t="s">
        <v>63</v>
      </c>
      <c r="P500" s="3" t="s">
        <v>90</v>
      </c>
      <c r="Q500" s="3"/>
      <c r="R500" s="3" t="s">
        <v>258</v>
      </c>
      <c r="S500" s="7">
        <v>42074.0</v>
      </c>
      <c r="T500" s="3" t="s">
        <v>63</v>
      </c>
      <c r="U500" s="6" t="s">
        <v>266</v>
      </c>
      <c r="V500" s="3" t="s">
        <v>4</v>
      </c>
      <c r="W500" s="3" t="s">
        <v>102</v>
      </c>
    </row>
    <row r="501" ht="15.75" customHeight="1">
      <c r="A501" s="6" t="s">
        <v>1873</v>
      </c>
      <c r="B501" s="3" t="s">
        <v>6960</v>
      </c>
      <c r="C501" s="7">
        <v>37424.0</v>
      </c>
      <c r="D501" s="3" t="s">
        <v>63</v>
      </c>
      <c r="E501" s="3">
        <v>24.0</v>
      </c>
      <c r="F501" s="3" t="s">
        <v>70</v>
      </c>
      <c r="G501" s="6" t="s">
        <v>6961</v>
      </c>
      <c r="H501" s="3" t="s">
        <v>6962</v>
      </c>
      <c r="I501" s="3" t="s">
        <v>6963</v>
      </c>
      <c r="J501" s="3" t="s">
        <v>358</v>
      </c>
      <c r="K501" s="3" t="s">
        <v>360</v>
      </c>
      <c r="L501" s="3"/>
      <c r="M501" s="3" t="s">
        <v>88</v>
      </c>
      <c r="N501" s="6" t="s">
        <v>4679</v>
      </c>
      <c r="O501" s="3" t="s">
        <v>63</v>
      </c>
      <c r="P501" s="3" t="s">
        <v>160</v>
      </c>
      <c r="Q501" s="3"/>
      <c r="R501" s="3" t="s">
        <v>258</v>
      </c>
      <c r="S501" s="7">
        <v>42739.0</v>
      </c>
      <c r="T501" s="3" t="s">
        <v>63</v>
      </c>
      <c r="U501" s="6" t="s">
        <v>301</v>
      </c>
      <c r="V501" s="3" t="s">
        <v>4</v>
      </c>
      <c r="W501" s="3" t="s">
        <v>102</v>
      </c>
    </row>
    <row r="502" ht="15.75" customHeight="1">
      <c r="A502" s="6" t="s">
        <v>4948</v>
      </c>
      <c r="B502" s="3" t="s">
        <v>6964</v>
      </c>
      <c r="C502" s="7">
        <v>29218.0</v>
      </c>
      <c r="D502" s="3" t="s">
        <v>63</v>
      </c>
      <c r="E502" s="3">
        <v>46.0</v>
      </c>
      <c r="F502" s="3" t="s">
        <v>183</v>
      </c>
      <c r="G502" s="3"/>
      <c r="H502" s="3" t="s">
        <v>6965</v>
      </c>
      <c r="I502" s="3" t="s">
        <v>6966</v>
      </c>
      <c r="J502" s="3" t="s">
        <v>225</v>
      </c>
      <c r="K502" s="3" t="s">
        <v>101</v>
      </c>
      <c r="L502" s="6" t="s">
        <v>4949</v>
      </c>
      <c r="M502" s="3" t="s">
        <v>63</v>
      </c>
      <c r="N502" s="6" t="s">
        <v>4951</v>
      </c>
      <c r="O502" s="3" t="s">
        <v>63</v>
      </c>
      <c r="P502" s="3" t="s">
        <v>300</v>
      </c>
      <c r="Q502" s="8">
        <v>1940017.0</v>
      </c>
      <c r="R502" s="3" t="s">
        <v>93</v>
      </c>
      <c r="S502" s="7">
        <v>39559.0</v>
      </c>
      <c r="T502" s="3" t="s">
        <v>63</v>
      </c>
      <c r="U502" s="6" t="s">
        <v>197</v>
      </c>
      <c r="V502" s="3" t="s">
        <v>4</v>
      </c>
      <c r="W502" s="3" t="s">
        <v>102</v>
      </c>
    </row>
    <row r="503" ht="15.75" customHeight="1">
      <c r="A503" s="6" t="s">
        <v>977</v>
      </c>
      <c r="B503" s="3" t="s">
        <v>6967</v>
      </c>
      <c r="C503" s="7">
        <v>27614.0</v>
      </c>
      <c r="D503" s="3" t="s">
        <v>63</v>
      </c>
      <c r="E503" s="3">
        <v>50.0</v>
      </c>
      <c r="F503" s="3" t="s">
        <v>70</v>
      </c>
      <c r="G503" s="6" t="s">
        <v>6968</v>
      </c>
      <c r="H503" s="3" t="s">
        <v>6969</v>
      </c>
      <c r="I503" s="3" t="s">
        <v>6970</v>
      </c>
      <c r="J503" s="3" t="s">
        <v>337</v>
      </c>
      <c r="K503" s="3" t="s">
        <v>137</v>
      </c>
      <c r="L503" s="6" t="s">
        <v>6971</v>
      </c>
      <c r="M503" s="3" t="s">
        <v>63</v>
      </c>
      <c r="N503" s="6" t="s">
        <v>6972</v>
      </c>
      <c r="O503" s="3" t="s">
        <v>63</v>
      </c>
      <c r="P503" s="3" t="s">
        <v>300</v>
      </c>
      <c r="Q503" s="8">
        <v>1694781.0</v>
      </c>
      <c r="R503" s="3" t="s">
        <v>93</v>
      </c>
      <c r="S503" s="7">
        <v>39938.0</v>
      </c>
      <c r="T503" s="3" t="s">
        <v>63</v>
      </c>
      <c r="U503" s="6" t="s">
        <v>97</v>
      </c>
      <c r="V503" s="3" t="s">
        <v>4</v>
      </c>
      <c r="W503" s="3" t="s">
        <v>102</v>
      </c>
    </row>
    <row r="504" ht="15.75" customHeight="1">
      <c r="A504" s="6" t="s">
        <v>1011</v>
      </c>
      <c r="B504" s="3" t="s">
        <v>6973</v>
      </c>
      <c r="C504" s="7">
        <v>37007.0</v>
      </c>
      <c r="D504" s="3" t="s">
        <v>63</v>
      </c>
      <c r="E504" s="3">
        <v>25.0</v>
      </c>
      <c r="F504" s="3" t="s">
        <v>70</v>
      </c>
      <c r="G504" s="6" t="s">
        <v>6974</v>
      </c>
      <c r="H504" s="3" t="s">
        <v>6975</v>
      </c>
      <c r="I504" s="3" t="s">
        <v>6976</v>
      </c>
      <c r="J504" s="3" t="s">
        <v>250</v>
      </c>
      <c r="K504" s="3" t="s">
        <v>252</v>
      </c>
      <c r="L504" s="6" t="s">
        <v>1013</v>
      </c>
      <c r="M504" s="3" t="s">
        <v>63</v>
      </c>
      <c r="N504" s="6" t="s">
        <v>1016</v>
      </c>
      <c r="O504" s="3" t="s">
        <v>63</v>
      </c>
      <c r="P504" s="3" t="s">
        <v>202</v>
      </c>
      <c r="Q504" s="8">
        <v>1657265.0</v>
      </c>
      <c r="R504" s="3" t="s">
        <v>93</v>
      </c>
      <c r="S504" s="7">
        <v>44630.0</v>
      </c>
      <c r="T504" s="3" t="s">
        <v>63</v>
      </c>
      <c r="U504" s="6" t="s">
        <v>277</v>
      </c>
      <c r="V504" s="3" t="s">
        <v>4</v>
      </c>
      <c r="W504" s="3" t="s">
        <v>378</v>
      </c>
    </row>
    <row r="505" ht="15.75" customHeight="1">
      <c r="A505" s="6" t="s">
        <v>1486</v>
      </c>
      <c r="B505" s="3" t="s">
        <v>6297</v>
      </c>
      <c r="C505" s="7">
        <v>27430.0</v>
      </c>
      <c r="D505" s="3" t="s">
        <v>63</v>
      </c>
      <c r="E505" s="3">
        <v>51.0</v>
      </c>
      <c r="F505" s="3" t="s">
        <v>70</v>
      </c>
      <c r="G505" s="6" t="s">
        <v>6977</v>
      </c>
      <c r="H505" s="3" t="s">
        <v>6978</v>
      </c>
      <c r="I505" s="3" t="s">
        <v>6979</v>
      </c>
      <c r="J505" s="3" t="s">
        <v>227</v>
      </c>
      <c r="K505" s="3" t="s">
        <v>229</v>
      </c>
      <c r="L505" s="6" t="s">
        <v>4935</v>
      </c>
      <c r="M505" s="3" t="s">
        <v>63</v>
      </c>
      <c r="N505" s="3"/>
      <c r="O505" s="3" t="s">
        <v>88</v>
      </c>
      <c r="P505" s="3" t="s">
        <v>396</v>
      </c>
      <c r="Q505" s="8">
        <v>1051634.0</v>
      </c>
      <c r="R505" s="3" t="s">
        <v>93</v>
      </c>
      <c r="S505" s="7">
        <v>44679.0</v>
      </c>
      <c r="T505" s="3" t="s">
        <v>63</v>
      </c>
      <c r="U505" s="6" t="s">
        <v>129</v>
      </c>
      <c r="V505" s="3" t="s">
        <v>4</v>
      </c>
      <c r="W505" s="3" t="s">
        <v>102</v>
      </c>
    </row>
    <row r="506" ht="15.75" customHeight="1">
      <c r="A506" s="6" t="s">
        <v>2600</v>
      </c>
      <c r="B506" s="3" t="s">
        <v>6980</v>
      </c>
      <c r="C506" s="7">
        <v>37434.0</v>
      </c>
      <c r="D506" s="3" t="s">
        <v>63</v>
      </c>
      <c r="E506" s="3">
        <v>24.0</v>
      </c>
      <c r="F506" s="3" t="s">
        <v>70</v>
      </c>
      <c r="G506" s="6" t="s">
        <v>6981</v>
      </c>
      <c r="H506" s="3" t="s">
        <v>6982</v>
      </c>
      <c r="I506" s="3" t="s">
        <v>6983</v>
      </c>
      <c r="J506" s="3" t="s">
        <v>349</v>
      </c>
      <c r="K506" s="3" t="s">
        <v>45</v>
      </c>
      <c r="L506" s="6" t="s">
        <v>679</v>
      </c>
      <c r="M506" s="3" t="s">
        <v>63</v>
      </c>
      <c r="N506" s="6" t="s">
        <v>680</v>
      </c>
      <c r="O506" s="3" t="s">
        <v>63</v>
      </c>
      <c r="P506" s="3" t="s">
        <v>396</v>
      </c>
      <c r="Q506" s="8">
        <v>746958.0</v>
      </c>
      <c r="R506" s="3" t="s">
        <v>93</v>
      </c>
      <c r="S506" s="7">
        <v>44285.0</v>
      </c>
      <c r="T506" s="3" t="s">
        <v>63</v>
      </c>
      <c r="U506" s="6" t="s">
        <v>80</v>
      </c>
      <c r="V506" s="3" t="s">
        <v>237</v>
      </c>
      <c r="W506" s="3" t="s">
        <v>378</v>
      </c>
    </row>
    <row r="507" ht="15.75" customHeight="1">
      <c r="A507" s="6" t="s">
        <v>2252</v>
      </c>
      <c r="B507" s="3" t="s">
        <v>6984</v>
      </c>
      <c r="C507" s="7">
        <v>36424.0</v>
      </c>
      <c r="D507" s="3" t="s">
        <v>63</v>
      </c>
      <c r="E507" s="3">
        <v>26.0</v>
      </c>
      <c r="F507" s="3" t="s">
        <v>70</v>
      </c>
      <c r="G507" s="6" t="s">
        <v>6985</v>
      </c>
      <c r="H507" s="3" t="s">
        <v>6986</v>
      </c>
      <c r="I507" s="3" t="s">
        <v>6987</v>
      </c>
      <c r="J507" s="3" t="s">
        <v>6988</v>
      </c>
      <c r="K507" s="3" t="s">
        <v>67</v>
      </c>
      <c r="L507" s="3"/>
      <c r="M507" s="3" t="s">
        <v>88</v>
      </c>
      <c r="N507" s="6" t="s">
        <v>4560</v>
      </c>
      <c r="O507" s="3" t="s">
        <v>63</v>
      </c>
      <c r="P507" s="3" t="s">
        <v>90</v>
      </c>
      <c r="Q507" s="3"/>
      <c r="R507" s="3" t="s">
        <v>258</v>
      </c>
      <c r="S507" s="7">
        <v>40436.0</v>
      </c>
      <c r="T507" s="3" t="s">
        <v>63</v>
      </c>
      <c r="U507" s="6" t="s">
        <v>284</v>
      </c>
      <c r="V507" s="3" t="s">
        <v>4</v>
      </c>
      <c r="W507" s="3" t="s">
        <v>102</v>
      </c>
    </row>
    <row r="508" ht="15.75" customHeight="1">
      <c r="A508" s="6" t="s">
        <v>4466</v>
      </c>
      <c r="B508" s="3" t="s">
        <v>6989</v>
      </c>
      <c r="C508" s="7">
        <v>24667.0</v>
      </c>
      <c r="D508" s="3" t="s">
        <v>63</v>
      </c>
      <c r="E508" s="3">
        <v>59.0</v>
      </c>
      <c r="F508" s="3" t="s">
        <v>70</v>
      </c>
      <c r="G508" s="3"/>
      <c r="H508" s="3"/>
      <c r="I508" s="3" t="s">
        <v>6990</v>
      </c>
      <c r="J508" s="3" t="s">
        <v>271</v>
      </c>
      <c r="K508" s="3" t="s">
        <v>273</v>
      </c>
      <c r="L508" s="6" t="s">
        <v>4467</v>
      </c>
      <c r="M508" s="3" t="s">
        <v>63</v>
      </c>
      <c r="N508" s="3"/>
      <c r="O508" s="3" t="s">
        <v>88</v>
      </c>
      <c r="P508" s="3" t="s">
        <v>90</v>
      </c>
      <c r="Q508" s="3"/>
      <c r="R508" s="3" t="s">
        <v>258</v>
      </c>
      <c r="S508" s="7">
        <v>45432.0</v>
      </c>
      <c r="T508" s="3" t="s">
        <v>63</v>
      </c>
      <c r="U508" s="6" t="s">
        <v>80</v>
      </c>
      <c r="V508" s="3" t="s">
        <v>237</v>
      </c>
      <c r="W508" s="3" t="s">
        <v>102</v>
      </c>
    </row>
    <row r="509" ht="15.75" customHeight="1">
      <c r="A509" s="6" t="s">
        <v>1758</v>
      </c>
      <c r="B509" s="3" t="s">
        <v>6991</v>
      </c>
      <c r="C509" s="7">
        <v>47826.0</v>
      </c>
      <c r="D509" s="3" t="s">
        <v>1155</v>
      </c>
      <c r="E509" s="3"/>
      <c r="F509" s="3" t="s">
        <v>70</v>
      </c>
      <c r="G509" s="6" t="s">
        <v>6992</v>
      </c>
      <c r="H509" s="3" t="s">
        <v>6993</v>
      </c>
      <c r="I509" s="3" t="s">
        <v>6994</v>
      </c>
      <c r="J509" s="3" t="s">
        <v>98</v>
      </c>
      <c r="K509" s="3" t="s">
        <v>101</v>
      </c>
      <c r="L509" s="6" t="s">
        <v>1759</v>
      </c>
      <c r="M509" s="3" t="s">
        <v>63</v>
      </c>
      <c r="N509" s="6" t="s">
        <v>1760</v>
      </c>
      <c r="O509" s="3" t="s">
        <v>63</v>
      </c>
      <c r="P509" s="3" t="s">
        <v>372</v>
      </c>
      <c r="Q509" s="8">
        <v>2086429.0</v>
      </c>
      <c r="R509" s="3" t="s">
        <v>93</v>
      </c>
      <c r="S509" s="7">
        <v>42920.0</v>
      </c>
      <c r="T509" s="3" t="s">
        <v>1178</v>
      </c>
      <c r="U509" s="6" t="s">
        <v>80</v>
      </c>
      <c r="V509" s="3" t="s">
        <v>4</v>
      </c>
      <c r="W509" s="3" t="s">
        <v>102</v>
      </c>
    </row>
    <row r="510" ht="15.75" customHeight="1">
      <c r="A510" s="6" t="s">
        <v>2262</v>
      </c>
      <c r="B510" s="3" t="s">
        <v>6995</v>
      </c>
      <c r="C510" s="7">
        <v>25760.0</v>
      </c>
      <c r="D510" s="3" t="s">
        <v>63</v>
      </c>
      <c r="E510" s="3">
        <v>56.0</v>
      </c>
      <c r="F510" s="3" t="s">
        <v>183</v>
      </c>
      <c r="G510" s="6" t="s">
        <v>6996</v>
      </c>
      <c r="H510" s="3" t="s">
        <v>6997</v>
      </c>
      <c r="I510" s="3" t="s">
        <v>6998</v>
      </c>
      <c r="J510" s="3" t="s">
        <v>119</v>
      </c>
      <c r="K510" s="3" t="s">
        <v>121</v>
      </c>
      <c r="L510" s="6" t="s">
        <v>5875</v>
      </c>
      <c r="M510" s="3" t="s">
        <v>63</v>
      </c>
      <c r="N510" s="6" t="s">
        <v>5876</v>
      </c>
      <c r="O510" s="3" t="s">
        <v>63</v>
      </c>
      <c r="P510" s="3" t="s">
        <v>202</v>
      </c>
      <c r="Q510" s="8">
        <v>1431052.0</v>
      </c>
      <c r="R510" s="3" t="s">
        <v>93</v>
      </c>
      <c r="S510" s="7">
        <v>45613.0</v>
      </c>
      <c r="T510" s="3" t="s">
        <v>63</v>
      </c>
      <c r="U510" s="6" t="s">
        <v>92</v>
      </c>
      <c r="V510" s="3" t="s">
        <v>4</v>
      </c>
      <c r="W510" s="3" t="s">
        <v>102</v>
      </c>
    </row>
    <row r="511" ht="15.75" customHeight="1">
      <c r="A511" s="6" t="s">
        <v>1422</v>
      </c>
      <c r="B511" s="3" t="s">
        <v>856</v>
      </c>
      <c r="C511" s="7">
        <v>23735.0</v>
      </c>
      <c r="D511" s="3" t="s">
        <v>63</v>
      </c>
      <c r="E511" s="3">
        <v>61.0</v>
      </c>
      <c r="F511" s="3" t="s">
        <v>70</v>
      </c>
      <c r="G511" s="6" t="s">
        <v>6999</v>
      </c>
      <c r="H511" s="3" t="s">
        <v>7000</v>
      </c>
      <c r="I511" s="3" t="s">
        <v>7001</v>
      </c>
      <c r="J511" s="3" t="s">
        <v>213</v>
      </c>
      <c r="K511" s="3" t="s">
        <v>67</v>
      </c>
      <c r="L511" s="6" t="s">
        <v>1424</v>
      </c>
      <c r="M511" s="3" t="s">
        <v>63</v>
      </c>
      <c r="N511" s="6" t="s">
        <v>1426</v>
      </c>
      <c r="O511" s="3" t="s">
        <v>63</v>
      </c>
      <c r="P511" s="3" t="s">
        <v>396</v>
      </c>
      <c r="Q511" s="8">
        <v>1202745.0</v>
      </c>
      <c r="R511" s="3" t="s">
        <v>93</v>
      </c>
      <c r="S511" s="7">
        <v>40809.0</v>
      </c>
      <c r="T511" s="3" t="s">
        <v>63</v>
      </c>
      <c r="U511" s="6" t="s">
        <v>284</v>
      </c>
      <c r="V511" s="3" t="s">
        <v>4</v>
      </c>
      <c r="W511" s="3" t="s">
        <v>102</v>
      </c>
    </row>
    <row r="512" ht="15.75" customHeight="1">
      <c r="A512" s="6" t="s">
        <v>597</v>
      </c>
      <c r="B512" s="3" t="s">
        <v>7002</v>
      </c>
      <c r="C512" s="7">
        <v>27955.0</v>
      </c>
      <c r="D512" s="3" t="s">
        <v>63</v>
      </c>
      <c r="E512" s="3">
        <v>50.0</v>
      </c>
      <c r="F512" s="3" t="s">
        <v>70</v>
      </c>
      <c r="G512" s="6" t="s">
        <v>7003</v>
      </c>
      <c r="H512" s="3" t="s">
        <v>7004</v>
      </c>
      <c r="I512" s="3" t="s">
        <v>7005</v>
      </c>
      <c r="J512" s="3" t="s">
        <v>358</v>
      </c>
      <c r="K512" s="3" t="s">
        <v>360</v>
      </c>
      <c r="L512" s="6" t="s">
        <v>600</v>
      </c>
      <c r="M512" s="3" t="s">
        <v>63</v>
      </c>
      <c r="N512" s="6" t="s">
        <v>603</v>
      </c>
      <c r="O512" s="3" t="s">
        <v>63</v>
      </c>
      <c r="P512" s="3" t="s">
        <v>300</v>
      </c>
      <c r="Q512" s="8">
        <v>304430.0</v>
      </c>
      <c r="R512" s="3" t="s">
        <v>93</v>
      </c>
      <c r="S512" s="7">
        <v>42173.0</v>
      </c>
      <c r="T512" s="3" t="s">
        <v>63</v>
      </c>
      <c r="U512" s="6" t="s">
        <v>397</v>
      </c>
      <c r="V512" s="3" t="s">
        <v>4</v>
      </c>
      <c r="W512" s="3" t="s">
        <v>102</v>
      </c>
    </row>
    <row r="513" ht="15.75" customHeight="1">
      <c r="A513" s="6" t="s">
        <v>1406</v>
      </c>
      <c r="B513" s="3" t="s">
        <v>7006</v>
      </c>
      <c r="C513" s="7">
        <v>35481.0</v>
      </c>
      <c r="D513" s="3" t="s">
        <v>63</v>
      </c>
      <c r="E513" s="3">
        <v>29.0</v>
      </c>
      <c r="F513" s="3" t="s">
        <v>70</v>
      </c>
      <c r="G513" s="6" t="s">
        <v>7007</v>
      </c>
      <c r="H513" s="3" t="s">
        <v>7008</v>
      </c>
      <c r="I513" s="3" t="s">
        <v>7009</v>
      </c>
      <c r="J513" s="3" t="s">
        <v>251</v>
      </c>
      <c r="K513" s="3" t="s">
        <v>251</v>
      </c>
      <c r="L513" s="6" t="s">
        <v>1828</v>
      </c>
      <c r="M513" s="3" t="s">
        <v>63</v>
      </c>
      <c r="N513" s="6" t="s">
        <v>1830</v>
      </c>
      <c r="O513" s="3" t="s">
        <v>63</v>
      </c>
      <c r="P513" s="3" t="s">
        <v>202</v>
      </c>
      <c r="Q513" s="8">
        <v>2268090.0</v>
      </c>
      <c r="R513" s="3" t="s">
        <v>93</v>
      </c>
      <c r="S513" s="7">
        <v>40547.0</v>
      </c>
      <c r="T513" s="3" t="s">
        <v>63</v>
      </c>
      <c r="U513" s="6" t="s">
        <v>146</v>
      </c>
      <c r="V513" s="3" t="s">
        <v>4</v>
      </c>
      <c r="W513" s="3" t="s">
        <v>102</v>
      </c>
    </row>
    <row r="514" ht="15.75" customHeight="1">
      <c r="A514" s="6" t="s">
        <v>3766</v>
      </c>
      <c r="B514" s="3" t="s">
        <v>7010</v>
      </c>
      <c r="C514" s="7">
        <v>26893.0</v>
      </c>
      <c r="D514" s="3" t="s">
        <v>63</v>
      </c>
      <c r="E514" s="3">
        <v>52.0</v>
      </c>
      <c r="F514" s="3" t="s">
        <v>70</v>
      </c>
      <c r="G514" s="6" t="s">
        <v>7011</v>
      </c>
      <c r="H514" s="3" t="s">
        <v>7012</v>
      </c>
      <c r="I514" s="3" t="s">
        <v>7013</v>
      </c>
      <c r="J514" s="3" t="s">
        <v>251</v>
      </c>
      <c r="K514" s="3" t="s">
        <v>251</v>
      </c>
      <c r="L514" s="6" t="s">
        <v>3768</v>
      </c>
      <c r="M514" s="3" t="s">
        <v>63</v>
      </c>
      <c r="N514" s="6" t="s">
        <v>3770</v>
      </c>
      <c r="O514" s="3" t="s">
        <v>63</v>
      </c>
      <c r="P514" s="3" t="s">
        <v>464</v>
      </c>
      <c r="Q514" s="8">
        <v>809940.0</v>
      </c>
      <c r="R514" s="3" t="s">
        <v>93</v>
      </c>
      <c r="S514" s="7">
        <v>40723.0</v>
      </c>
      <c r="T514" s="3" t="s">
        <v>63</v>
      </c>
      <c r="U514" s="6" t="s">
        <v>208</v>
      </c>
      <c r="V514" s="3" t="s">
        <v>4</v>
      </c>
      <c r="W514" s="3" t="s">
        <v>102</v>
      </c>
    </row>
    <row r="515" ht="15.75" customHeight="1">
      <c r="A515" s="6" t="s">
        <v>1766</v>
      </c>
      <c r="B515" s="3" t="s">
        <v>3289</v>
      </c>
      <c r="C515" s="7">
        <v>20839.0</v>
      </c>
      <c r="D515" s="3" t="s">
        <v>63</v>
      </c>
      <c r="E515" s="3">
        <v>69.0</v>
      </c>
      <c r="F515" s="3" t="s">
        <v>70</v>
      </c>
      <c r="G515" s="6" t="s">
        <v>7014</v>
      </c>
      <c r="H515" s="3" t="s">
        <v>7015</v>
      </c>
      <c r="I515" s="3" t="s">
        <v>7016</v>
      </c>
      <c r="J515" s="3" t="s">
        <v>43</v>
      </c>
      <c r="K515" s="3" t="s">
        <v>45</v>
      </c>
      <c r="L515" s="6" t="s">
        <v>1767</v>
      </c>
      <c r="M515" s="3" t="s">
        <v>63</v>
      </c>
      <c r="N515" s="6" t="s">
        <v>1769</v>
      </c>
      <c r="O515" s="3" t="s">
        <v>63</v>
      </c>
      <c r="P515" s="3" t="s">
        <v>300</v>
      </c>
      <c r="Q515" s="8">
        <v>429833.0</v>
      </c>
      <c r="R515" s="3" t="s">
        <v>93</v>
      </c>
      <c r="S515" s="7">
        <v>38582.0</v>
      </c>
      <c r="T515" s="3" t="s">
        <v>63</v>
      </c>
      <c r="U515" s="6" t="s">
        <v>36</v>
      </c>
      <c r="V515" s="3" t="s">
        <v>4</v>
      </c>
      <c r="W515" s="3" t="s">
        <v>102</v>
      </c>
    </row>
    <row r="516" ht="15.75" customHeight="1">
      <c r="A516" s="6" t="s">
        <v>5347</v>
      </c>
      <c r="B516" s="3" t="s">
        <v>7017</v>
      </c>
      <c r="C516" s="7">
        <v>46737.0</v>
      </c>
      <c r="D516" s="3" t="s">
        <v>1155</v>
      </c>
      <c r="E516" s="3"/>
      <c r="F516" s="3" t="s">
        <v>183</v>
      </c>
      <c r="G516" s="6" t="s">
        <v>7018</v>
      </c>
      <c r="H516" s="3"/>
      <c r="I516" s="3" t="s">
        <v>7019</v>
      </c>
      <c r="J516" s="3" t="s">
        <v>250</v>
      </c>
      <c r="K516" s="3" t="s">
        <v>252</v>
      </c>
      <c r="L516" s="6" t="s">
        <v>5348</v>
      </c>
      <c r="M516" s="3" t="s">
        <v>63</v>
      </c>
      <c r="N516" s="6" t="s">
        <v>5349</v>
      </c>
      <c r="O516" s="3" t="s">
        <v>63</v>
      </c>
      <c r="P516" s="3" t="s">
        <v>372</v>
      </c>
      <c r="Q516" s="8">
        <v>2033715.0</v>
      </c>
      <c r="R516" s="3" t="s">
        <v>93</v>
      </c>
      <c r="S516" s="7">
        <v>39783.0</v>
      </c>
      <c r="T516" s="3" t="s">
        <v>1178</v>
      </c>
      <c r="U516" s="6" t="s">
        <v>234</v>
      </c>
      <c r="V516" s="3" t="s">
        <v>4</v>
      </c>
      <c r="W516" s="3" t="s">
        <v>102</v>
      </c>
    </row>
    <row r="517" ht="15.75" customHeight="1">
      <c r="A517" s="6" t="s">
        <v>3597</v>
      </c>
      <c r="B517" s="3" t="s">
        <v>7020</v>
      </c>
      <c r="C517" s="7">
        <v>36972.0</v>
      </c>
      <c r="D517" s="3" t="s">
        <v>63</v>
      </c>
      <c r="E517" s="3">
        <v>25.0</v>
      </c>
      <c r="F517" s="3" t="s">
        <v>70</v>
      </c>
      <c r="G517" s="6" t="s">
        <v>7021</v>
      </c>
      <c r="H517" s="3" t="s">
        <v>7022</v>
      </c>
      <c r="I517" s="3" t="s">
        <v>7023</v>
      </c>
      <c r="J517" s="3" t="s">
        <v>134</v>
      </c>
      <c r="K517" s="3" t="s">
        <v>137</v>
      </c>
      <c r="L517" s="6" t="s">
        <v>3599</v>
      </c>
      <c r="M517" s="3" t="s">
        <v>63</v>
      </c>
      <c r="N517" s="3"/>
      <c r="O517" s="3" t="s">
        <v>88</v>
      </c>
      <c r="P517" s="3" t="s">
        <v>202</v>
      </c>
      <c r="Q517" s="8">
        <v>925545.0</v>
      </c>
      <c r="R517" s="3" t="s">
        <v>93</v>
      </c>
      <c r="S517" s="7">
        <v>41701.0</v>
      </c>
      <c r="T517" s="3" t="s">
        <v>63</v>
      </c>
      <c r="U517" s="6" t="s">
        <v>397</v>
      </c>
      <c r="V517" s="3" t="s">
        <v>4</v>
      </c>
      <c r="W517" s="3" t="s">
        <v>102</v>
      </c>
    </row>
    <row r="518" ht="15.75" customHeight="1">
      <c r="A518" s="6" t="s">
        <v>1031</v>
      </c>
      <c r="B518" s="3" t="s">
        <v>7024</v>
      </c>
      <c r="C518" s="7">
        <v>31956.0</v>
      </c>
      <c r="D518" s="3" t="s">
        <v>63</v>
      </c>
      <c r="E518" s="3">
        <v>39.0</v>
      </c>
      <c r="F518" s="3" t="s">
        <v>70</v>
      </c>
      <c r="G518" s="6" t="s">
        <v>7025</v>
      </c>
      <c r="H518" s="3" t="s">
        <v>7026</v>
      </c>
      <c r="I518" s="3" t="s">
        <v>7027</v>
      </c>
      <c r="J518" s="3" t="s">
        <v>114</v>
      </c>
      <c r="K518" s="3" t="s">
        <v>118</v>
      </c>
      <c r="L518" s="6" t="s">
        <v>1033</v>
      </c>
      <c r="M518" s="3" t="s">
        <v>63</v>
      </c>
      <c r="N518" s="6" t="s">
        <v>1035</v>
      </c>
      <c r="O518" s="3" t="s">
        <v>63</v>
      </c>
      <c r="P518" s="3" t="s">
        <v>324</v>
      </c>
      <c r="Q518" s="3"/>
      <c r="R518" s="3" t="s">
        <v>258</v>
      </c>
      <c r="S518" s="7">
        <v>39760.0</v>
      </c>
      <c r="T518" s="3" t="s">
        <v>63</v>
      </c>
      <c r="U518" s="6" t="s">
        <v>179</v>
      </c>
      <c r="V518" s="3" t="s">
        <v>4</v>
      </c>
      <c r="W518" s="3" t="s">
        <v>102</v>
      </c>
    </row>
    <row r="519" ht="15.75" customHeight="1">
      <c r="A519" s="6" t="s">
        <v>753</v>
      </c>
      <c r="B519" s="3" t="s">
        <v>7028</v>
      </c>
      <c r="C519" s="7">
        <v>22311.0</v>
      </c>
      <c r="D519" s="3" t="s">
        <v>63</v>
      </c>
      <c r="E519" s="3">
        <v>65.0</v>
      </c>
      <c r="F519" s="3" t="s">
        <v>183</v>
      </c>
      <c r="G519" s="6" t="s">
        <v>7029</v>
      </c>
      <c r="H519" s="3" t="s">
        <v>7030</v>
      </c>
      <c r="I519" s="3" t="s">
        <v>7031</v>
      </c>
      <c r="J519" s="3" t="s">
        <v>85</v>
      </c>
      <c r="K519" s="3" t="s">
        <v>67</v>
      </c>
      <c r="L519" s="6" t="s">
        <v>754</v>
      </c>
      <c r="M519" s="3" t="s">
        <v>63</v>
      </c>
      <c r="N519" s="6" t="s">
        <v>755</v>
      </c>
      <c r="O519" s="3" t="s">
        <v>63</v>
      </c>
      <c r="P519" s="3" t="s">
        <v>324</v>
      </c>
      <c r="Q519" s="8">
        <v>1854092.0</v>
      </c>
      <c r="R519" s="3" t="s">
        <v>93</v>
      </c>
      <c r="S519" s="7">
        <v>40893.0</v>
      </c>
      <c r="T519" s="3" t="s">
        <v>63</v>
      </c>
      <c r="U519" s="6" t="s">
        <v>266</v>
      </c>
      <c r="V519" s="3" t="s">
        <v>237</v>
      </c>
      <c r="W519" s="3" t="s">
        <v>102</v>
      </c>
    </row>
    <row r="520" ht="15.75" customHeight="1">
      <c r="A520" s="6" t="s">
        <v>924</v>
      </c>
      <c r="B520" s="3" t="s">
        <v>7032</v>
      </c>
      <c r="C520" s="7">
        <v>30771.0</v>
      </c>
      <c r="D520" s="3" t="s">
        <v>63</v>
      </c>
      <c r="E520" s="3">
        <v>42.0</v>
      </c>
      <c r="F520" s="3" t="s">
        <v>183</v>
      </c>
      <c r="G520" s="6" t="s">
        <v>7033</v>
      </c>
      <c r="H520" s="3" t="s">
        <v>7034</v>
      </c>
      <c r="I520" s="3" t="s">
        <v>7035</v>
      </c>
      <c r="J520" s="3" t="s">
        <v>85</v>
      </c>
      <c r="K520" s="3" t="s">
        <v>67</v>
      </c>
      <c r="L520" s="6" t="s">
        <v>2966</v>
      </c>
      <c r="M520" s="3" t="s">
        <v>63</v>
      </c>
      <c r="N520" s="6" t="s">
        <v>2967</v>
      </c>
      <c r="O520" s="3" t="s">
        <v>63</v>
      </c>
      <c r="P520" s="3" t="s">
        <v>90</v>
      </c>
      <c r="Q520" s="8">
        <v>1473234.0</v>
      </c>
      <c r="R520" s="3" t="s">
        <v>93</v>
      </c>
      <c r="S520" s="7">
        <v>44649.0</v>
      </c>
      <c r="T520" s="3" t="s">
        <v>63</v>
      </c>
      <c r="U520" s="6" t="s">
        <v>60</v>
      </c>
      <c r="V520" s="3" t="s">
        <v>237</v>
      </c>
      <c r="W520" s="3" t="s">
        <v>102</v>
      </c>
    </row>
    <row r="521" ht="15.75" customHeight="1">
      <c r="A521" s="6" t="s">
        <v>1880</v>
      </c>
      <c r="B521" s="3" t="s">
        <v>5300</v>
      </c>
      <c r="C521" s="7">
        <v>38161.0</v>
      </c>
      <c r="D521" s="3" t="s">
        <v>63</v>
      </c>
      <c r="E521" s="3">
        <v>22.0</v>
      </c>
      <c r="F521" s="3" t="s">
        <v>70</v>
      </c>
      <c r="G521" s="6" t="s">
        <v>7036</v>
      </c>
      <c r="H521" s="3" t="s">
        <v>7037</v>
      </c>
      <c r="I521" s="3" t="s">
        <v>7038</v>
      </c>
      <c r="J521" s="3" t="s">
        <v>213</v>
      </c>
      <c r="K521" s="3" t="s">
        <v>67</v>
      </c>
      <c r="L521" s="6" t="s">
        <v>1882</v>
      </c>
      <c r="M521" s="3" t="s">
        <v>63</v>
      </c>
      <c r="N521" s="6" t="s">
        <v>1885</v>
      </c>
      <c r="O521" s="3" t="s">
        <v>63</v>
      </c>
      <c r="P521" s="3" t="s">
        <v>127</v>
      </c>
      <c r="Q521" s="3"/>
      <c r="R521" s="3" t="s">
        <v>258</v>
      </c>
      <c r="S521" s="7">
        <v>38431.0</v>
      </c>
      <c r="T521" s="3" t="s">
        <v>63</v>
      </c>
      <c r="U521" s="6" t="s">
        <v>97</v>
      </c>
      <c r="V521" s="3" t="s">
        <v>4</v>
      </c>
      <c r="W521" s="3" t="s">
        <v>102</v>
      </c>
    </row>
    <row r="522" ht="15.75" customHeight="1">
      <c r="A522" s="6" t="s">
        <v>952</v>
      </c>
      <c r="B522" s="3" t="s">
        <v>7039</v>
      </c>
      <c r="C522" s="7">
        <v>23165.0</v>
      </c>
      <c r="D522" s="3" t="s">
        <v>63</v>
      </c>
      <c r="E522" s="3">
        <v>63.0</v>
      </c>
      <c r="F522" s="3" t="s">
        <v>183</v>
      </c>
      <c r="G522" s="6" t="s">
        <v>7040</v>
      </c>
      <c r="H522" s="3"/>
      <c r="I522" s="3" t="s">
        <v>7041</v>
      </c>
      <c r="J522" s="3" t="s">
        <v>43</v>
      </c>
      <c r="K522" s="3" t="s">
        <v>45</v>
      </c>
      <c r="L522" s="6" t="s">
        <v>3459</v>
      </c>
      <c r="M522" s="3" t="s">
        <v>63</v>
      </c>
      <c r="N522" s="6" t="s">
        <v>3461</v>
      </c>
      <c r="O522" s="3" t="s">
        <v>63</v>
      </c>
      <c r="P522" s="3" t="s">
        <v>372</v>
      </c>
      <c r="Q522" s="3"/>
      <c r="R522" s="3" t="s">
        <v>258</v>
      </c>
      <c r="S522" s="7">
        <v>41117.0</v>
      </c>
      <c r="T522" s="3" t="s">
        <v>63</v>
      </c>
      <c r="U522" s="6" t="s">
        <v>163</v>
      </c>
      <c r="V522" s="3" t="s">
        <v>4</v>
      </c>
      <c r="W522" s="3" t="s">
        <v>102</v>
      </c>
    </row>
    <row r="523" ht="15.75" customHeight="1">
      <c r="A523" s="6" t="s">
        <v>1572</v>
      </c>
      <c r="B523" s="3" t="s">
        <v>7042</v>
      </c>
      <c r="C523" s="7">
        <v>22325.0</v>
      </c>
      <c r="D523" s="3" t="s">
        <v>63</v>
      </c>
      <c r="E523" s="3">
        <v>65.0</v>
      </c>
      <c r="F523" s="3" t="s">
        <v>183</v>
      </c>
      <c r="G523" s="6" t="s">
        <v>7043</v>
      </c>
      <c r="H523" s="3" t="s">
        <v>7044</v>
      </c>
      <c r="I523" s="3" t="s">
        <v>7045</v>
      </c>
      <c r="J523" s="3" t="s">
        <v>98</v>
      </c>
      <c r="K523" s="3" t="s">
        <v>101</v>
      </c>
      <c r="L523" s="3"/>
      <c r="M523" s="3" t="s">
        <v>88</v>
      </c>
      <c r="N523" s="6" t="s">
        <v>1577</v>
      </c>
      <c r="O523" s="3" t="s">
        <v>63</v>
      </c>
      <c r="P523" s="3" t="s">
        <v>464</v>
      </c>
      <c r="Q523" s="8">
        <v>2207531.0</v>
      </c>
      <c r="R523" s="3" t="s">
        <v>93</v>
      </c>
      <c r="S523" s="7">
        <v>42251.0</v>
      </c>
      <c r="T523" s="3" t="s">
        <v>63</v>
      </c>
      <c r="U523" s="6" t="s">
        <v>397</v>
      </c>
      <c r="V523" s="3" t="s">
        <v>4</v>
      </c>
      <c r="W523" s="3" t="s">
        <v>102</v>
      </c>
    </row>
    <row r="524" ht="15.75" customHeight="1">
      <c r="A524" s="6" t="s">
        <v>1853</v>
      </c>
      <c r="B524" s="3" t="s">
        <v>7046</v>
      </c>
      <c r="C524" s="7">
        <v>26453.0</v>
      </c>
      <c r="D524" s="3" t="s">
        <v>63</v>
      </c>
      <c r="E524" s="3">
        <v>54.0</v>
      </c>
      <c r="F524" s="3" t="s">
        <v>183</v>
      </c>
      <c r="G524" s="6" t="s">
        <v>7047</v>
      </c>
      <c r="H524" s="3" t="s">
        <v>7048</v>
      </c>
      <c r="I524" s="3" t="s">
        <v>7049</v>
      </c>
      <c r="J524" s="3" t="s">
        <v>282</v>
      </c>
      <c r="K524" s="3" t="s">
        <v>229</v>
      </c>
      <c r="L524" s="3"/>
      <c r="M524" s="3" t="s">
        <v>88</v>
      </c>
      <c r="N524" s="6" t="s">
        <v>7050</v>
      </c>
      <c r="O524" s="3" t="s">
        <v>63</v>
      </c>
      <c r="P524" s="3" t="s">
        <v>300</v>
      </c>
      <c r="Q524" s="8">
        <v>1588491.0</v>
      </c>
      <c r="R524" s="3" t="s">
        <v>93</v>
      </c>
      <c r="S524" s="7">
        <v>41115.0</v>
      </c>
      <c r="T524" s="3" t="s">
        <v>63</v>
      </c>
      <c r="U524" s="6" t="s">
        <v>92</v>
      </c>
      <c r="V524" s="3" t="s">
        <v>4</v>
      </c>
      <c r="W524" s="3" t="s">
        <v>102</v>
      </c>
    </row>
    <row r="525" ht="15.75" customHeight="1">
      <c r="A525" s="6" t="s">
        <v>2709</v>
      </c>
      <c r="B525" s="3" t="s">
        <v>7051</v>
      </c>
      <c r="C525" s="7">
        <v>30580.0</v>
      </c>
      <c r="D525" s="3" t="s">
        <v>63</v>
      </c>
      <c r="E525" s="3">
        <v>42.0</v>
      </c>
      <c r="F525" s="3" t="s">
        <v>70</v>
      </c>
      <c r="G525" s="6" t="s">
        <v>7052</v>
      </c>
      <c r="H525" s="3" t="s">
        <v>7053</v>
      </c>
      <c r="I525" s="3" t="s">
        <v>7054</v>
      </c>
      <c r="J525" s="3" t="s">
        <v>98</v>
      </c>
      <c r="K525" s="3" t="s">
        <v>101</v>
      </c>
      <c r="L525" s="6" t="s">
        <v>6061</v>
      </c>
      <c r="M525" s="3" t="s">
        <v>63</v>
      </c>
      <c r="N525" s="6" t="s">
        <v>6062</v>
      </c>
      <c r="O525" s="3" t="s">
        <v>63</v>
      </c>
      <c r="P525" s="3" t="s">
        <v>324</v>
      </c>
      <c r="Q525" s="8">
        <v>715039.0</v>
      </c>
      <c r="R525" s="3" t="s">
        <v>93</v>
      </c>
      <c r="S525" s="7">
        <v>41815.0</v>
      </c>
      <c r="T525" s="3" t="s">
        <v>63</v>
      </c>
      <c r="U525" s="6" t="s">
        <v>245</v>
      </c>
      <c r="V525" s="3" t="s">
        <v>4</v>
      </c>
      <c r="W525" s="3" t="s">
        <v>102</v>
      </c>
    </row>
    <row r="526" ht="15.75" customHeight="1">
      <c r="A526" s="6" t="s">
        <v>4302</v>
      </c>
      <c r="B526" s="3" t="s">
        <v>7055</v>
      </c>
      <c r="C526" s="7">
        <v>33501.0</v>
      </c>
      <c r="D526" s="3" t="s">
        <v>63</v>
      </c>
      <c r="E526" s="3">
        <v>34.0</v>
      </c>
      <c r="F526" s="3" t="s">
        <v>183</v>
      </c>
      <c r="G526" s="6" t="s">
        <v>7056</v>
      </c>
      <c r="H526" s="3" t="s">
        <v>7057</v>
      </c>
      <c r="I526" s="3" t="s">
        <v>2521</v>
      </c>
      <c r="J526" s="3" t="s">
        <v>167</v>
      </c>
      <c r="K526" s="3" t="s">
        <v>169</v>
      </c>
      <c r="L526" s="6" t="s">
        <v>5937</v>
      </c>
      <c r="M526" s="3" t="s">
        <v>63</v>
      </c>
      <c r="N526" s="6" t="s">
        <v>5938</v>
      </c>
      <c r="O526" s="3" t="s">
        <v>63</v>
      </c>
      <c r="P526" s="3" t="s">
        <v>396</v>
      </c>
      <c r="Q526" s="8">
        <v>1380116.0</v>
      </c>
      <c r="R526" s="3" t="s">
        <v>93</v>
      </c>
      <c r="S526" s="7">
        <v>41126.0</v>
      </c>
      <c r="T526" s="3" t="s">
        <v>63</v>
      </c>
      <c r="U526" s="6" t="s">
        <v>171</v>
      </c>
      <c r="V526" s="3" t="s">
        <v>4</v>
      </c>
      <c r="W526" s="3" t="s">
        <v>102</v>
      </c>
    </row>
    <row r="527" ht="15.75" customHeight="1">
      <c r="A527" s="6" t="s">
        <v>818</v>
      </c>
      <c r="B527" s="3" t="s">
        <v>7058</v>
      </c>
      <c r="C527" s="7">
        <v>35969.0</v>
      </c>
      <c r="D527" s="3" t="s">
        <v>63</v>
      </c>
      <c r="E527" s="3">
        <v>28.0</v>
      </c>
      <c r="F527" s="3" t="s">
        <v>183</v>
      </c>
      <c r="G527" s="6" t="s">
        <v>7059</v>
      </c>
      <c r="H527" s="3" t="s">
        <v>7060</v>
      </c>
      <c r="I527" s="3" t="s">
        <v>7061</v>
      </c>
      <c r="J527" s="3" t="s">
        <v>184</v>
      </c>
      <c r="K527" s="3" t="s">
        <v>187</v>
      </c>
      <c r="L527" s="6" t="s">
        <v>3791</v>
      </c>
      <c r="M527" s="3" t="s">
        <v>63</v>
      </c>
      <c r="N527" s="6" t="s">
        <v>3793</v>
      </c>
      <c r="O527" s="3" t="s">
        <v>63</v>
      </c>
      <c r="P527" s="3" t="s">
        <v>127</v>
      </c>
      <c r="Q527" s="8">
        <v>1541934.0</v>
      </c>
      <c r="R527" s="3" t="s">
        <v>93</v>
      </c>
      <c r="S527" s="7">
        <v>42919.0</v>
      </c>
      <c r="T527" s="3" t="s">
        <v>63</v>
      </c>
      <c r="U527" s="6" t="s">
        <v>234</v>
      </c>
      <c r="V527" s="3" t="s">
        <v>4</v>
      </c>
      <c r="W527" s="3" t="s">
        <v>102</v>
      </c>
    </row>
    <row r="528" ht="15.75" customHeight="1">
      <c r="A528" s="6" t="s">
        <v>2865</v>
      </c>
      <c r="B528" s="3" t="s">
        <v>5984</v>
      </c>
      <c r="C528" s="7">
        <v>30188.0</v>
      </c>
      <c r="D528" s="3" t="s">
        <v>63</v>
      </c>
      <c r="E528" s="3">
        <v>43.0</v>
      </c>
      <c r="F528" s="3" t="s">
        <v>183</v>
      </c>
      <c r="G528" s="6" t="s">
        <v>7062</v>
      </c>
      <c r="H528" s="3" t="s">
        <v>7063</v>
      </c>
      <c r="I528" s="3" t="s">
        <v>7064</v>
      </c>
      <c r="J528" s="3" t="s">
        <v>250</v>
      </c>
      <c r="K528" s="3" t="s">
        <v>252</v>
      </c>
      <c r="L528" s="6" t="s">
        <v>2866</v>
      </c>
      <c r="M528" s="3" t="s">
        <v>63</v>
      </c>
      <c r="N528" s="6" t="s">
        <v>2867</v>
      </c>
      <c r="O528" s="3" t="s">
        <v>63</v>
      </c>
      <c r="P528" s="3" t="s">
        <v>90</v>
      </c>
      <c r="Q528" s="3"/>
      <c r="R528" s="3" t="s">
        <v>258</v>
      </c>
      <c r="S528" s="7">
        <v>44984.0</v>
      </c>
      <c r="T528" s="3" t="s">
        <v>63</v>
      </c>
      <c r="U528" s="6" t="s">
        <v>311</v>
      </c>
      <c r="V528" s="3" t="s">
        <v>4</v>
      </c>
      <c r="W528" s="3" t="s">
        <v>102</v>
      </c>
    </row>
    <row r="529" ht="15.75" customHeight="1">
      <c r="A529" s="6" t="s">
        <v>4594</v>
      </c>
      <c r="B529" s="3" t="s">
        <v>4044</v>
      </c>
      <c r="C529" s="7">
        <v>30719.0</v>
      </c>
      <c r="D529" s="3" t="s">
        <v>63</v>
      </c>
      <c r="E529" s="3">
        <v>42.0</v>
      </c>
      <c r="F529" s="3" t="s">
        <v>70</v>
      </c>
      <c r="G529" s="6" t="s">
        <v>7065</v>
      </c>
      <c r="H529" s="3" t="s">
        <v>7066</v>
      </c>
      <c r="I529" s="3" t="s">
        <v>7067</v>
      </c>
      <c r="J529" s="3" t="s">
        <v>201</v>
      </c>
      <c r="K529" s="3" t="s">
        <v>203</v>
      </c>
      <c r="L529" s="6" t="s">
        <v>4596</v>
      </c>
      <c r="M529" s="3" t="s">
        <v>63</v>
      </c>
      <c r="N529" s="6" t="s">
        <v>4597</v>
      </c>
      <c r="O529" s="3" t="s">
        <v>63</v>
      </c>
      <c r="P529" s="3" t="s">
        <v>372</v>
      </c>
      <c r="Q529" s="3"/>
      <c r="R529" s="3" t="s">
        <v>258</v>
      </c>
      <c r="S529" s="7">
        <v>39811.0</v>
      </c>
      <c r="T529" s="3" t="s">
        <v>63</v>
      </c>
      <c r="U529" s="6" t="s">
        <v>262</v>
      </c>
      <c r="V529" s="3" t="s">
        <v>4</v>
      </c>
      <c r="W529" s="3" t="s">
        <v>102</v>
      </c>
    </row>
    <row r="530" ht="15.75" customHeight="1">
      <c r="A530" s="6" t="s">
        <v>5526</v>
      </c>
      <c r="B530" s="3" t="s">
        <v>7068</v>
      </c>
      <c r="C530" s="7">
        <v>30931.0</v>
      </c>
      <c r="D530" s="3" t="s">
        <v>63</v>
      </c>
      <c r="E530" s="3">
        <v>41.0</v>
      </c>
      <c r="F530" s="3" t="s">
        <v>183</v>
      </c>
      <c r="G530" s="6" t="s">
        <v>7069</v>
      </c>
      <c r="H530" s="3" t="s">
        <v>7070</v>
      </c>
      <c r="I530" s="3" t="s">
        <v>7071</v>
      </c>
      <c r="J530" s="3" t="s">
        <v>225</v>
      </c>
      <c r="K530" s="3" t="s">
        <v>101</v>
      </c>
      <c r="L530" s="6" t="s">
        <v>5692</v>
      </c>
      <c r="M530" s="3" t="s">
        <v>63</v>
      </c>
      <c r="N530" s="6" t="s">
        <v>5693</v>
      </c>
      <c r="O530" s="3" t="s">
        <v>63</v>
      </c>
      <c r="P530" s="3" t="s">
        <v>300</v>
      </c>
      <c r="Q530" s="8">
        <v>1089819.0</v>
      </c>
      <c r="R530" s="3" t="s">
        <v>93</v>
      </c>
      <c r="S530" s="7">
        <v>40558.0</v>
      </c>
      <c r="T530" s="3" t="s">
        <v>63</v>
      </c>
      <c r="U530" s="6" t="s">
        <v>171</v>
      </c>
      <c r="V530" s="3" t="s">
        <v>4</v>
      </c>
      <c r="W530" s="3" t="s">
        <v>102</v>
      </c>
    </row>
    <row r="531" ht="15.75" customHeight="1">
      <c r="A531" s="6" t="s">
        <v>3465</v>
      </c>
      <c r="B531" s="3" t="s">
        <v>7072</v>
      </c>
      <c r="C531" s="7">
        <v>24685.0</v>
      </c>
      <c r="D531" s="3" t="s">
        <v>63</v>
      </c>
      <c r="E531" s="3">
        <v>59.0</v>
      </c>
      <c r="F531" s="3" t="s">
        <v>70</v>
      </c>
      <c r="G531" s="6" t="s">
        <v>7073</v>
      </c>
      <c r="H531" s="3" t="s">
        <v>7074</v>
      </c>
      <c r="I531" s="3" t="s">
        <v>7075</v>
      </c>
      <c r="J531" s="3" t="s">
        <v>98</v>
      </c>
      <c r="K531" s="3" t="s">
        <v>101</v>
      </c>
      <c r="L531" s="6" t="s">
        <v>5911</v>
      </c>
      <c r="M531" s="3" t="s">
        <v>63</v>
      </c>
      <c r="N531" s="6" t="s">
        <v>5912</v>
      </c>
      <c r="O531" s="3" t="s">
        <v>63</v>
      </c>
      <c r="P531" s="3" t="s">
        <v>300</v>
      </c>
      <c r="Q531" s="8">
        <v>275457.0</v>
      </c>
      <c r="R531" s="3" t="s">
        <v>93</v>
      </c>
      <c r="S531" s="7">
        <v>42647.0</v>
      </c>
      <c r="T531" s="3" t="s">
        <v>63</v>
      </c>
      <c r="U531" s="6" t="s">
        <v>284</v>
      </c>
      <c r="V531" s="3" t="s">
        <v>4</v>
      </c>
      <c r="W531" s="3" t="s">
        <v>102</v>
      </c>
    </row>
    <row r="532" ht="15.75" customHeight="1">
      <c r="A532" s="6" t="s">
        <v>1264</v>
      </c>
      <c r="B532" s="3" t="s">
        <v>2249</v>
      </c>
      <c r="C532" s="7">
        <v>33426.0</v>
      </c>
      <c r="D532" s="3" t="s">
        <v>63</v>
      </c>
      <c r="E532" s="3">
        <v>35.0</v>
      </c>
      <c r="F532" s="3" t="s">
        <v>183</v>
      </c>
      <c r="G532" s="6" t="s">
        <v>7076</v>
      </c>
      <c r="H532" s="3" t="s">
        <v>7077</v>
      </c>
      <c r="I532" s="3" t="s">
        <v>7078</v>
      </c>
      <c r="J532" s="3" t="s">
        <v>98</v>
      </c>
      <c r="K532" s="3" t="s">
        <v>101</v>
      </c>
      <c r="L532" s="6" t="s">
        <v>1266</v>
      </c>
      <c r="M532" s="3" t="s">
        <v>63</v>
      </c>
      <c r="N532" s="6" t="s">
        <v>1268</v>
      </c>
      <c r="O532" s="3" t="s">
        <v>63</v>
      </c>
      <c r="P532" s="3" t="s">
        <v>464</v>
      </c>
      <c r="Q532" s="8">
        <v>1715826.0</v>
      </c>
      <c r="R532" s="3" t="s">
        <v>93</v>
      </c>
      <c r="S532" s="7">
        <v>42638.0</v>
      </c>
      <c r="T532" s="3" t="s">
        <v>63</v>
      </c>
      <c r="U532" s="6" t="s">
        <v>163</v>
      </c>
      <c r="V532" s="3" t="s">
        <v>4</v>
      </c>
      <c r="W532" s="3" t="s">
        <v>102</v>
      </c>
    </row>
    <row r="533" ht="15.75" customHeight="1">
      <c r="A533" s="6" t="s">
        <v>1462</v>
      </c>
      <c r="B533" s="3" t="s">
        <v>7079</v>
      </c>
      <c r="C533" s="7">
        <v>20375.0</v>
      </c>
      <c r="D533" s="3" t="s">
        <v>63</v>
      </c>
      <c r="E533" s="3">
        <v>70.0</v>
      </c>
      <c r="F533" s="3" t="s">
        <v>70</v>
      </c>
      <c r="G533" s="6" t="s">
        <v>7080</v>
      </c>
      <c r="H533" s="3" t="s">
        <v>7081</v>
      </c>
      <c r="I533" s="3" t="s">
        <v>7082</v>
      </c>
      <c r="J533" s="3" t="s">
        <v>6988</v>
      </c>
      <c r="K533" s="3" t="s">
        <v>67</v>
      </c>
      <c r="L533" s="6" t="s">
        <v>1465</v>
      </c>
      <c r="M533" s="3" t="s">
        <v>63</v>
      </c>
      <c r="N533" s="6" t="s">
        <v>1466</v>
      </c>
      <c r="O533" s="3" t="s">
        <v>63</v>
      </c>
      <c r="P533" s="3" t="s">
        <v>127</v>
      </c>
      <c r="Q533" s="8">
        <v>586848.0</v>
      </c>
      <c r="R533" s="3" t="s">
        <v>93</v>
      </c>
      <c r="S533" s="7">
        <v>40783.0</v>
      </c>
      <c r="T533" s="3" t="s">
        <v>63</v>
      </c>
      <c r="U533" s="6" t="s">
        <v>92</v>
      </c>
      <c r="V533" s="3" t="s">
        <v>4</v>
      </c>
      <c r="W533" s="3" t="s">
        <v>102</v>
      </c>
    </row>
    <row r="534" ht="15.75" customHeight="1">
      <c r="A534" s="6" t="s">
        <v>6171</v>
      </c>
      <c r="B534" s="3" t="s">
        <v>7083</v>
      </c>
      <c r="C534" s="7">
        <v>36348.0</v>
      </c>
      <c r="D534" s="3" t="s">
        <v>63</v>
      </c>
      <c r="E534" s="3">
        <v>27.0</v>
      </c>
      <c r="F534" s="3" t="s">
        <v>183</v>
      </c>
      <c r="G534" s="6" t="s">
        <v>7084</v>
      </c>
      <c r="H534" s="3" t="s">
        <v>7085</v>
      </c>
      <c r="I534" s="3" t="s">
        <v>7086</v>
      </c>
      <c r="J534" s="3" t="s">
        <v>190</v>
      </c>
      <c r="K534" s="3" t="s">
        <v>193</v>
      </c>
      <c r="L534" s="6" t="s">
        <v>1889</v>
      </c>
      <c r="M534" s="3" t="s">
        <v>63</v>
      </c>
      <c r="N534" s="6" t="s">
        <v>1892</v>
      </c>
      <c r="O534" s="3" t="s">
        <v>63</v>
      </c>
      <c r="P534" s="3" t="s">
        <v>127</v>
      </c>
      <c r="Q534" s="8">
        <v>420071.0</v>
      </c>
      <c r="R534" s="3" t="s">
        <v>93</v>
      </c>
      <c r="S534" s="7">
        <v>42517.0</v>
      </c>
      <c r="T534" s="3" t="s">
        <v>63</v>
      </c>
      <c r="U534" s="6" t="s">
        <v>97</v>
      </c>
      <c r="V534" s="3" t="s">
        <v>4</v>
      </c>
      <c r="W534" s="3" t="s">
        <v>378</v>
      </c>
    </row>
    <row r="535" ht="15.75" customHeight="1">
      <c r="A535" s="6" t="s">
        <v>6009</v>
      </c>
      <c r="B535" s="3" t="s">
        <v>7087</v>
      </c>
      <c r="C535" s="7">
        <v>22460.0</v>
      </c>
      <c r="D535" s="3" t="s">
        <v>63</v>
      </c>
      <c r="E535" s="3">
        <v>65.0</v>
      </c>
      <c r="F535" s="3" t="s">
        <v>183</v>
      </c>
      <c r="G535" s="6" t="s">
        <v>7088</v>
      </c>
      <c r="H535" s="3" t="s">
        <v>7089</v>
      </c>
      <c r="I535" s="3" t="s">
        <v>7090</v>
      </c>
      <c r="J535" s="3" t="s">
        <v>201</v>
      </c>
      <c r="K535" s="3" t="s">
        <v>203</v>
      </c>
      <c r="L535" s="6" t="s">
        <v>6010</v>
      </c>
      <c r="M535" s="3" t="s">
        <v>63</v>
      </c>
      <c r="N535" s="6" t="s">
        <v>6011</v>
      </c>
      <c r="O535" s="3" t="s">
        <v>63</v>
      </c>
      <c r="P535" s="3" t="s">
        <v>324</v>
      </c>
      <c r="Q535" s="3"/>
      <c r="R535" s="3" t="s">
        <v>258</v>
      </c>
      <c r="S535" s="7">
        <v>45237.0</v>
      </c>
      <c r="T535" s="3" t="s">
        <v>63</v>
      </c>
      <c r="U535" s="6" t="s">
        <v>171</v>
      </c>
      <c r="V535" s="3" t="s">
        <v>237</v>
      </c>
      <c r="W535" s="3" t="s">
        <v>102</v>
      </c>
    </row>
    <row r="536" ht="15.75" customHeight="1">
      <c r="A536" s="6" t="s">
        <v>1939</v>
      </c>
      <c r="B536" s="3" t="s">
        <v>7091</v>
      </c>
      <c r="C536" s="7">
        <v>21196.0</v>
      </c>
      <c r="D536" s="3" t="s">
        <v>63</v>
      </c>
      <c r="E536" s="3">
        <v>68.0</v>
      </c>
      <c r="F536" s="3" t="s">
        <v>70</v>
      </c>
      <c r="G536" s="6" t="s">
        <v>7092</v>
      </c>
      <c r="H536" s="3" t="s">
        <v>7093</v>
      </c>
      <c r="I536" s="3" t="s">
        <v>7094</v>
      </c>
      <c r="J536" s="3" t="s">
        <v>190</v>
      </c>
      <c r="K536" s="3" t="s">
        <v>193</v>
      </c>
      <c r="L536" s="6" t="s">
        <v>3175</v>
      </c>
      <c r="M536" s="3" t="s">
        <v>63</v>
      </c>
      <c r="N536" s="6" t="s">
        <v>3178</v>
      </c>
      <c r="O536" s="3" t="s">
        <v>63</v>
      </c>
      <c r="P536" s="3" t="s">
        <v>90</v>
      </c>
      <c r="Q536" s="8">
        <v>447685.0</v>
      </c>
      <c r="R536" s="3" t="s">
        <v>93</v>
      </c>
      <c r="S536" s="7">
        <v>43052.0</v>
      </c>
      <c r="T536" s="3" t="s">
        <v>63</v>
      </c>
      <c r="U536" s="6" t="s">
        <v>179</v>
      </c>
      <c r="V536" s="3" t="s">
        <v>4</v>
      </c>
      <c r="W536" s="3" t="s">
        <v>102</v>
      </c>
    </row>
    <row r="537" ht="15.75" customHeight="1">
      <c r="A537" s="6" t="s">
        <v>1121</v>
      </c>
      <c r="B537" s="3" t="s">
        <v>7095</v>
      </c>
      <c r="C537" s="7">
        <v>46807.0</v>
      </c>
      <c r="D537" s="3" t="s">
        <v>1155</v>
      </c>
      <c r="E537" s="3"/>
      <c r="F537" s="3" t="s">
        <v>183</v>
      </c>
      <c r="G537" s="6" t="s">
        <v>7096</v>
      </c>
      <c r="H537" s="3" t="s">
        <v>7097</v>
      </c>
      <c r="I537" s="3" t="s">
        <v>7098</v>
      </c>
      <c r="J537" s="3" t="s">
        <v>251</v>
      </c>
      <c r="K537" s="3" t="s">
        <v>251</v>
      </c>
      <c r="L537" s="6" t="s">
        <v>1123</v>
      </c>
      <c r="M537" s="3" t="s">
        <v>63</v>
      </c>
      <c r="N537" s="6" t="s">
        <v>1126</v>
      </c>
      <c r="O537" s="3" t="s">
        <v>63</v>
      </c>
      <c r="P537" s="3" t="s">
        <v>464</v>
      </c>
      <c r="Q537" s="3"/>
      <c r="R537" s="3" t="s">
        <v>258</v>
      </c>
      <c r="S537" s="7">
        <v>43170.0</v>
      </c>
      <c r="T537" s="3" t="s">
        <v>1178</v>
      </c>
      <c r="U537" s="6" t="s">
        <v>397</v>
      </c>
      <c r="V537" s="3" t="s">
        <v>4</v>
      </c>
      <c r="W537" s="3" t="s">
        <v>102</v>
      </c>
    </row>
    <row r="538" ht="15.75" customHeight="1">
      <c r="A538" s="6" t="s">
        <v>2980</v>
      </c>
      <c r="B538" s="3" t="s">
        <v>7099</v>
      </c>
      <c r="C538" s="7">
        <v>36244.0</v>
      </c>
      <c r="D538" s="3" t="s">
        <v>63</v>
      </c>
      <c r="E538" s="3">
        <v>27.0</v>
      </c>
      <c r="F538" s="3" t="s">
        <v>183</v>
      </c>
      <c r="G538" s="6" t="s">
        <v>7100</v>
      </c>
      <c r="H538" s="3" t="s">
        <v>7101</v>
      </c>
      <c r="I538" s="3" t="s">
        <v>7102</v>
      </c>
      <c r="J538" s="3" t="s">
        <v>250</v>
      </c>
      <c r="K538" s="3" t="s">
        <v>252</v>
      </c>
      <c r="L538" s="6" t="s">
        <v>3095</v>
      </c>
      <c r="M538" s="3" t="s">
        <v>63</v>
      </c>
      <c r="N538" s="6" t="s">
        <v>3096</v>
      </c>
      <c r="O538" s="3" t="s">
        <v>63</v>
      </c>
      <c r="P538" s="3" t="s">
        <v>464</v>
      </c>
      <c r="Q538" s="8">
        <v>797027.0</v>
      </c>
      <c r="R538" s="3" t="s">
        <v>93</v>
      </c>
      <c r="S538" s="7">
        <v>45740.0</v>
      </c>
      <c r="T538" s="3" t="s">
        <v>63</v>
      </c>
      <c r="U538" s="6" t="s">
        <v>36</v>
      </c>
      <c r="V538" s="3" t="s">
        <v>4</v>
      </c>
      <c r="W538" s="3" t="s">
        <v>102</v>
      </c>
    </row>
    <row r="539" ht="15.75" customHeight="1">
      <c r="A539" s="6" t="s">
        <v>5193</v>
      </c>
      <c r="B539" s="3" t="s">
        <v>7103</v>
      </c>
      <c r="C539" s="7">
        <v>21796.0</v>
      </c>
      <c r="D539" s="3" t="s">
        <v>63</v>
      </c>
      <c r="E539" s="3">
        <v>66.0</v>
      </c>
      <c r="F539" s="3" t="s">
        <v>70</v>
      </c>
      <c r="G539" s="6" t="s">
        <v>7104</v>
      </c>
      <c r="H539" s="3" t="s">
        <v>7105</v>
      </c>
      <c r="I539" s="3" t="s">
        <v>7106</v>
      </c>
      <c r="J539" s="3" t="s">
        <v>225</v>
      </c>
      <c r="K539" s="3" t="s">
        <v>101</v>
      </c>
      <c r="L539" s="6" t="s">
        <v>5715</v>
      </c>
      <c r="M539" s="3" t="s">
        <v>63</v>
      </c>
      <c r="N539" s="6" t="s">
        <v>5716</v>
      </c>
      <c r="O539" s="3" t="s">
        <v>63</v>
      </c>
      <c r="P539" s="3" t="s">
        <v>202</v>
      </c>
      <c r="Q539" s="8">
        <v>1422713.0</v>
      </c>
      <c r="R539" s="3" t="s">
        <v>93</v>
      </c>
      <c r="S539" s="7">
        <v>44042.0</v>
      </c>
      <c r="T539" s="3" t="s">
        <v>63</v>
      </c>
      <c r="U539" s="6" t="s">
        <v>179</v>
      </c>
      <c r="V539" s="3" t="s">
        <v>4</v>
      </c>
      <c r="W539" s="3" t="s">
        <v>102</v>
      </c>
    </row>
    <row r="540" ht="15.75" customHeight="1">
      <c r="A540" s="6" t="s">
        <v>5856</v>
      </c>
      <c r="B540" s="3" t="s">
        <v>7107</v>
      </c>
      <c r="C540" s="7">
        <v>26874.0</v>
      </c>
      <c r="D540" s="3" t="s">
        <v>63</v>
      </c>
      <c r="E540" s="3">
        <v>53.0</v>
      </c>
      <c r="F540" s="3" t="s">
        <v>183</v>
      </c>
      <c r="G540" s="6" t="s">
        <v>7108</v>
      </c>
      <c r="H540" s="3" t="s">
        <v>7109</v>
      </c>
      <c r="I540" s="3" t="s">
        <v>7110</v>
      </c>
      <c r="J540" s="3" t="s">
        <v>327</v>
      </c>
      <c r="K540" s="3" t="s">
        <v>169</v>
      </c>
      <c r="L540" s="6" t="s">
        <v>6372</v>
      </c>
      <c r="M540" s="3" t="s">
        <v>63</v>
      </c>
      <c r="N540" s="6" t="s">
        <v>6373</v>
      </c>
      <c r="O540" s="3" t="s">
        <v>620</v>
      </c>
      <c r="P540" s="3" t="s">
        <v>372</v>
      </c>
      <c r="Q540" s="3"/>
      <c r="R540" s="3" t="s">
        <v>258</v>
      </c>
      <c r="S540" s="7">
        <v>41518.0</v>
      </c>
      <c r="T540" s="3" t="s">
        <v>63</v>
      </c>
      <c r="U540" s="6" t="s">
        <v>179</v>
      </c>
      <c r="V540" s="3" t="s">
        <v>4</v>
      </c>
      <c r="W540" s="3" t="s">
        <v>102</v>
      </c>
    </row>
    <row r="541" ht="15.75" customHeight="1">
      <c r="A541" s="6" t="s">
        <v>2711</v>
      </c>
      <c r="B541" s="3" t="s">
        <v>3320</v>
      </c>
      <c r="C541" s="7">
        <v>34771.0</v>
      </c>
      <c r="D541" s="3" t="s">
        <v>63</v>
      </c>
      <c r="E541" s="3">
        <v>31.0</v>
      </c>
      <c r="F541" s="3" t="s">
        <v>70</v>
      </c>
      <c r="G541" s="6" t="s">
        <v>1049</v>
      </c>
      <c r="H541" s="3" t="s">
        <v>7111</v>
      </c>
      <c r="I541" s="3" t="s">
        <v>7112</v>
      </c>
      <c r="J541" s="3" t="s">
        <v>184</v>
      </c>
      <c r="K541" s="3" t="s">
        <v>187</v>
      </c>
      <c r="L541" s="6" t="s">
        <v>2712</v>
      </c>
      <c r="M541" s="3" t="s">
        <v>63</v>
      </c>
      <c r="N541" s="6" t="s">
        <v>2713</v>
      </c>
      <c r="O541" s="3" t="s">
        <v>63</v>
      </c>
      <c r="P541" s="3" t="s">
        <v>396</v>
      </c>
      <c r="Q541" s="8">
        <v>153671.0</v>
      </c>
      <c r="R541" s="3" t="s">
        <v>93</v>
      </c>
      <c r="S541" s="7">
        <v>40768.0</v>
      </c>
      <c r="T541" s="3" t="s">
        <v>63</v>
      </c>
      <c r="U541" s="6" t="s">
        <v>92</v>
      </c>
      <c r="V541" s="3" t="s">
        <v>4</v>
      </c>
      <c r="W541" s="3" t="s">
        <v>102</v>
      </c>
    </row>
    <row r="542" ht="15.75" customHeight="1">
      <c r="A542" s="6" t="s">
        <v>905</v>
      </c>
      <c r="B542" s="3" t="s">
        <v>7113</v>
      </c>
      <c r="C542" s="7">
        <v>20380.0</v>
      </c>
      <c r="D542" s="3" t="s">
        <v>63</v>
      </c>
      <c r="E542" s="3">
        <v>70.0</v>
      </c>
      <c r="F542" s="3" t="s">
        <v>70</v>
      </c>
      <c r="G542" s="6" t="s">
        <v>7114</v>
      </c>
      <c r="H542" s="3" t="s">
        <v>7115</v>
      </c>
      <c r="I542" s="3" t="s">
        <v>7116</v>
      </c>
      <c r="J542" s="3" t="s">
        <v>327</v>
      </c>
      <c r="K542" s="3" t="s">
        <v>169</v>
      </c>
      <c r="L542" s="6" t="s">
        <v>7117</v>
      </c>
      <c r="M542" s="3" t="s">
        <v>63</v>
      </c>
      <c r="N542" s="6" t="s">
        <v>7118</v>
      </c>
      <c r="O542" s="3" t="s">
        <v>63</v>
      </c>
      <c r="P542" s="3" t="s">
        <v>160</v>
      </c>
      <c r="Q542" s="3"/>
      <c r="R542" s="3" t="s">
        <v>258</v>
      </c>
      <c r="S542" s="7">
        <v>39386.0</v>
      </c>
      <c r="T542" s="3" t="s">
        <v>63</v>
      </c>
      <c r="U542" s="6" t="s">
        <v>221</v>
      </c>
      <c r="V542" s="3" t="s">
        <v>4</v>
      </c>
      <c r="W542" s="3" t="s">
        <v>102</v>
      </c>
    </row>
    <row r="543" ht="15.75" customHeight="1">
      <c r="A543" s="6" t="s">
        <v>4360</v>
      </c>
      <c r="B543" s="3" t="s">
        <v>7119</v>
      </c>
      <c r="C543" s="7">
        <v>38654.0</v>
      </c>
      <c r="D543" s="3" t="s">
        <v>63</v>
      </c>
      <c r="E543" s="3">
        <v>20.0</v>
      </c>
      <c r="F543" s="3" t="s">
        <v>183</v>
      </c>
      <c r="G543" s="6" t="s">
        <v>7120</v>
      </c>
      <c r="H543" s="3" t="s">
        <v>7121</v>
      </c>
      <c r="I543" s="3" t="s">
        <v>7122</v>
      </c>
      <c r="J543" s="3" t="s">
        <v>271</v>
      </c>
      <c r="K543" s="3" t="s">
        <v>273</v>
      </c>
      <c r="L543" s="6" t="s">
        <v>7123</v>
      </c>
      <c r="M543" s="3" t="s">
        <v>63</v>
      </c>
      <c r="N543" s="6" t="s">
        <v>7124</v>
      </c>
      <c r="O543" s="3" t="s">
        <v>63</v>
      </c>
      <c r="P543" s="3" t="s">
        <v>464</v>
      </c>
      <c r="Q543" s="8">
        <v>1181313.0</v>
      </c>
      <c r="R543" s="3" t="s">
        <v>93</v>
      </c>
      <c r="S543" s="7">
        <v>40495.0</v>
      </c>
      <c r="T543" s="3" t="s">
        <v>63</v>
      </c>
      <c r="U543" s="6" t="s">
        <v>36</v>
      </c>
      <c r="V543" s="3" t="s">
        <v>4</v>
      </c>
      <c r="W543" s="3" t="s">
        <v>102</v>
      </c>
    </row>
    <row r="544" ht="15.75" customHeight="1">
      <c r="A544" s="6" t="s">
        <v>1297</v>
      </c>
      <c r="B544" s="3" t="s">
        <v>7125</v>
      </c>
      <c r="C544" s="7">
        <v>32137.0</v>
      </c>
      <c r="D544" s="3" t="s">
        <v>63</v>
      </c>
      <c r="E544" s="3">
        <v>38.0</v>
      </c>
      <c r="F544" s="3" t="s">
        <v>70</v>
      </c>
      <c r="G544" s="6" t="s">
        <v>7126</v>
      </c>
      <c r="H544" s="3" t="s">
        <v>7127</v>
      </c>
      <c r="I544" s="3" t="s">
        <v>7128</v>
      </c>
      <c r="J544" s="3" t="s">
        <v>190</v>
      </c>
      <c r="K544" s="3" t="s">
        <v>193</v>
      </c>
      <c r="L544" s="6" t="s">
        <v>6435</v>
      </c>
      <c r="M544" s="3" t="s">
        <v>63</v>
      </c>
      <c r="N544" s="6" t="s">
        <v>6436</v>
      </c>
      <c r="O544" s="3" t="s">
        <v>63</v>
      </c>
      <c r="P544" s="3" t="s">
        <v>372</v>
      </c>
      <c r="Q544" s="8">
        <v>1531197.0</v>
      </c>
      <c r="R544" s="3" t="s">
        <v>93</v>
      </c>
      <c r="S544" s="7">
        <v>39485.0</v>
      </c>
      <c r="T544" s="3" t="s">
        <v>63</v>
      </c>
      <c r="U544" s="6" t="s">
        <v>284</v>
      </c>
      <c r="V544" s="3" t="s">
        <v>4</v>
      </c>
      <c r="W544" s="3" t="s">
        <v>102</v>
      </c>
    </row>
    <row r="545" ht="15.75" customHeight="1">
      <c r="A545" s="6" t="s">
        <v>3467</v>
      </c>
      <c r="B545" s="3" t="s">
        <v>6989</v>
      </c>
      <c r="C545" s="7">
        <v>36480.0</v>
      </c>
      <c r="D545" s="3" t="s">
        <v>63</v>
      </c>
      <c r="E545" s="3">
        <v>26.0</v>
      </c>
      <c r="F545" s="3" t="s">
        <v>70</v>
      </c>
      <c r="G545" s="6" t="s">
        <v>7129</v>
      </c>
      <c r="H545" s="3" t="s">
        <v>7130</v>
      </c>
      <c r="I545" s="3" t="s">
        <v>7131</v>
      </c>
      <c r="J545" s="3" t="s">
        <v>250</v>
      </c>
      <c r="K545" s="3" t="s">
        <v>252</v>
      </c>
      <c r="L545" s="6" t="s">
        <v>3469</v>
      </c>
      <c r="M545" s="3" t="s">
        <v>63</v>
      </c>
      <c r="N545" s="6" t="s">
        <v>3470</v>
      </c>
      <c r="O545" s="3" t="s">
        <v>63</v>
      </c>
      <c r="P545" s="3" t="s">
        <v>160</v>
      </c>
      <c r="Q545" s="8">
        <v>456349.0</v>
      </c>
      <c r="R545" s="3" t="s">
        <v>93</v>
      </c>
      <c r="S545" s="7">
        <v>40465.0</v>
      </c>
      <c r="T545" s="3" t="s">
        <v>63</v>
      </c>
      <c r="U545" s="6" t="s">
        <v>323</v>
      </c>
      <c r="V545" s="3" t="s">
        <v>237</v>
      </c>
      <c r="W545" s="3" t="s">
        <v>102</v>
      </c>
    </row>
    <row r="546" ht="15.75" customHeight="1">
      <c r="A546" s="6" t="s">
        <v>3213</v>
      </c>
      <c r="B546" s="3" t="s">
        <v>7132</v>
      </c>
      <c r="C546" s="7">
        <v>36576.0</v>
      </c>
      <c r="D546" s="3" t="s">
        <v>63</v>
      </c>
      <c r="E546" s="3">
        <v>26.0</v>
      </c>
      <c r="F546" s="3" t="s">
        <v>183</v>
      </c>
      <c r="G546" s="6" t="s">
        <v>7133</v>
      </c>
      <c r="H546" s="3" t="s">
        <v>7134</v>
      </c>
      <c r="I546" s="3" t="s">
        <v>7135</v>
      </c>
      <c r="J546" s="3" t="s">
        <v>98</v>
      </c>
      <c r="K546" s="3" t="s">
        <v>101</v>
      </c>
      <c r="L546" s="3"/>
      <c r="M546" s="3" t="s">
        <v>88</v>
      </c>
      <c r="N546" s="6" t="s">
        <v>4053</v>
      </c>
      <c r="O546" s="3" t="s">
        <v>63</v>
      </c>
      <c r="P546" s="3" t="s">
        <v>160</v>
      </c>
      <c r="Q546" s="3"/>
      <c r="R546" s="3" t="s">
        <v>258</v>
      </c>
      <c r="S546" s="7">
        <v>41158.0</v>
      </c>
      <c r="T546" s="3" t="s">
        <v>63</v>
      </c>
      <c r="U546" s="6" t="s">
        <v>333</v>
      </c>
      <c r="V546" s="3" t="s">
        <v>4</v>
      </c>
      <c r="W546" s="3" t="s">
        <v>102</v>
      </c>
    </row>
    <row r="547" ht="15.75" customHeight="1">
      <c r="A547" s="6" t="s">
        <v>4134</v>
      </c>
      <c r="B547" s="3" t="s">
        <v>7136</v>
      </c>
      <c r="C547" s="7">
        <v>23907.0</v>
      </c>
      <c r="D547" s="3" t="s">
        <v>63</v>
      </c>
      <c r="E547" s="3">
        <v>61.0</v>
      </c>
      <c r="F547" s="3" t="s">
        <v>70</v>
      </c>
      <c r="G547" s="6" t="s">
        <v>1049</v>
      </c>
      <c r="H547" s="3" t="s">
        <v>7137</v>
      </c>
      <c r="I547" s="3" t="s">
        <v>7138</v>
      </c>
      <c r="J547" s="3" t="s">
        <v>167</v>
      </c>
      <c r="K547" s="3" t="s">
        <v>169</v>
      </c>
      <c r="L547" s="6" t="s">
        <v>5027</v>
      </c>
      <c r="M547" s="3" t="s">
        <v>63</v>
      </c>
      <c r="N547" s="6" t="s">
        <v>5029</v>
      </c>
      <c r="O547" s="3" t="s">
        <v>63</v>
      </c>
      <c r="P547" s="3" t="s">
        <v>372</v>
      </c>
      <c r="Q547" s="3"/>
      <c r="R547" s="3" t="s">
        <v>258</v>
      </c>
      <c r="S547" s="7">
        <v>45936.0</v>
      </c>
      <c r="T547" s="3" t="s">
        <v>63</v>
      </c>
      <c r="U547" s="6" t="s">
        <v>80</v>
      </c>
      <c r="V547" s="3" t="s">
        <v>4</v>
      </c>
      <c r="W547" s="3" t="s">
        <v>102</v>
      </c>
    </row>
    <row r="548" ht="15.75" customHeight="1">
      <c r="A548" s="6" t="s">
        <v>2487</v>
      </c>
      <c r="B548" s="3" t="s">
        <v>6770</v>
      </c>
      <c r="C548" s="7">
        <v>46454.0</v>
      </c>
      <c r="D548" s="3" t="s">
        <v>1155</v>
      </c>
      <c r="E548" s="3"/>
      <c r="F548" s="3" t="s">
        <v>70</v>
      </c>
      <c r="G548" s="6" t="s">
        <v>7139</v>
      </c>
      <c r="H548" s="3" t="s">
        <v>7140</v>
      </c>
      <c r="I548" s="3" t="s">
        <v>7141</v>
      </c>
      <c r="J548" s="3" t="s">
        <v>43</v>
      </c>
      <c r="K548" s="3" t="s">
        <v>45</v>
      </c>
      <c r="L548" s="6" t="s">
        <v>2490</v>
      </c>
      <c r="M548" s="3" t="s">
        <v>63</v>
      </c>
      <c r="N548" s="6" t="s">
        <v>2492</v>
      </c>
      <c r="O548" s="3" t="s">
        <v>63</v>
      </c>
      <c r="P548" s="3" t="s">
        <v>396</v>
      </c>
      <c r="Q548" s="8">
        <v>716669.0</v>
      </c>
      <c r="R548" s="3" t="s">
        <v>93</v>
      </c>
      <c r="S548" s="7">
        <v>41445.0</v>
      </c>
      <c r="T548" s="3" t="s">
        <v>1178</v>
      </c>
      <c r="U548" s="6" t="s">
        <v>234</v>
      </c>
      <c r="V548" s="3" t="s">
        <v>4</v>
      </c>
      <c r="W548" s="3" t="s">
        <v>102</v>
      </c>
    </row>
    <row r="549" ht="15.75" customHeight="1">
      <c r="A549" s="6" t="s">
        <v>116</v>
      </c>
      <c r="B549" s="3" t="s">
        <v>7142</v>
      </c>
      <c r="C549" s="7">
        <v>22828.0</v>
      </c>
      <c r="D549" s="3" t="s">
        <v>63</v>
      </c>
      <c r="E549" s="3">
        <v>64.0</v>
      </c>
      <c r="F549" s="3" t="s">
        <v>70</v>
      </c>
      <c r="G549" s="6" t="s">
        <v>7143</v>
      </c>
      <c r="H549" s="3" t="s">
        <v>7144</v>
      </c>
      <c r="I549" s="3" t="s">
        <v>7145</v>
      </c>
      <c r="J549" s="3" t="s">
        <v>65</v>
      </c>
      <c r="K549" s="3" t="s">
        <v>67</v>
      </c>
      <c r="L549" s="6" t="s">
        <v>120</v>
      </c>
      <c r="M549" s="3" t="s">
        <v>63</v>
      </c>
      <c r="N549" s="6" t="s">
        <v>122</v>
      </c>
      <c r="O549" s="3" t="s">
        <v>63</v>
      </c>
      <c r="P549" s="3" t="s">
        <v>160</v>
      </c>
      <c r="Q549" s="3"/>
      <c r="R549" s="3" t="s">
        <v>258</v>
      </c>
      <c r="S549" s="7">
        <v>41134.0</v>
      </c>
      <c r="T549" s="3" t="s">
        <v>63</v>
      </c>
      <c r="U549" s="6" t="s">
        <v>221</v>
      </c>
      <c r="V549" s="3" t="s">
        <v>4</v>
      </c>
      <c r="W549" s="3" t="s">
        <v>102</v>
      </c>
    </row>
    <row r="550" ht="15.75" customHeight="1">
      <c r="A550" s="6" t="s">
        <v>726</v>
      </c>
      <c r="B550" s="3" t="s">
        <v>7146</v>
      </c>
      <c r="C550" s="7">
        <v>38604.0</v>
      </c>
      <c r="D550" s="3" t="s">
        <v>63</v>
      </c>
      <c r="E550" s="3">
        <v>20.0</v>
      </c>
      <c r="F550" s="3" t="s">
        <v>70</v>
      </c>
      <c r="G550" s="6" t="s">
        <v>7147</v>
      </c>
      <c r="H550" s="3" t="s">
        <v>7148</v>
      </c>
      <c r="I550" s="3" t="s">
        <v>7149</v>
      </c>
      <c r="J550" s="3" t="s">
        <v>271</v>
      </c>
      <c r="K550" s="3" t="s">
        <v>273</v>
      </c>
      <c r="L550" s="6" t="s">
        <v>727</v>
      </c>
      <c r="M550" s="3" t="s">
        <v>63</v>
      </c>
      <c r="N550" s="6" t="s">
        <v>730</v>
      </c>
      <c r="O550" s="3" t="s">
        <v>63</v>
      </c>
      <c r="P550" s="3" t="s">
        <v>160</v>
      </c>
      <c r="Q550" s="3"/>
      <c r="R550" s="3" t="s">
        <v>258</v>
      </c>
      <c r="S550" s="7">
        <v>46002.0</v>
      </c>
      <c r="T550" s="3" t="s">
        <v>63</v>
      </c>
      <c r="U550" s="6" t="s">
        <v>146</v>
      </c>
      <c r="V550" s="3" t="s">
        <v>4</v>
      </c>
      <c r="W550" s="3" t="s">
        <v>102</v>
      </c>
    </row>
    <row r="551" ht="15.75" customHeight="1">
      <c r="A551" s="6" t="s">
        <v>7150</v>
      </c>
      <c r="B551" s="3" t="s">
        <v>7151</v>
      </c>
      <c r="C551" s="7">
        <v>31895.0</v>
      </c>
      <c r="D551" s="3" t="s">
        <v>63</v>
      </c>
      <c r="E551" s="3">
        <v>39.0</v>
      </c>
      <c r="F551" s="3" t="s">
        <v>183</v>
      </c>
      <c r="G551" s="6" t="s">
        <v>7152</v>
      </c>
      <c r="H551" s="3" t="s">
        <v>7153</v>
      </c>
      <c r="I551" s="3" t="s">
        <v>7154</v>
      </c>
      <c r="J551" s="3" t="s">
        <v>349</v>
      </c>
      <c r="K551" s="3" t="s">
        <v>45</v>
      </c>
      <c r="L551" s="6" t="s">
        <v>7155</v>
      </c>
      <c r="M551" s="3" t="s">
        <v>63</v>
      </c>
      <c r="N551" s="6" t="s">
        <v>7156</v>
      </c>
      <c r="O551" s="3" t="s">
        <v>63</v>
      </c>
      <c r="P551" s="3" t="s">
        <v>202</v>
      </c>
      <c r="Q551" s="8">
        <v>244045.0</v>
      </c>
      <c r="R551" s="3" t="s">
        <v>93</v>
      </c>
      <c r="S551" s="7">
        <v>44016.0</v>
      </c>
      <c r="T551" s="3" t="s">
        <v>63</v>
      </c>
      <c r="U551" s="6" t="s">
        <v>401</v>
      </c>
      <c r="V551" s="3" t="s">
        <v>4</v>
      </c>
      <c r="W551" s="3" t="s">
        <v>102</v>
      </c>
    </row>
    <row r="552" ht="15.75" customHeight="1">
      <c r="A552" s="6" t="s">
        <v>1461</v>
      </c>
      <c r="B552" s="3" t="s">
        <v>7157</v>
      </c>
      <c r="C552" s="7">
        <v>23258.0</v>
      </c>
      <c r="D552" s="3" t="s">
        <v>63</v>
      </c>
      <c r="E552" s="3">
        <v>62.0</v>
      </c>
      <c r="F552" s="3" t="s">
        <v>70</v>
      </c>
      <c r="G552" s="6" t="s">
        <v>7158</v>
      </c>
      <c r="H552" s="3" t="s">
        <v>7159</v>
      </c>
      <c r="I552" s="3" t="s">
        <v>7160</v>
      </c>
      <c r="J552" s="3" t="s">
        <v>349</v>
      </c>
      <c r="K552" s="3" t="s">
        <v>45</v>
      </c>
      <c r="L552" s="6" t="s">
        <v>5722</v>
      </c>
      <c r="M552" s="3" t="s">
        <v>63</v>
      </c>
      <c r="N552" s="6" t="s">
        <v>5723</v>
      </c>
      <c r="O552" s="3" t="s">
        <v>63</v>
      </c>
      <c r="P552" s="3" t="s">
        <v>202</v>
      </c>
      <c r="Q552" s="3"/>
      <c r="R552" s="3" t="s">
        <v>258</v>
      </c>
      <c r="S552" s="7">
        <v>39878.0</v>
      </c>
      <c r="T552" s="3" t="s">
        <v>63</v>
      </c>
      <c r="U552" s="6" t="s">
        <v>397</v>
      </c>
      <c r="V552" s="3" t="s">
        <v>4</v>
      </c>
      <c r="W552" s="3" t="s">
        <v>102</v>
      </c>
    </row>
    <row r="553" ht="15.75" customHeight="1">
      <c r="A553" s="6" t="s">
        <v>3987</v>
      </c>
      <c r="B553" s="3" t="s">
        <v>5457</v>
      </c>
      <c r="C553" s="7">
        <v>29180.0</v>
      </c>
      <c r="D553" s="3" t="s">
        <v>63</v>
      </c>
      <c r="E553" s="3">
        <v>46.0</v>
      </c>
      <c r="F553" s="3" t="s">
        <v>70</v>
      </c>
      <c r="G553" s="6" t="s">
        <v>7161</v>
      </c>
      <c r="H553" s="3" t="s">
        <v>5459</v>
      </c>
      <c r="I553" s="3" t="s">
        <v>5461</v>
      </c>
      <c r="J553" s="3" t="s">
        <v>271</v>
      </c>
      <c r="K553" s="3" t="s">
        <v>273</v>
      </c>
      <c r="L553" s="6" t="s">
        <v>4496</v>
      </c>
      <c r="M553" s="3" t="s">
        <v>63</v>
      </c>
      <c r="N553" s="6" t="s">
        <v>4499</v>
      </c>
      <c r="O553" s="3" t="s">
        <v>63</v>
      </c>
      <c r="P553" s="3" t="s">
        <v>202</v>
      </c>
      <c r="Q553" s="8">
        <v>1362053.0</v>
      </c>
      <c r="R553" s="3" t="s">
        <v>93</v>
      </c>
      <c r="S553" s="7">
        <v>43112.0</v>
      </c>
      <c r="T553" s="3" t="s">
        <v>63</v>
      </c>
      <c r="U553" s="6" t="s">
        <v>397</v>
      </c>
      <c r="V553" s="3" t="s">
        <v>4</v>
      </c>
      <c r="W553" s="3" t="s">
        <v>378</v>
      </c>
    </row>
    <row r="554" ht="15.75" customHeight="1">
      <c r="A554" s="6" t="s">
        <v>2417</v>
      </c>
      <c r="B554" s="3" t="s">
        <v>3961</v>
      </c>
      <c r="C554" s="7">
        <v>47486.0</v>
      </c>
      <c r="D554" s="3" t="s">
        <v>1155</v>
      </c>
      <c r="E554" s="3"/>
      <c r="F554" s="3" t="s">
        <v>70</v>
      </c>
      <c r="G554" s="6" t="s">
        <v>7162</v>
      </c>
      <c r="H554" s="3" t="s">
        <v>3964</v>
      </c>
      <c r="I554" s="3" t="s">
        <v>3966</v>
      </c>
      <c r="J554" s="3" t="s">
        <v>305</v>
      </c>
      <c r="K554" s="3" t="s">
        <v>193</v>
      </c>
      <c r="L554" s="6" t="s">
        <v>2419</v>
      </c>
      <c r="M554" s="3" t="s">
        <v>63</v>
      </c>
      <c r="N554" s="6" t="s">
        <v>2420</v>
      </c>
      <c r="O554" s="3" t="s">
        <v>63</v>
      </c>
      <c r="P554" s="3" t="s">
        <v>324</v>
      </c>
      <c r="Q554" s="8">
        <v>2083567.0</v>
      </c>
      <c r="R554" s="3" t="s">
        <v>93</v>
      </c>
      <c r="S554" s="7">
        <v>45175.0</v>
      </c>
      <c r="T554" s="3" t="s">
        <v>1178</v>
      </c>
      <c r="U554" s="6" t="s">
        <v>171</v>
      </c>
      <c r="V554" s="3" t="s">
        <v>237</v>
      </c>
      <c r="W554" s="3" t="s">
        <v>378</v>
      </c>
    </row>
    <row r="555" ht="15.75" customHeight="1">
      <c r="A555" s="6" t="s">
        <v>6220</v>
      </c>
      <c r="B555" s="3" t="s">
        <v>7163</v>
      </c>
      <c r="C555" s="7">
        <v>22594.0</v>
      </c>
      <c r="D555" s="3" t="s">
        <v>63</v>
      </c>
      <c r="E555" s="3">
        <v>64.0</v>
      </c>
      <c r="F555" s="3" t="s">
        <v>183</v>
      </c>
      <c r="G555" s="6" t="s">
        <v>7164</v>
      </c>
      <c r="H555" s="3" t="s">
        <v>7165</v>
      </c>
      <c r="I555" s="3" t="s">
        <v>7166</v>
      </c>
      <c r="J555" s="3" t="s">
        <v>379</v>
      </c>
      <c r="K555" s="3" t="s">
        <v>229</v>
      </c>
      <c r="L555" s="6" t="s">
        <v>6221</v>
      </c>
      <c r="M555" s="3" t="s">
        <v>63</v>
      </c>
      <c r="N555" s="6" t="s">
        <v>6222</v>
      </c>
      <c r="O555" s="3" t="s">
        <v>63</v>
      </c>
      <c r="P555" s="3" t="s">
        <v>300</v>
      </c>
      <c r="Q555" s="3"/>
      <c r="R555" s="3" t="s">
        <v>258</v>
      </c>
      <c r="S555" s="7">
        <v>40547.0</v>
      </c>
      <c r="T555" s="3" t="s">
        <v>63</v>
      </c>
      <c r="U555" s="6" t="s">
        <v>129</v>
      </c>
      <c r="V555" s="3" t="s">
        <v>4</v>
      </c>
      <c r="W555" s="3" t="s">
        <v>102</v>
      </c>
    </row>
    <row r="556" ht="15.75" customHeight="1">
      <c r="A556" s="6" t="s">
        <v>5041</v>
      </c>
      <c r="B556" s="3" t="s">
        <v>7167</v>
      </c>
      <c r="C556" s="7">
        <v>28235.0</v>
      </c>
      <c r="D556" s="3" t="s">
        <v>63</v>
      </c>
      <c r="E556" s="3">
        <v>49.0</v>
      </c>
      <c r="F556" s="3" t="s">
        <v>70</v>
      </c>
      <c r="G556" s="6" t="s">
        <v>7168</v>
      </c>
      <c r="H556" s="3" t="s">
        <v>7169</v>
      </c>
      <c r="I556" s="3" t="s">
        <v>5169</v>
      </c>
      <c r="J556" s="3" t="s">
        <v>379</v>
      </c>
      <c r="K556" s="3" t="s">
        <v>229</v>
      </c>
      <c r="L556" s="3"/>
      <c r="M556" s="3" t="s">
        <v>88</v>
      </c>
      <c r="N556" s="6" t="s">
        <v>5042</v>
      </c>
      <c r="O556" s="3" t="s">
        <v>63</v>
      </c>
      <c r="P556" s="3" t="s">
        <v>372</v>
      </c>
      <c r="Q556" s="8">
        <v>2193901.0</v>
      </c>
      <c r="R556" s="3" t="s">
        <v>93</v>
      </c>
      <c r="S556" s="7">
        <v>40193.0</v>
      </c>
      <c r="T556" s="3" t="s">
        <v>63</v>
      </c>
      <c r="U556" s="6" t="s">
        <v>92</v>
      </c>
      <c r="V556" s="3" t="s">
        <v>4</v>
      </c>
      <c r="W556" s="3" t="s">
        <v>102</v>
      </c>
    </row>
    <row r="557" ht="15.75" customHeight="1">
      <c r="A557" s="6" t="s">
        <v>3357</v>
      </c>
      <c r="B557" s="3" t="s">
        <v>6770</v>
      </c>
      <c r="C557" s="7">
        <v>32469.0</v>
      </c>
      <c r="D557" s="3" t="s">
        <v>63</v>
      </c>
      <c r="E557" s="3">
        <v>37.0</v>
      </c>
      <c r="F557" s="3" t="s">
        <v>70</v>
      </c>
      <c r="G557" s="6" t="s">
        <v>7170</v>
      </c>
      <c r="H557" s="3" t="s">
        <v>7171</v>
      </c>
      <c r="I557" s="3" t="s">
        <v>7172</v>
      </c>
      <c r="J557" s="3" t="s">
        <v>305</v>
      </c>
      <c r="K557" s="3" t="s">
        <v>193</v>
      </c>
      <c r="L557" s="6" t="s">
        <v>3359</v>
      </c>
      <c r="M557" s="3" t="s">
        <v>63</v>
      </c>
      <c r="N557" s="6" t="s">
        <v>3361</v>
      </c>
      <c r="O557" s="3" t="s">
        <v>63</v>
      </c>
      <c r="P557" s="3" t="s">
        <v>90</v>
      </c>
      <c r="Q557" s="3"/>
      <c r="R557" s="3" t="s">
        <v>258</v>
      </c>
      <c r="S557" s="7">
        <v>42424.0</v>
      </c>
      <c r="T557" s="3" t="s">
        <v>63</v>
      </c>
      <c r="U557" s="6" t="s">
        <v>385</v>
      </c>
      <c r="V557" s="3" t="s">
        <v>4</v>
      </c>
      <c r="W557" s="3" t="s">
        <v>102</v>
      </c>
    </row>
    <row r="558" ht="15.75" customHeight="1">
      <c r="A558" s="6" t="s">
        <v>3115</v>
      </c>
      <c r="B558" s="3" t="s">
        <v>7173</v>
      </c>
      <c r="C558" s="7">
        <v>25996.0</v>
      </c>
      <c r="D558" s="3" t="s">
        <v>63</v>
      </c>
      <c r="E558" s="3">
        <v>55.0</v>
      </c>
      <c r="F558" s="3" t="s">
        <v>70</v>
      </c>
      <c r="G558" s="6" t="s">
        <v>7174</v>
      </c>
      <c r="H558" s="3" t="s">
        <v>7175</v>
      </c>
      <c r="I558" s="3" t="s">
        <v>7176</v>
      </c>
      <c r="J558" s="3" t="s">
        <v>134</v>
      </c>
      <c r="K558" s="3" t="s">
        <v>137</v>
      </c>
      <c r="L558" s="6" t="s">
        <v>3116</v>
      </c>
      <c r="M558" s="3" t="s">
        <v>63</v>
      </c>
      <c r="N558" s="6" t="s">
        <v>3117</v>
      </c>
      <c r="O558" s="3" t="s">
        <v>63</v>
      </c>
      <c r="P558" s="3" t="s">
        <v>202</v>
      </c>
      <c r="Q558" s="3"/>
      <c r="R558" s="3" t="s">
        <v>258</v>
      </c>
      <c r="S558" s="7">
        <v>41286.0</v>
      </c>
      <c r="T558" s="3" t="s">
        <v>63</v>
      </c>
      <c r="U558" s="6" t="s">
        <v>301</v>
      </c>
      <c r="V558" s="3" t="s">
        <v>4</v>
      </c>
      <c r="W558" s="3" t="s">
        <v>102</v>
      </c>
    </row>
    <row r="559" ht="15.75" customHeight="1">
      <c r="A559" s="6" t="s">
        <v>3113</v>
      </c>
      <c r="B559" s="3" t="s">
        <v>7177</v>
      </c>
      <c r="C559" s="7">
        <v>21240.0</v>
      </c>
      <c r="D559" s="3" t="s">
        <v>63</v>
      </c>
      <c r="E559" s="3">
        <v>68.0</v>
      </c>
      <c r="F559" s="3" t="s">
        <v>183</v>
      </c>
      <c r="G559" s="6" t="s">
        <v>7178</v>
      </c>
      <c r="H559" s="3" t="s">
        <v>7179</v>
      </c>
      <c r="I559" s="3" t="s">
        <v>7180</v>
      </c>
      <c r="J559" s="3" t="s">
        <v>153</v>
      </c>
      <c r="K559" s="3" t="s">
        <v>67</v>
      </c>
      <c r="L559" s="6" t="s">
        <v>4079</v>
      </c>
      <c r="M559" s="3" t="s">
        <v>63</v>
      </c>
      <c r="N559" s="6" t="s">
        <v>4080</v>
      </c>
      <c r="O559" s="3" t="s">
        <v>63</v>
      </c>
      <c r="P559" s="3" t="s">
        <v>160</v>
      </c>
      <c r="Q559" s="8">
        <v>1781332.0</v>
      </c>
      <c r="R559" s="3" t="s">
        <v>93</v>
      </c>
      <c r="S559" s="7">
        <v>41181.0</v>
      </c>
      <c r="T559" s="3" t="s">
        <v>63</v>
      </c>
      <c r="U559" s="6" t="s">
        <v>401</v>
      </c>
      <c r="V559" s="3" t="s">
        <v>4</v>
      </c>
      <c r="W559" s="3" t="s">
        <v>102</v>
      </c>
    </row>
    <row r="560" ht="15.75" customHeight="1">
      <c r="A560" s="6" t="s">
        <v>6016</v>
      </c>
      <c r="B560" s="3" t="s">
        <v>2077</v>
      </c>
      <c r="C560" s="7">
        <v>37533.0</v>
      </c>
      <c r="D560" s="3" t="s">
        <v>63</v>
      </c>
      <c r="E560" s="3">
        <v>23.0</v>
      </c>
      <c r="F560" s="3" t="s">
        <v>183</v>
      </c>
      <c r="G560" s="6" t="s">
        <v>7181</v>
      </c>
      <c r="H560" s="3" t="s">
        <v>7182</v>
      </c>
      <c r="I560" s="3" t="s">
        <v>7183</v>
      </c>
      <c r="J560" s="3" t="s">
        <v>184</v>
      </c>
      <c r="K560" s="3" t="s">
        <v>187</v>
      </c>
      <c r="L560" s="6" t="s">
        <v>6017</v>
      </c>
      <c r="M560" s="3" t="s">
        <v>63</v>
      </c>
      <c r="N560" s="3"/>
      <c r="O560" s="3" t="s">
        <v>88</v>
      </c>
      <c r="P560" s="3" t="s">
        <v>90</v>
      </c>
      <c r="Q560" s="3"/>
      <c r="R560" s="3" t="s">
        <v>258</v>
      </c>
      <c r="S560" s="7">
        <v>39865.0</v>
      </c>
      <c r="T560" s="3" t="s">
        <v>63</v>
      </c>
      <c r="U560" s="6" t="s">
        <v>129</v>
      </c>
      <c r="V560" s="3" t="s">
        <v>4</v>
      </c>
      <c r="W560" s="3" t="s">
        <v>102</v>
      </c>
    </row>
    <row r="561" ht="15.75" customHeight="1">
      <c r="A561" s="6" t="s">
        <v>2625</v>
      </c>
      <c r="B561" s="3" t="s">
        <v>7184</v>
      </c>
      <c r="C561" s="7">
        <v>21585.0</v>
      </c>
      <c r="D561" s="3" t="s">
        <v>63</v>
      </c>
      <c r="E561" s="3">
        <v>67.0</v>
      </c>
      <c r="F561" s="3" t="s">
        <v>70</v>
      </c>
      <c r="G561" s="6" t="s">
        <v>7185</v>
      </c>
      <c r="H561" s="3" t="s">
        <v>7186</v>
      </c>
      <c r="I561" s="3" t="s">
        <v>7187</v>
      </c>
      <c r="J561" s="3" t="s">
        <v>151</v>
      </c>
      <c r="K561" s="3" t="s">
        <v>121</v>
      </c>
      <c r="L561" s="6" t="s">
        <v>2627</v>
      </c>
      <c r="M561" s="3" t="s">
        <v>63</v>
      </c>
      <c r="N561" s="3"/>
      <c r="O561" s="3" t="s">
        <v>88</v>
      </c>
      <c r="P561" s="3" t="s">
        <v>464</v>
      </c>
      <c r="Q561" s="8">
        <v>452050.0</v>
      </c>
      <c r="R561" s="3" t="s">
        <v>93</v>
      </c>
      <c r="S561" s="7">
        <v>43418.0</v>
      </c>
      <c r="T561" s="3" t="s">
        <v>63</v>
      </c>
      <c r="U561" s="6" t="s">
        <v>401</v>
      </c>
      <c r="V561" s="3" t="s">
        <v>4</v>
      </c>
      <c r="W561" s="3" t="s">
        <v>102</v>
      </c>
    </row>
    <row r="562" ht="15.75" customHeight="1">
      <c r="A562" s="6" t="s">
        <v>3751</v>
      </c>
      <c r="B562" s="3" t="s">
        <v>7188</v>
      </c>
      <c r="C562" s="7">
        <v>32734.0</v>
      </c>
      <c r="D562" s="3" t="s">
        <v>63</v>
      </c>
      <c r="E562" s="3">
        <v>36.0</v>
      </c>
      <c r="F562" s="3" t="s">
        <v>183</v>
      </c>
      <c r="G562" s="6" t="s">
        <v>7189</v>
      </c>
      <c r="H562" s="3" t="s">
        <v>7190</v>
      </c>
      <c r="I562" s="3" t="s">
        <v>7191</v>
      </c>
      <c r="J562" s="3" t="s">
        <v>227</v>
      </c>
      <c r="K562" s="3" t="s">
        <v>229</v>
      </c>
      <c r="L562" s="6" t="s">
        <v>3752</v>
      </c>
      <c r="M562" s="3" t="s">
        <v>63</v>
      </c>
      <c r="N562" s="6" t="s">
        <v>3753</v>
      </c>
      <c r="O562" s="3" t="s">
        <v>63</v>
      </c>
      <c r="P562" s="3" t="s">
        <v>160</v>
      </c>
      <c r="Q562" s="3"/>
      <c r="R562" s="3" t="s">
        <v>258</v>
      </c>
      <c r="S562" s="7">
        <v>45460.0</v>
      </c>
      <c r="T562" s="3" t="s">
        <v>63</v>
      </c>
      <c r="U562" s="6" t="s">
        <v>288</v>
      </c>
      <c r="V562" s="3" t="s">
        <v>4</v>
      </c>
      <c r="W562" s="3" t="s">
        <v>102</v>
      </c>
    </row>
    <row r="563" ht="15.75" customHeight="1">
      <c r="A563" s="6" t="s">
        <v>2347</v>
      </c>
      <c r="B563" s="3" t="s">
        <v>7192</v>
      </c>
      <c r="C563" s="7">
        <v>31819.0</v>
      </c>
      <c r="D563" s="3" t="s">
        <v>63</v>
      </c>
      <c r="E563" s="3">
        <v>39.0</v>
      </c>
      <c r="F563" s="3" t="s">
        <v>70</v>
      </c>
      <c r="G563" s="6" t="s">
        <v>7193</v>
      </c>
      <c r="H563" s="3" t="s">
        <v>7194</v>
      </c>
      <c r="I563" s="3" t="s">
        <v>7195</v>
      </c>
      <c r="J563" s="3" t="s">
        <v>227</v>
      </c>
      <c r="K563" s="3" t="s">
        <v>229</v>
      </c>
      <c r="L563" s="6" t="s">
        <v>2349</v>
      </c>
      <c r="M563" s="3" t="s">
        <v>63</v>
      </c>
      <c r="N563" s="6" t="s">
        <v>2351</v>
      </c>
      <c r="O563" s="3" t="s">
        <v>63</v>
      </c>
      <c r="P563" s="3" t="s">
        <v>372</v>
      </c>
      <c r="Q563" s="8">
        <v>1407769.0</v>
      </c>
      <c r="R563" s="3" t="s">
        <v>93</v>
      </c>
      <c r="S563" s="7">
        <v>39762.0</v>
      </c>
      <c r="T563" s="3" t="s">
        <v>63</v>
      </c>
      <c r="U563" s="6" t="s">
        <v>245</v>
      </c>
      <c r="V563" s="3" t="s">
        <v>4</v>
      </c>
      <c r="W563" s="3" t="s">
        <v>378</v>
      </c>
    </row>
    <row r="564" ht="15.75" customHeight="1">
      <c r="A564" s="6" t="s">
        <v>1786</v>
      </c>
      <c r="B564" s="3" t="s">
        <v>6137</v>
      </c>
      <c r="C564" s="7">
        <v>33760.0</v>
      </c>
      <c r="D564" s="3" t="s">
        <v>63</v>
      </c>
      <c r="E564" s="3">
        <v>34.0</v>
      </c>
      <c r="F564" s="3" t="s">
        <v>70</v>
      </c>
      <c r="G564" s="6" t="s">
        <v>7196</v>
      </c>
      <c r="H564" s="3" t="s">
        <v>7197</v>
      </c>
      <c r="I564" s="3" t="s">
        <v>7198</v>
      </c>
      <c r="J564" s="3" t="s">
        <v>379</v>
      </c>
      <c r="K564" s="3" t="s">
        <v>229</v>
      </c>
      <c r="L564" s="6" t="s">
        <v>1788</v>
      </c>
      <c r="M564" s="3" t="s">
        <v>63</v>
      </c>
      <c r="N564" s="6" t="s">
        <v>1789</v>
      </c>
      <c r="O564" s="3" t="s">
        <v>63</v>
      </c>
      <c r="P564" s="3" t="s">
        <v>90</v>
      </c>
      <c r="Q564" s="3"/>
      <c r="R564" s="3" t="s">
        <v>258</v>
      </c>
      <c r="S564" s="7">
        <v>44877.0</v>
      </c>
      <c r="T564" s="3" t="s">
        <v>63</v>
      </c>
      <c r="U564" s="6" t="s">
        <v>301</v>
      </c>
      <c r="V564" s="3" t="s">
        <v>237</v>
      </c>
      <c r="W564" s="3" t="s">
        <v>102</v>
      </c>
    </row>
    <row r="565" ht="15.75" customHeight="1">
      <c r="A565" s="6" t="s">
        <v>1670</v>
      </c>
      <c r="B565" s="3" t="s">
        <v>7199</v>
      </c>
      <c r="C565" s="7">
        <v>30814.0</v>
      </c>
      <c r="D565" s="3" t="s">
        <v>63</v>
      </c>
      <c r="E565" s="3">
        <v>42.0</v>
      </c>
      <c r="F565" s="3" t="s">
        <v>183</v>
      </c>
      <c r="G565" s="6" t="s">
        <v>7200</v>
      </c>
      <c r="H565" s="3" t="s">
        <v>7201</v>
      </c>
      <c r="I565" s="3" t="s">
        <v>7202</v>
      </c>
      <c r="J565" s="3" t="s">
        <v>358</v>
      </c>
      <c r="K565" s="3" t="s">
        <v>360</v>
      </c>
      <c r="L565" s="6" t="s">
        <v>4763</v>
      </c>
      <c r="M565" s="3" t="s">
        <v>63</v>
      </c>
      <c r="N565" s="6" t="s">
        <v>4764</v>
      </c>
      <c r="O565" s="3" t="s">
        <v>63</v>
      </c>
      <c r="P565" s="3" t="s">
        <v>396</v>
      </c>
      <c r="Q565" s="3"/>
      <c r="R565" s="3" t="s">
        <v>258</v>
      </c>
      <c r="S565" s="7">
        <v>39856.0</v>
      </c>
      <c r="T565" s="3" t="s">
        <v>63</v>
      </c>
      <c r="U565" s="6" t="s">
        <v>245</v>
      </c>
      <c r="V565" s="3" t="s">
        <v>4</v>
      </c>
      <c r="W565" s="3" t="s">
        <v>102</v>
      </c>
    </row>
    <row r="566" ht="15.75" customHeight="1">
      <c r="A566" s="6" t="s">
        <v>1389</v>
      </c>
      <c r="B566" s="3" t="s">
        <v>5859</v>
      </c>
      <c r="C566" s="7">
        <v>37082.0</v>
      </c>
      <c r="D566" s="3" t="s">
        <v>63</v>
      </c>
      <c r="E566" s="3">
        <v>25.0</v>
      </c>
      <c r="F566" s="3" t="s">
        <v>183</v>
      </c>
      <c r="G566" s="6" t="s">
        <v>7203</v>
      </c>
      <c r="H566" s="3" t="s">
        <v>7204</v>
      </c>
      <c r="I566" s="3" t="s">
        <v>7205</v>
      </c>
      <c r="J566" s="3" t="s">
        <v>349</v>
      </c>
      <c r="K566" s="3" t="s">
        <v>45</v>
      </c>
      <c r="L566" s="6" t="s">
        <v>4014</v>
      </c>
      <c r="M566" s="3" t="s">
        <v>63</v>
      </c>
      <c r="N566" s="6" t="s">
        <v>4015</v>
      </c>
      <c r="O566" s="3" t="s">
        <v>63</v>
      </c>
      <c r="P566" s="3" t="s">
        <v>300</v>
      </c>
      <c r="Q566" s="8">
        <v>2397115.0</v>
      </c>
      <c r="R566" s="3" t="s">
        <v>93</v>
      </c>
      <c r="S566" s="7">
        <v>39285.0</v>
      </c>
      <c r="T566" s="3" t="s">
        <v>63</v>
      </c>
      <c r="U566" s="6" t="s">
        <v>323</v>
      </c>
      <c r="V566" s="3" t="s">
        <v>237</v>
      </c>
      <c r="W566" s="3" t="s">
        <v>102</v>
      </c>
    </row>
    <row r="567" ht="15.75" customHeight="1">
      <c r="A567" s="6" t="s">
        <v>1797</v>
      </c>
      <c r="B567" s="3" t="s">
        <v>532</v>
      </c>
      <c r="C567" s="7">
        <v>33463.0</v>
      </c>
      <c r="D567" s="3" t="s">
        <v>63</v>
      </c>
      <c r="E567" s="3">
        <v>34.0</v>
      </c>
      <c r="F567" s="3" t="s">
        <v>183</v>
      </c>
      <c r="G567" s="6" t="s">
        <v>7206</v>
      </c>
      <c r="H567" s="3" t="s">
        <v>7207</v>
      </c>
      <c r="I567" s="3" t="s">
        <v>7208</v>
      </c>
      <c r="J567" s="3" t="s">
        <v>184</v>
      </c>
      <c r="K567" s="3" t="s">
        <v>187</v>
      </c>
      <c r="L567" s="6" t="s">
        <v>3255</v>
      </c>
      <c r="M567" s="3" t="s">
        <v>63</v>
      </c>
      <c r="N567" s="6" t="s">
        <v>3256</v>
      </c>
      <c r="O567" s="3" t="s">
        <v>63</v>
      </c>
      <c r="P567" s="3" t="s">
        <v>202</v>
      </c>
      <c r="Q567" s="8">
        <v>1869353.0</v>
      </c>
      <c r="R567" s="3" t="s">
        <v>93</v>
      </c>
      <c r="S567" s="7">
        <v>39005.0</v>
      </c>
      <c r="T567" s="3" t="s">
        <v>63</v>
      </c>
      <c r="U567" s="6" t="s">
        <v>288</v>
      </c>
      <c r="V567" s="3" t="s">
        <v>4</v>
      </c>
      <c r="W567" s="3" t="s">
        <v>102</v>
      </c>
    </row>
    <row r="568" ht="15.75" customHeight="1">
      <c r="A568" s="6" t="s">
        <v>6601</v>
      </c>
      <c r="B568" s="3" t="s">
        <v>7209</v>
      </c>
      <c r="C568" s="7">
        <v>30512.0</v>
      </c>
      <c r="D568" s="3" t="s">
        <v>63</v>
      </c>
      <c r="E568" s="3">
        <v>43.0</v>
      </c>
      <c r="F568" s="3" t="s">
        <v>183</v>
      </c>
      <c r="G568" s="6" t="s">
        <v>7210</v>
      </c>
      <c r="H568" s="3" t="s">
        <v>7211</v>
      </c>
      <c r="I568" s="3" t="s">
        <v>7212</v>
      </c>
      <c r="J568" s="3" t="s">
        <v>119</v>
      </c>
      <c r="K568" s="3" t="s">
        <v>121</v>
      </c>
      <c r="L568" s="6" t="s">
        <v>6603</v>
      </c>
      <c r="M568" s="3" t="s">
        <v>63</v>
      </c>
      <c r="N568" s="6" t="s">
        <v>6604</v>
      </c>
      <c r="O568" s="3" t="s">
        <v>63</v>
      </c>
      <c r="P568" s="3" t="s">
        <v>202</v>
      </c>
      <c r="Q568" s="3"/>
      <c r="R568" s="3" t="s">
        <v>258</v>
      </c>
      <c r="S568" s="7">
        <v>40258.0</v>
      </c>
      <c r="T568" s="3" t="s">
        <v>63</v>
      </c>
      <c r="U568" s="6" t="s">
        <v>277</v>
      </c>
      <c r="V568" s="3" t="s">
        <v>4</v>
      </c>
      <c r="W568" s="3" t="s">
        <v>102</v>
      </c>
    </row>
    <row r="569" ht="15.75" customHeight="1">
      <c r="A569" s="6" t="s">
        <v>6461</v>
      </c>
      <c r="B569" s="3" t="s">
        <v>7213</v>
      </c>
      <c r="C569" s="7">
        <v>21940.0</v>
      </c>
      <c r="D569" s="3" t="s">
        <v>63</v>
      </c>
      <c r="E569" s="3">
        <v>66.0</v>
      </c>
      <c r="F569" s="3" t="s">
        <v>70</v>
      </c>
      <c r="G569" s="6" t="s">
        <v>7214</v>
      </c>
      <c r="H569" s="3" t="s">
        <v>7215</v>
      </c>
      <c r="I569" s="3" t="s">
        <v>7216</v>
      </c>
      <c r="J569" s="3" t="s">
        <v>305</v>
      </c>
      <c r="K569" s="3" t="s">
        <v>193</v>
      </c>
      <c r="L569" s="6" t="s">
        <v>6463</v>
      </c>
      <c r="M569" s="3" t="s">
        <v>63</v>
      </c>
      <c r="N569" s="6" t="s">
        <v>6464</v>
      </c>
      <c r="O569" s="3" t="s">
        <v>63</v>
      </c>
      <c r="P569" s="3" t="s">
        <v>127</v>
      </c>
      <c r="Q569" s="8">
        <v>1446773.0</v>
      </c>
      <c r="R569" s="3" t="s">
        <v>93</v>
      </c>
      <c r="S569" s="7">
        <v>40227.0</v>
      </c>
      <c r="T569" s="3" t="s">
        <v>63</v>
      </c>
      <c r="U569" s="6" t="s">
        <v>221</v>
      </c>
      <c r="V569" s="3" t="s">
        <v>237</v>
      </c>
      <c r="W569" s="3" t="s">
        <v>102</v>
      </c>
    </row>
    <row r="570" ht="15.75" customHeight="1">
      <c r="A570" s="6" t="s">
        <v>2607</v>
      </c>
      <c r="B570" s="3" t="s">
        <v>7217</v>
      </c>
      <c r="C570" s="7">
        <v>32899.0</v>
      </c>
      <c r="D570" s="3" t="s">
        <v>63</v>
      </c>
      <c r="E570" s="3">
        <v>36.0</v>
      </c>
      <c r="F570" s="3" t="s">
        <v>70</v>
      </c>
      <c r="G570" s="6" t="s">
        <v>7218</v>
      </c>
      <c r="H570" s="3" t="s">
        <v>7219</v>
      </c>
      <c r="I570" s="3" t="s">
        <v>7220</v>
      </c>
      <c r="J570" s="3" t="s">
        <v>227</v>
      </c>
      <c r="K570" s="3" t="s">
        <v>229</v>
      </c>
      <c r="L570" s="6" t="s">
        <v>5320</v>
      </c>
      <c r="M570" s="3" t="s">
        <v>63</v>
      </c>
      <c r="N570" s="6" t="s">
        <v>5322</v>
      </c>
      <c r="O570" s="3" t="s">
        <v>63</v>
      </c>
      <c r="P570" s="3" t="s">
        <v>90</v>
      </c>
      <c r="Q570" s="8">
        <v>441342.0</v>
      </c>
      <c r="R570" s="3" t="s">
        <v>93</v>
      </c>
      <c r="S570" s="7">
        <v>41038.0</v>
      </c>
      <c r="T570" s="3" t="s">
        <v>63</v>
      </c>
      <c r="U570" s="6" t="s">
        <v>92</v>
      </c>
      <c r="V570" s="3" t="s">
        <v>4</v>
      </c>
      <c r="W570" s="3" t="s">
        <v>102</v>
      </c>
    </row>
    <row r="571" ht="15.75" customHeight="1">
      <c r="A571" s="6" t="s">
        <v>2772</v>
      </c>
      <c r="B571" s="3" t="s">
        <v>1851</v>
      </c>
      <c r="C571" s="7">
        <v>28947.0</v>
      </c>
      <c r="D571" s="3" t="s">
        <v>63</v>
      </c>
      <c r="E571" s="3">
        <v>47.0</v>
      </c>
      <c r="F571" s="3" t="s">
        <v>70</v>
      </c>
      <c r="G571" s="6" t="s">
        <v>7221</v>
      </c>
      <c r="H571" s="3" t="s">
        <v>7222</v>
      </c>
      <c r="I571" s="3" t="s">
        <v>7223</v>
      </c>
      <c r="J571" s="3" t="s">
        <v>282</v>
      </c>
      <c r="K571" s="3" t="s">
        <v>229</v>
      </c>
      <c r="L571" s="6" t="s">
        <v>4742</v>
      </c>
      <c r="M571" s="3" t="s">
        <v>63</v>
      </c>
      <c r="N571" s="6" t="s">
        <v>4743</v>
      </c>
      <c r="O571" s="3" t="s">
        <v>63</v>
      </c>
      <c r="P571" s="3" t="s">
        <v>464</v>
      </c>
      <c r="Q571" s="8">
        <v>2383846.0</v>
      </c>
      <c r="R571" s="3" t="s">
        <v>93</v>
      </c>
      <c r="S571" s="7">
        <v>42123.0</v>
      </c>
      <c r="T571" s="3" t="s">
        <v>63</v>
      </c>
      <c r="U571" s="6" t="s">
        <v>311</v>
      </c>
      <c r="V571" s="3" t="s">
        <v>237</v>
      </c>
      <c r="W571" s="3" t="s">
        <v>102</v>
      </c>
    </row>
    <row r="572" ht="15.75" customHeight="1">
      <c r="A572" s="6" t="s">
        <v>1837</v>
      </c>
      <c r="B572" s="3" t="s">
        <v>7224</v>
      </c>
      <c r="C572" s="7">
        <v>26348.0</v>
      </c>
      <c r="D572" s="3" t="s">
        <v>63</v>
      </c>
      <c r="E572" s="3">
        <v>54.0</v>
      </c>
      <c r="F572" s="3" t="s">
        <v>183</v>
      </c>
      <c r="G572" s="6" t="s">
        <v>7225</v>
      </c>
      <c r="H572" s="3" t="s">
        <v>7226</v>
      </c>
      <c r="I572" s="3" t="s">
        <v>7227</v>
      </c>
      <c r="J572" s="3" t="s">
        <v>337</v>
      </c>
      <c r="K572" s="3" t="s">
        <v>137</v>
      </c>
      <c r="L572" s="6" t="s">
        <v>2815</v>
      </c>
      <c r="M572" s="3" t="s">
        <v>63</v>
      </c>
      <c r="N572" s="3"/>
      <c r="O572" s="3" t="s">
        <v>88</v>
      </c>
      <c r="P572" s="3" t="s">
        <v>324</v>
      </c>
      <c r="Q572" s="3"/>
      <c r="R572" s="3" t="s">
        <v>258</v>
      </c>
      <c r="S572" s="7">
        <v>38589.0</v>
      </c>
      <c r="T572" s="3" t="s">
        <v>63</v>
      </c>
      <c r="U572" s="6" t="s">
        <v>262</v>
      </c>
      <c r="V572" s="3" t="s">
        <v>4</v>
      </c>
      <c r="W572" s="3" t="s">
        <v>102</v>
      </c>
    </row>
    <row r="573" ht="15.75" customHeight="1">
      <c r="A573" s="6" t="s">
        <v>4156</v>
      </c>
      <c r="B573" s="3" t="s">
        <v>7228</v>
      </c>
      <c r="C573" s="7">
        <v>21171.0</v>
      </c>
      <c r="D573" s="3" t="s">
        <v>63</v>
      </c>
      <c r="E573" s="3">
        <v>68.0</v>
      </c>
      <c r="F573" s="3" t="s">
        <v>183</v>
      </c>
      <c r="G573" s="6" t="s">
        <v>7229</v>
      </c>
      <c r="H573" s="3" t="s">
        <v>7230</v>
      </c>
      <c r="I573" s="3" t="s">
        <v>7231</v>
      </c>
      <c r="J573" s="3" t="s">
        <v>349</v>
      </c>
      <c r="K573" s="3" t="s">
        <v>45</v>
      </c>
      <c r="L573" s="6" t="s">
        <v>5021</v>
      </c>
      <c r="M573" s="3" t="s">
        <v>63</v>
      </c>
      <c r="N573" s="6" t="s">
        <v>5022</v>
      </c>
      <c r="O573" s="3" t="s">
        <v>63</v>
      </c>
      <c r="P573" s="3" t="s">
        <v>202</v>
      </c>
      <c r="Q573" s="3"/>
      <c r="R573" s="3" t="s">
        <v>258</v>
      </c>
      <c r="S573" s="7">
        <v>44257.0</v>
      </c>
      <c r="T573" s="3" t="s">
        <v>63</v>
      </c>
      <c r="U573" s="6" t="s">
        <v>385</v>
      </c>
      <c r="V573" s="3" t="s">
        <v>4</v>
      </c>
      <c r="W573" s="3" t="s">
        <v>102</v>
      </c>
    </row>
    <row r="574" ht="15.75" customHeight="1">
      <c r="A574" s="6" t="s">
        <v>1233</v>
      </c>
      <c r="B574" s="3" t="s">
        <v>7232</v>
      </c>
      <c r="C574" s="7">
        <v>30122.0</v>
      </c>
      <c r="D574" s="3" t="s">
        <v>63</v>
      </c>
      <c r="E574" s="3">
        <v>44.0</v>
      </c>
      <c r="F574" s="3" t="s">
        <v>183</v>
      </c>
      <c r="G574" s="6" t="s">
        <v>7233</v>
      </c>
      <c r="H574" s="3" t="s">
        <v>7234</v>
      </c>
      <c r="I574" s="3" t="s">
        <v>7235</v>
      </c>
      <c r="J574" s="3" t="s">
        <v>201</v>
      </c>
      <c r="K574" s="3" t="s">
        <v>203</v>
      </c>
      <c r="L574" s="6" t="s">
        <v>1237</v>
      </c>
      <c r="M574" s="3" t="s">
        <v>63</v>
      </c>
      <c r="N574" s="6" t="s">
        <v>1239</v>
      </c>
      <c r="O574" s="3" t="s">
        <v>63</v>
      </c>
      <c r="P574" s="3" t="s">
        <v>324</v>
      </c>
      <c r="Q574" s="3"/>
      <c r="R574" s="3" t="s">
        <v>258</v>
      </c>
      <c r="S574" s="7">
        <v>44910.0</v>
      </c>
      <c r="T574" s="3" t="s">
        <v>63</v>
      </c>
      <c r="U574" s="6" t="s">
        <v>179</v>
      </c>
      <c r="V574" s="3" t="s">
        <v>4</v>
      </c>
      <c r="W574" s="3" t="s">
        <v>102</v>
      </c>
    </row>
    <row r="575" ht="15.75" customHeight="1">
      <c r="A575" s="6" t="s">
        <v>2307</v>
      </c>
      <c r="B575" s="3" t="s">
        <v>7236</v>
      </c>
      <c r="C575" s="7">
        <v>21058.0</v>
      </c>
      <c r="D575" s="3" t="s">
        <v>63</v>
      </c>
      <c r="E575" s="3">
        <v>68.0</v>
      </c>
      <c r="F575" s="3" t="s">
        <v>70</v>
      </c>
      <c r="G575" s="6" t="s">
        <v>7237</v>
      </c>
      <c r="H575" s="3" t="s">
        <v>7238</v>
      </c>
      <c r="I575" s="3" t="s">
        <v>7239</v>
      </c>
      <c r="J575" s="3" t="s">
        <v>153</v>
      </c>
      <c r="K575" s="3" t="s">
        <v>67</v>
      </c>
      <c r="L575" s="6" t="s">
        <v>2308</v>
      </c>
      <c r="M575" s="3" t="s">
        <v>63</v>
      </c>
      <c r="N575" s="6" t="s">
        <v>2309</v>
      </c>
      <c r="O575" s="3" t="s">
        <v>63</v>
      </c>
      <c r="P575" s="3" t="s">
        <v>396</v>
      </c>
      <c r="Q575" s="3"/>
      <c r="R575" s="3" t="s">
        <v>258</v>
      </c>
      <c r="S575" s="7">
        <v>39637.0</v>
      </c>
      <c r="T575" s="3" t="s">
        <v>63</v>
      </c>
      <c r="U575" s="6" t="s">
        <v>92</v>
      </c>
      <c r="V575" s="3" t="s">
        <v>4</v>
      </c>
      <c r="W575" s="3" t="s">
        <v>102</v>
      </c>
    </row>
    <row r="576" ht="15.75" customHeight="1">
      <c r="A576" s="6" t="s">
        <v>1159</v>
      </c>
      <c r="B576" s="3" t="s">
        <v>7240</v>
      </c>
      <c r="C576" s="7">
        <v>27751.0</v>
      </c>
      <c r="D576" s="3" t="s">
        <v>63</v>
      </c>
      <c r="E576" s="3">
        <v>50.0</v>
      </c>
      <c r="F576" s="3" t="s">
        <v>70</v>
      </c>
      <c r="G576" s="6" t="s">
        <v>7241</v>
      </c>
      <c r="H576" s="3" t="s">
        <v>7242</v>
      </c>
      <c r="I576" s="3" t="s">
        <v>7243</v>
      </c>
      <c r="J576" s="3" t="s">
        <v>349</v>
      </c>
      <c r="K576" s="3" t="s">
        <v>45</v>
      </c>
      <c r="L576" s="6" t="s">
        <v>6518</v>
      </c>
      <c r="M576" s="3" t="s">
        <v>63</v>
      </c>
      <c r="N576" s="6" t="s">
        <v>6519</v>
      </c>
      <c r="O576" s="3" t="s">
        <v>63</v>
      </c>
      <c r="P576" s="3" t="s">
        <v>300</v>
      </c>
      <c r="Q576" s="3"/>
      <c r="R576" s="3" t="s">
        <v>258</v>
      </c>
      <c r="S576" s="7">
        <v>38432.0</v>
      </c>
      <c r="T576" s="3" t="s">
        <v>63</v>
      </c>
      <c r="U576" s="6" t="s">
        <v>197</v>
      </c>
      <c r="V576" s="3" t="s">
        <v>4</v>
      </c>
      <c r="W576" s="3" t="s">
        <v>102</v>
      </c>
    </row>
    <row r="577" ht="15.75" customHeight="1">
      <c r="A577" s="6" t="s">
        <v>426</v>
      </c>
      <c r="B577" s="3" t="s">
        <v>7244</v>
      </c>
      <c r="C577" s="7">
        <v>25276.0</v>
      </c>
      <c r="D577" s="3" t="s">
        <v>63</v>
      </c>
      <c r="E577" s="3">
        <v>57.0</v>
      </c>
      <c r="F577" s="3" t="s">
        <v>183</v>
      </c>
      <c r="G577" s="6" t="s">
        <v>7245</v>
      </c>
      <c r="H577" s="3" t="s">
        <v>7246</v>
      </c>
      <c r="I577" s="3" t="s">
        <v>7247</v>
      </c>
      <c r="J577" s="3" t="s">
        <v>184</v>
      </c>
      <c r="K577" s="3" t="s">
        <v>187</v>
      </c>
      <c r="L577" s="6" t="s">
        <v>427</v>
      </c>
      <c r="M577" s="3" t="s">
        <v>63</v>
      </c>
      <c r="N577" s="6" t="s">
        <v>429</v>
      </c>
      <c r="O577" s="3" t="s">
        <v>63</v>
      </c>
      <c r="P577" s="3" t="s">
        <v>160</v>
      </c>
      <c r="Q577" s="3"/>
      <c r="R577" s="3" t="s">
        <v>258</v>
      </c>
      <c r="S577" s="7">
        <v>42941.0</v>
      </c>
      <c r="T577" s="3" t="s">
        <v>63</v>
      </c>
      <c r="U577" s="6" t="s">
        <v>163</v>
      </c>
      <c r="V577" s="3" t="s">
        <v>4</v>
      </c>
      <c r="W577" s="3" t="s">
        <v>102</v>
      </c>
    </row>
    <row r="578" ht="15.75" customHeight="1">
      <c r="A578" s="6" t="s">
        <v>2525</v>
      </c>
      <c r="B578" s="3" t="s">
        <v>7248</v>
      </c>
      <c r="C578" s="7">
        <v>36333.0</v>
      </c>
      <c r="D578" s="3" t="s">
        <v>63</v>
      </c>
      <c r="E578" s="3">
        <v>27.0</v>
      </c>
      <c r="F578" s="3" t="s">
        <v>183</v>
      </c>
      <c r="G578" s="6" t="s">
        <v>7249</v>
      </c>
      <c r="H578" s="3" t="s">
        <v>7250</v>
      </c>
      <c r="I578" s="3" t="s">
        <v>7251</v>
      </c>
      <c r="J578" s="3" t="s">
        <v>153</v>
      </c>
      <c r="K578" s="3" t="s">
        <v>67</v>
      </c>
      <c r="L578" s="6" t="s">
        <v>2527</v>
      </c>
      <c r="M578" s="3" t="s">
        <v>63</v>
      </c>
      <c r="N578" s="6" t="s">
        <v>2529</v>
      </c>
      <c r="O578" s="3" t="s">
        <v>63</v>
      </c>
      <c r="P578" s="3" t="s">
        <v>372</v>
      </c>
      <c r="Q578" s="8">
        <v>227495.0</v>
      </c>
      <c r="R578" s="3" t="s">
        <v>93</v>
      </c>
      <c r="S578" s="7">
        <v>45562.0</v>
      </c>
      <c r="T578" s="3" t="s">
        <v>63</v>
      </c>
      <c r="U578" s="6" t="s">
        <v>179</v>
      </c>
      <c r="V578" s="3" t="s">
        <v>4</v>
      </c>
      <c r="W578" s="3" t="s">
        <v>102</v>
      </c>
    </row>
    <row r="579" ht="15.75" customHeight="1">
      <c r="A579" s="6" t="s">
        <v>922</v>
      </c>
      <c r="B579" s="3" t="s">
        <v>7252</v>
      </c>
      <c r="C579" s="7">
        <v>22095.0</v>
      </c>
      <c r="D579" s="3" t="s">
        <v>63</v>
      </c>
      <c r="E579" s="3">
        <v>66.0</v>
      </c>
      <c r="F579" s="3" t="s">
        <v>183</v>
      </c>
      <c r="G579" s="6" t="s">
        <v>7253</v>
      </c>
      <c r="H579" s="3" t="s">
        <v>7254</v>
      </c>
      <c r="I579" s="3" t="s">
        <v>7255</v>
      </c>
      <c r="J579" s="3" t="s">
        <v>250</v>
      </c>
      <c r="K579" s="3" t="s">
        <v>252</v>
      </c>
      <c r="L579" s="6" t="s">
        <v>2935</v>
      </c>
      <c r="M579" s="3" t="s">
        <v>63</v>
      </c>
      <c r="N579" s="6" t="s">
        <v>2936</v>
      </c>
      <c r="O579" s="3" t="s">
        <v>620</v>
      </c>
      <c r="P579" s="3" t="s">
        <v>464</v>
      </c>
      <c r="Q579" s="8">
        <v>1679190.0</v>
      </c>
      <c r="R579" s="3" t="s">
        <v>93</v>
      </c>
      <c r="S579" s="7">
        <v>42923.0</v>
      </c>
      <c r="T579" s="3" t="s">
        <v>63</v>
      </c>
      <c r="U579" s="6" t="s">
        <v>129</v>
      </c>
      <c r="V579" s="3" t="s">
        <v>4</v>
      </c>
      <c r="W579" s="3" t="s">
        <v>102</v>
      </c>
    </row>
    <row r="580" ht="15.75" customHeight="1">
      <c r="A580" s="6" t="s">
        <v>6267</v>
      </c>
      <c r="B580" s="3" t="s">
        <v>7256</v>
      </c>
      <c r="C580" s="7">
        <v>27405.0</v>
      </c>
      <c r="D580" s="3" t="s">
        <v>63</v>
      </c>
      <c r="E580" s="3">
        <v>51.0</v>
      </c>
      <c r="F580" s="3" t="s">
        <v>183</v>
      </c>
      <c r="G580" s="6" t="s">
        <v>7257</v>
      </c>
      <c r="H580" s="3" t="s">
        <v>7258</v>
      </c>
      <c r="I580" s="3" t="s">
        <v>7259</v>
      </c>
      <c r="J580" s="3" t="s">
        <v>225</v>
      </c>
      <c r="K580" s="3" t="s">
        <v>101</v>
      </c>
      <c r="L580" s="6" t="s">
        <v>6269</v>
      </c>
      <c r="M580" s="3" t="s">
        <v>63</v>
      </c>
      <c r="N580" s="6" t="s">
        <v>6270</v>
      </c>
      <c r="O580" s="3" t="s">
        <v>63</v>
      </c>
      <c r="P580" s="3" t="s">
        <v>160</v>
      </c>
      <c r="Q580" s="3"/>
      <c r="R580" s="3" t="s">
        <v>258</v>
      </c>
      <c r="S580" s="7">
        <v>40370.0</v>
      </c>
      <c r="T580" s="3" t="s">
        <v>63</v>
      </c>
      <c r="U580" s="6" t="s">
        <v>163</v>
      </c>
      <c r="V580" s="3" t="s">
        <v>237</v>
      </c>
      <c r="W580" s="3" t="s">
        <v>102</v>
      </c>
    </row>
    <row r="581" ht="15.75" customHeight="1">
      <c r="A581" s="6" t="s">
        <v>5057</v>
      </c>
      <c r="B581" s="3" t="s">
        <v>7260</v>
      </c>
      <c r="C581" s="7">
        <v>34260.0</v>
      </c>
      <c r="D581" s="3" t="s">
        <v>63</v>
      </c>
      <c r="E581" s="3">
        <v>32.0</v>
      </c>
      <c r="F581" s="3" t="s">
        <v>70</v>
      </c>
      <c r="G581" s="6" t="s">
        <v>7261</v>
      </c>
      <c r="H581" s="3" t="s">
        <v>7262</v>
      </c>
      <c r="I581" s="3" t="s">
        <v>7263</v>
      </c>
      <c r="J581" s="3" t="s">
        <v>184</v>
      </c>
      <c r="K581" s="3" t="s">
        <v>187</v>
      </c>
      <c r="L581" s="6" t="s">
        <v>5059</v>
      </c>
      <c r="M581" s="3" t="s">
        <v>63</v>
      </c>
      <c r="N581" s="6" t="s">
        <v>5060</v>
      </c>
      <c r="O581" s="3" t="s">
        <v>63</v>
      </c>
      <c r="P581" s="3" t="s">
        <v>324</v>
      </c>
      <c r="Q581" s="8">
        <v>2080157.0</v>
      </c>
      <c r="R581" s="3" t="s">
        <v>93</v>
      </c>
      <c r="S581" s="7">
        <v>45309.0</v>
      </c>
      <c r="T581" s="3" t="s">
        <v>63</v>
      </c>
      <c r="U581" s="6" t="s">
        <v>80</v>
      </c>
      <c r="V581" s="3" t="s">
        <v>4</v>
      </c>
      <c r="W581" s="3" t="s">
        <v>102</v>
      </c>
    </row>
    <row r="582" ht="15.75" customHeight="1">
      <c r="A582" s="6" t="s">
        <v>6291</v>
      </c>
      <c r="B582" s="3" t="s">
        <v>5650</v>
      </c>
      <c r="C582" s="7">
        <v>36943.0</v>
      </c>
      <c r="D582" s="3" t="s">
        <v>63</v>
      </c>
      <c r="E582" s="3">
        <v>25.0</v>
      </c>
      <c r="F582" s="3" t="s">
        <v>70</v>
      </c>
      <c r="G582" s="6" t="s">
        <v>7264</v>
      </c>
      <c r="H582" s="3" t="s">
        <v>7265</v>
      </c>
      <c r="I582" s="3" t="s">
        <v>7266</v>
      </c>
      <c r="J582" s="3" t="s">
        <v>65</v>
      </c>
      <c r="K582" s="3" t="s">
        <v>67</v>
      </c>
      <c r="L582" s="6" t="s">
        <v>6292</v>
      </c>
      <c r="M582" s="3" t="s">
        <v>63</v>
      </c>
      <c r="N582" s="6" t="s">
        <v>6293</v>
      </c>
      <c r="O582" s="3" t="s">
        <v>63</v>
      </c>
      <c r="P582" s="3" t="s">
        <v>324</v>
      </c>
      <c r="Q582" s="3"/>
      <c r="R582" s="3" t="s">
        <v>258</v>
      </c>
      <c r="S582" s="7">
        <v>44033.0</v>
      </c>
      <c r="T582" s="3" t="s">
        <v>63</v>
      </c>
      <c r="U582" s="6" t="s">
        <v>179</v>
      </c>
      <c r="V582" s="3" t="s">
        <v>4</v>
      </c>
      <c r="W582" s="3" t="s">
        <v>102</v>
      </c>
    </row>
    <row r="583" ht="15.75" customHeight="1">
      <c r="A583" s="6" t="s">
        <v>5920</v>
      </c>
      <c r="B583" s="3" t="s">
        <v>6931</v>
      </c>
      <c r="C583" s="7">
        <v>30177.0</v>
      </c>
      <c r="D583" s="3" t="s">
        <v>63</v>
      </c>
      <c r="E583" s="3">
        <v>43.0</v>
      </c>
      <c r="F583" s="3" t="s">
        <v>70</v>
      </c>
      <c r="G583" s="6" t="s">
        <v>7267</v>
      </c>
      <c r="H583" s="3" t="s">
        <v>7268</v>
      </c>
      <c r="I583" s="3" t="s">
        <v>7269</v>
      </c>
      <c r="J583" s="3" t="s">
        <v>358</v>
      </c>
      <c r="K583" s="3" t="s">
        <v>360</v>
      </c>
      <c r="L583" s="6" t="s">
        <v>5921</v>
      </c>
      <c r="M583" s="3" t="s">
        <v>63</v>
      </c>
      <c r="N583" s="6" t="s">
        <v>5922</v>
      </c>
      <c r="O583" s="3" t="s">
        <v>63</v>
      </c>
      <c r="P583" s="3" t="s">
        <v>464</v>
      </c>
      <c r="Q583" s="3"/>
      <c r="R583" s="3" t="s">
        <v>258</v>
      </c>
      <c r="S583" s="7">
        <v>45120.0</v>
      </c>
      <c r="T583" s="3" t="s">
        <v>63</v>
      </c>
      <c r="U583" s="6" t="s">
        <v>301</v>
      </c>
      <c r="V583" s="3" t="s">
        <v>237</v>
      </c>
      <c r="W583" s="3" t="s">
        <v>102</v>
      </c>
    </row>
    <row r="584" ht="15.75" customHeight="1">
      <c r="A584" s="6" t="s">
        <v>2124</v>
      </c>
      <c r="B584" s="3" t="s">
        <v>7270</v>
      </c>
      <c r="C584" s="7">
        <v>36481.0</v>
      </c>
      <c r="D584" s="3" t="s">
        <v>63</v>
      </c>
      <c r="E584" s="3">
        <v>26.0</v>
      </c>
      <c r="F584" s="3" t="s">
        <v>70</v>
      </c>
      <c r="G584" s="6" t="s">
        <v>7271</v>
      </c>
      <c r="H584" s="3" t="s">
        <v>7272</v>
      </c>
      <c r="I584" s="3" t="s">
        <v>7273</v>
      </c>
      <c r="J584" s="3" t="s">
        <v>251</v>
      </c>
      <c r="K584" s="3" t="s">
        <v>251</v>
      </c>
      <c r="L584" s="6" t="s">
        <v>4186</v>
      </c>
      <c r="M584" s="3" t="s">
        <v>63</v>
      </c>
      <c r="N584" s="6" t="s">
        <v>4188</v>
      </c>
      <c r="O584" s="3" t="s">
        <v>63</v>
      </c>
      <c r="P584" s="3" t="s">
        <v>127</v>
      </c>
      <c r="Q584" s="3"/>
      <c r="R584" s="3" t="s">
        <v>258</v>
      </c>
      <c r="S584" s="7">
        <v>39527.0</v>
      </c>
      <c r="T584" s="3" t="s">
        <v>63</v>
      </c>
      <c r="U584" s="6" t="s">
        <v>284</v>
      </c>
      <c r="V584" s="3" t="s">
        <v>4</v>
      </c>
      <c r="W584" s="3" t="s">
        <v>102</v>
      </c>
    </row>
    <row r="585" ht="15.75" customHeight="1">
      <c r="A585" s="6" t="s">
        <v>3906</v>
      </c>
      <c r="B585" s="3" t="s">
        <v>7274</v>
      </c>
      <c r="C585" s="7">
        <v>35174.0</v>
      </c>
      <c r="D585" s="3" t="s">
        <v>63</v>
      </c>
      <c r="E585" s="3">
        <v>30.0</v>
      </c>
      <c r="F585" s="3" t="s">
        <v>70</v>
      </c>
      <c r="G585" s="6" t="s">
        <v>7275</v>
      </c>
      <c r="H585" s="3" t="s">
        <v>7276</v>
      </c>
      <c r="I585" s="3" t="s">
        <v>7277</v>
      </c>
      <c r="J585" s="3" t="s">
        <v>327</v>
      </c>
      <c r="K585" s="3" t="s">
        <v>169</v>
      </c>
      <c r="L585" s="6" t="s">
        <v>3907</v>
      </c>
      <c r="M585" s="3" t="s">
        <v>63</v>
      </c>
      <c r="N585" s="6" t="s">
        <v>3909</v>
      </c>
      <c r="O585" s="3" t="s">
        <v>63</v>
      </c>
      <c r="P585" s="3" t="s">
        <v>90</v>
      </c>
      <c r="Q585" s="3"/>
      <c r="R585" s="3" t="s">
        <v>258</v>
      </c>
      <c r="S585" s="7">
        <v>42285.0</v>
      </c>
      <c r="T585" s="3" t="s">
        <v>63</v>
      </c>
      <c r="U585" s="6" t="s">
        <v>277</v>
      </c>
      <c r="V585" s="3" t="s">
        <v>4</v>
      </c>
      <c r="W585" s="3" t="s">
        <v>102</v>
      </c>
    </row>
    <row r="586" ht="15.75" customHeight="1">
      <c r="A586" s="6" t="s">
        <v>5134</v>
      </c>
      <c r="B586" s="3" t="s">
        <v>7278</v>
      </c>
      <c r="C586" s="7">
        <v>23913.0</v>
      </c>
      <c r="D586" s="3" t="s">
        <v>63</v>
      </c>
      <c r="E586" s="3">
        <v>61.0</v>
      </c>
      <c r="F586" s="3" t="s">
        <v>70</v>
      </c>
      <c r="G586" s="6" t="s">
        <v>1049</v>
      </c>
      <c r="H586" s="3" t="s">
        <v>7279</v>
      </c>
      <c r="I586" s="3" t="s">
        <v>7280</v>
      </c>
      <c r="J586" s="3" t="s">
        <v>114</v>
      </c>
      <c r="K586" s="3" t="s">
        <v>118</v>
      </c>
      <c r="L586" s="6" t="s">
        <v>5439</v>
      </c>
      <c r="M586" s="3" t="s">
        <v>63</v>
      </c>
      <c r="N586" s="6" t="s">
        <v>5440</v>
      </c>
      <c r="O586" s="3" t="s">
        <v>63</v>
      </c>
      <c r="P586" s="3" t="s">
        <v>160</v>
      </c>
      <c r="Q586" s="8">
        <v>489962.0</v>
      </c>
      <c r="R586" s="3" t="s">
        <v>93</v>
      </c>
      <c r="S586" s="7">
        <v>39824.0</v>
      </c>
      <c r="T586" s="3" t="s">
        <v>63</v>
      </c>
      <c r="U586" s="6" t="s">
        <v>234</v>
      </c>
      <c r="V586" s="3" t="s">
        <v>237</v>
      </c>
      <c r="W586" s="3" t="s">
        <v>102</v>
      </c>
    </row>
    <row r="587" ht="15.75" customHeight="1">
      <c r="A587" s="6" t="s">
        <v>61</v>
      </c>
      <c r="B587" s="3" t="s">
        <v>7281</v>
      </c>
      <c r="C587" s="7">
        <v>32042.0</v>
      </c>
      <c r="D587" s="3" t="s">
        <v>63</v>
      </c>
      <c r="E587" s="3">
        <v>38.0</v>
      </c>
      <c r="F587" s="3" t="s">
        <v>70</v>
      </c>
      <c r="G587" s="6" t="s">
        <v>7282</v>
      </c>
      <c r="H587" s="3" t="s">
        <v>7283</v>
      </c>
      <c r="I587" s="3" t="s">
        <v>7284</v>
      </c>
      <c r="J587" s="3" t="s">
        <v>225</v>
      </c>
      <c r="K587" s="3" t="s">
        <v>101</v>
      </c>
      <c r="L587" s="6" t="s">
        <v>64</v>
      </c>
      <c r="M587" s="3" t="s">
        <v>63</v>
      </c>
      <c r="N587" s="6" t="s">
        <v>69</v>
      </c>
      <c r="O587" s="3" t="s">
        <v>63</v>
      </c>
      <c r="P587" s="3" t="s">
        <v>127</v>
      </c>
      <c r="Q587" s="8">
        <v>908596.0</v>
      </c>
      <c r="R587" s="3" t="s">
        <v>93</v>
      </c>
      <c r="S587" s="7">
        <v>43976.0</v>
      </c>
      <c r="T587" s="3" t="s">
        <v>63</v>
      </c>
      <c r="U587" s="6" t="s">
        <v>179</v>
      </c>
      <c r="V587" s="3" t="s">
        <v>4</v>
      </c>
      <c r="W587" s="3" t="s">
        <v>102</v>
      </c>
    </row>
    <row r="588" ht="15.75" customHeight="1">
      <c r="A588" s="6" t="s">
        <v>3552</v>
      </c>
      <c r="B588" s="3" t="s">
        <v>7285</v>
      </c>
      <c r="C588" s="7">
        <v>37556.0</v>
      </c>
      <c r="D588" s="3" t="s">
        <v>63</v>
      </c>
      <c r="E588" s="3">
        <v>23.0</v>
      </c>
      <c r="F588" s="3" t="s">
        <v>183</v>
      </c>
      <c r="G588" s="6" t="s">
        <v>7286</v>
      </c>
      <c r="H588" s="3" t="s">
        <v>7287</v>
      </c>
      <c r="I588" s="3" t="s">
        <v>3419</v>
      </c>
      <c r="J588" s="3" t="s">
        <v>184</v>
      </c>
      <c r="K588" s="3" t="s">
        <v>187</v>
      </c>
      <c r="L588" s="6" t="s">
        <v>3609</v>
      </c>
      <c r="M588" s="3" t="s">
        <v>63</v>
      </c>
      <c r="N588" s="6" t="s">
        <v>3611</v>
      </c>
      <c r="O588" s="3" t="s">
        <v>63</v>
      </c>
      <c r="P588" s="3" t="s">
        <v>324</v>
      </c>
      <c r="Q588" s="8">
        <v>1309884.0</v>
      </c>
      <c r="R588" s="3" t="s">
        <v>93</v>
      </c>
      <c r="S588" s="7">
        <v>39721.0</v>
      </c>
      <c r="T588" s="3" t="s">
        <v>63</v>
      </c>
      <c r="U588" s="6" t="s">
        <v>129</v>
      </c>
      <c r="V588" s="3" t="s">
        <v>4</v>
      </c>
      <c r="W588" s="3" t="s">
        <v>102</v>
      </c>
    </row>
    <row r="589" ht="15.75" customHeight="1">
      <c r="A589" s="6" t="s">
        <v>1886</v>
      </c>
      <c r="B589" s="3" t="s">
        <v>7288</v>
      </c>
      <c r="C589" s="7">
        <v>28626.0</v>
      </c>
      <c r="D589" s="3" t="s">
        <v>63</v>
      </c>
      <c r="E589" s="3">
        <v>48.0</v>
      </c>
      <c r="F589" s="3" t="s">
        <v>183</v>
      </c>
      <c r="G589" s="6" t="s">
        <v>7289</v>
      </c>
      <c r="H589" s="3" t="s">
        <v>7290</v>
      </c>
      <c r="I589" s="3" t="s">
        <v>7291</v>
      </c>
      <c r="J589" s="3" t="s">
        <v>305</v>
      </c>
      <c r="K589" s="3" t="s">
        <v>193</v>
      </c>
      <c r="L589" s="6" t="s">
        <v>5161</v>
      </c>
      <c r="M589" s="3" t="s">
        <v>63</v>
      </c>
      <c r="N589" s="6" t="s">
        <v>5162</v>
      </c>
      <c r="O589" s="3" t="s">
        <v>63</v>
      </c>
      <c r="P589" s="3" t="s">
        <v>127</v>
      </c>
      <c r="Q589" s="3"/>
      <c r="R589" s="3" t="s">
        <v>258</v>
      </c>
      <c r="S589" s="7">
        <v>45727.0</v>
      </c>
      <c r="T589" s="3" t="s">
        <v>63</v>
      </c>
      <c r="U589" s="6" t="s">
        <v>266</v>
      </c>
      <c r="V589" s="3" t="s">
        <v>4</v>
      </c>
      <c r="W589" s="3" t="s">
        <v>102</v>
      </c>
    </row>
    <row r="590" ht="15.75" customHeight="1">
      <c r="A590" s="6" t="s">
        <v>1576</v>
      </c>
      <c r="B590" s="3" t="s">
        <v>7292</v>
      </c>
      <c r="C590" s="7">
        <v>38159.0</v>
      </c>
      <c r="D590" s="3" t="s">
        <v>63</v>
      </c>
      <c r="E590" s="3">
        <v>22.0</v>
      </c>
      <c r="F590" s="3" t="s">
        <v>183</v>
      </c>
      <c r="G590" s="6" t="s">
        <v>7293</v>
      </c>
      <c r="H590" s="3" t="s">
        <v>7294</v>
      </c>
      <c r="I590" s="3" t="s">
        <v>7295</v>
      </c>
      <c r="J590" s="3" t="s">
        <v>114</v>
      </c>
      <c r="K590" s="3" t="s">
        <v>118</v>
      </c>
      <c r="L590" s="3"/>
      <c r="M590" s="3" t="s">
        <v>88</v>
      </c>
      <c r="N590" s="6" t="s">
        <v>5610</v>
      </c>
      <c r="O590" s="3" t="s">
        <v>63</v>
      </c>
      <c r="P590" s="3" t="s">
        <v>202</v>
      </c>
      <c r="Q590" s="8">
        <v>1707594.0</v>
      </c>
      <c r="R590" s="3" t="s">
        <v>93</v>
      </c>
      <c r="S590" s="7">
        <v>38937.0</v>
      </c>
      <c r="T590" s="3" t="s">
        <v>63</v>
      </c>
      <c r="U590" s="6" t="s">
        <v>262</v>
      </c>
      <c r="V590" s="3" t="s">
        <v>4</v>
      </c>
      <c r="W590" s="3" t="s">
        <v>102</v>
      </c>
    </row>
    <row r="591" ht="15.75" customHeight="1">
      <c r="A591" s="6" t="s">
        <v>5328</v>
      </c>
      <c r="B591" s="3" t="s">
        <v>7296</v>
      </c>
      <c r="C591" s="7">
        <v>32926.0</v>
      </c>
      <c r="D591" s="3" t="s">
        <v>63</v>
      </c>
      <c r="E591" s="3">
        <v>36.0</v>
      </c>
      <c r="F591" s="3" t="s">
        <v>183</v>
      </c>
      <c r="G591" s="6" t="s">
        <v>7297</v>
      </c>
      <c r="H591" s="3" t="s">
        <v>7298</v>
      </c>
      <c r="I591" s="3" t="s">
        <v>7299</v>
      </c>
      <c r="J591" s="3" t="s">
        <v>349</v>
      </c>
      <c r="K591" s="3" t="s">
        <v>45</v>
      </c>
      <c r="L591" s="3"/>
      <c r="M591" s="3" t="s">
        <v>88</v>
      </c>
      <c r="N591" s="6" t="s">
        <v>5329</v>
      </c>
      <c r="O591" s="3" t="s">
        <v>63</v>
      </c>
      <c r="P591" s="3" t="s">
        <v>396</v>
      </c>
      <c r="Q591" s="3"/>
      <c r="R591" s="3" t="s">
        <v>258</v>
      </c>
      <c r="S591" s="7">
        <v>40891.0</v>
      </c>
      <c r="T591" s="3" t="s">
        <v>63</v>
      </c>
      <c r="U591" s="6" t="s">
        <v>277</v>
      </c>
      <c r="V591" s="3" t="s">
        <v>4</v>
      </c>
      <c r="W591" s="3" t="s">
        <v>102</v>
      </c>
    </row>
    <row r="592" ht="15.75" customHeight="1">
      <c r="A592" s="6" t="s">
        <v>4285</v>
      </c>
      <c r="B592" s="3" t="s">
        <v>7157</v>
      </c>
      <c r="C592" s="7">
        <v>34021.0</v>
      </c>
      <c r="D592" s="3" t="s">
        <v>63</v>
      </c>
      <c r="E592" s="3">
        <v>33.0</v>
      </c>
      <c r="F592" s="3" t="s">
        <v>70</v>
      </c>
      <c r="G592" s="6" t="s">
        <v>7300</v>
      </c>
      <c r="H592" s="3" t="s">
        <v>7301</v>
      </c>
      <c r="I592" s="3" t="s">
        <v>7302</v>
      </c>
      <c r="J592" s="3" t="s">
        <v>358</v>
      </c>
      <c r="K592" s="3" t="s">
        <v>360</v>
      </c>
      <c r="L592" s="6" t="s">
        <v>4286</v>
      </c>
      <c r="M592" s="3" t="s">
        <v>63</v>
      </c>
      <c r="N592" s="6" t="s">
        <v>4288</v>
      </c>
      <c r="O592" s="3" t="s">
        <v>63</v>
      </c>
      <c r="P592" s="3" t="s">
        <v>202</v>
      </c>
      <c r="Q592" s="3"/>
      <c r="R592" s="3" t="s">
        <v>258</v>
      </c>
      <c r="S592" s="7">
        <v>44779.0</v>
      </c>
      <c r="T592" s="3" t="s">
        <v>63</v>
      </c>
      <c r="U592" s="6" t="s">
        <v>163</v>
      </c>
      <c r="V592" s="3" t="s">
        <v>4</v>
      </c>
      <c r="W592" s="3" t="s">
        <v>102</v>
      </c>
    </row>
    <row r="593" ht="15.75" customHeight="1">
      <c r="A593" s="6" t="s">
        <v>2068</v>
      </c>
      <c r="B593" s="3" t="s">
        <v>7303</v>
      </c>
      <c r="C593" s="7">
        <v>33240.0</v>
      </c>
      <c r="D593" s="3" t="s">
        <v>63</v>
      </c>
      <c r="E593" s="3">
        <v>35.0</v>
      </c>
      <c r="F593" s="3" t="s">
        <v>70</v>
      </c>
      <c r="G593" s="6" t="s">
        <v>7304</v>
      </c>
      <c r="H593" s="3" t="s">
        <v>7305</v>
      </c>
      <c r="I593" s="3" t="s">
        <v>7306</v>
      </c>
      <c r="J593" s="3" t="s">
        <v>327</v>
      </c>
      <c r="K593" s="3" t="s">
        <v>169</v>
      </c>
      <c r="L593" s="6" t="s">
        <v>2070</v>
      </c>
      <c r="M593" s="3" t="s">
        <v>63</v>
      </c>
      <c r="N593" s="3"/>
      <c r="O593" s="3" t="s">
        <v>88</v>
      </c>
      <c r="P593" s="3" t="s">
        <v>396</v>
      </c>
      <c r="Q593" s="8">
        <v>546429.0</v>
      </c>
      <c r="R593" s="3" t="s">
        <v>93</v>
      </c>
      <c r="S593" s="7">
        <v>40609.0</v>
      </c>
      <c r="T593" s="3" t="s">
        <v>63</v>
      </c>
      <c r="U593" s="6" t="s">
        <v>60</v>
      </c>
      <c r="V593" s="3" t="s">
        <v>4</v>
      </c>
      <c r="W593" s="3" t="s">
        <v>102</v>
      </c>
    </row>
    <row r="594" ht="15.75" customHeight="1">
      <c r="A594" s="6" t="s">
        <v>928</v>
      </c>
      <c r="B594" s="3" t="s">
        <v>7307</v>
      </c>
      <c r="C594" s="7">
        <v>31026.0</v>
      </c>
      <c r="D594" s="3" t="s">
        <v>63</v>
      </c>
      <c r="E594" s="3">
        <v>41.0</v>
      </c>
      <c r="F594" s="3" t="s">
        <v>70</v>
      </c>
      <c r="G594" s="6" t="s">
        <v>7308</v>
      </c>
      <c r="H594" s="3" t="s">
        <v>7309</v>
      </c>
      <c r="I594" s="3" t="s">
        <v>7310</v>
      </c>
      <c r="J594" s="3" t="s">
        <v>305</v>
      </c>
      <c r="K594" s="3" t="s">
        <v>193</v>
      </c>
      <c r="L594" s="6" t="s">
        <v>929</v>
      </c>
      <c r="M594" s="3" t="s">
        <v>63</v>
      </c>
      <c r="N594" s="6" t="s">
        <v>933</v>
      </c>
      <c r="O594" s="3" t="s">
        <v>63</v>
      </c>
      <c r="P594" s="3" t="s">
        <v>160</v>
      </c>
      <c r="Q594" s="3"/>
      <c r="R594" s="3" t="s">
        <v>258</v>
      </c>
      <c r="S594" s="7">
        <v>40880.0</v>
      </c>
      <c r="T594" s="3" t="s">
        <v>63</v>
      </c>
      <c r="U594" s="6" t="s">
        <v>92</v>
      </c>
      <c r="V594" s="3" t="s">
        <v>4</v>
      </c>
      <c r="W594" s="3" t="s">
        <v>102</v>
      </c>
    </row>
    <row r="595" ht="15.75" customHeight="1">
      <c r="A595" s="6" t="s">
        <v>1039</v>
      </c>
      <c r="B595" s="3" t="s">
        <v>1249</v>
      </c>
      <c r="C595" s="7">
        <v>21215.0</v>
      </c>
      <c r="D595" s="3" t="s">
        <v>63</v>
      </c>
      <c r="E595" s="3">
        <v>68.0</v>
      </c>
      <c r="F595" s="3" t="s">
        <v>70</v>
      </c>
      <c r="G595" s="6" t="s">
        <v>7311</v>
      </c>
      <c r="H595" s="3" t="s">
        <v>7312</v>
      </c>
      <c r="I595" s="3" t="s">
        <v>7313</v>
      </c>
      <c r="J595" s="3" t="s">
        <v>251</v>
      </c>
      <c r="K595" s="3" t="s">
        <v>251</v>
      </c>
      <c r="L595" s="6" t="s">
        <v>1041</v>
      </c>
      <c r="M595" s="3" t="s">
        <v>63</v>
      </c>
      <c r="N595" s="6" t="s">
        <v>1044</v>
      </c>
      <c r="O595" s="3" t="s">
        <v>63</v>
      </c>
      <c r="P595" s="3" t="s">
        <v>90</v>
      </c>
      <c r="Q595" s="3"/>
      <c r="R595" s="3" t="s">
        <v>258</v>
      </c>
      <c r="S595" s="7">
        <v>41972.0</v>
      </c>
      <c r="T595" s="3" t="s">
        <v>63</v>
      </c>
      <c r="U595" s="6" t="s">
        <v>197</v>
      </c>
      <c r="V595" s="3" t="s">
        <v>4</v>
      </c>
      <c r="W595" s="3" t="s">
        <v>102</v>
      </c>
    </row>
    <row r="596" ht="15.75" customHeight="1">
      <c r="A596" s="6" t="s">
        <v>1135</v>
      </c>
      <c r="B596" s="3" t="s">
        <v>7314</v>
      </c>
      <c r="C596" s="7">
        <v>26572.0</v>
      </c>
      <c r="D596" s="3" t="s">
        <v>63</v>
      </c>
      <c r="E596" s="3">
        <v>53.0</v>
      </c>
      <c r="F596" s="3" t="s">
        <v>183</v>
      </c>
      <c r="G596" s="6" t="s">
        <v>7315</v>
      </c>
      <c r="H596" s="3" t="s">
        <v>7316</v>
      </c>
      <c r="I596" s="3" t="s">
        <v>7317</v>
      </c>
      <c r="J596" s="3" t="s">
        <v>184</v>
      </c>
      <c r="K596" s="3" t="s">
        <v>187</v>
      </c>
      <c r="L596" s="6" t="s">
        <v>1137</v>
      </c>
      <c r="M596" s="3" t="s">
        <v>63</v>
      </c>
      <c r="N596" s="6" t="s">
        <v>1138</v>
      </c>
      <c r="O596" s="3" t="s">
        <v>63</v>
      </c>
      <c r="P596" s="3" t="s">
        <v>160</v>
      </c>
      <c r="Q596" s="8">
        <v>2228147.0</v>
      </c>
      <c r="R596" s="3" t="s">
        <v>93</v>
      </c>
      <c r="S596" s="7">
        <v>43780.0</v>
      </c>
      <c r="T596" s="3" t="s">
        <v>63</v>
      </c>
      <c r="U596" s="6" t="s">
        <v>385</v>
      </c>
      <c r="V596" s="3" t="s">
        <v>4</v>
      </c>
      <c r="W596" s="3" t="s">
        <v>378</v>
      </c>
    </row>
    <row r="597" ht="15.75" customHeight="1">
      <c r="A597" s="6" t="s">
        <v>3061</v>
      </c>
      <c r="B597" s="3" t="s">
        <v>7318</v>
      </c>
      <c r="C597" s="7">
        <v>37879.0</v>
      </c>
      <c r="D597" s="3" t="s">
        <v>63</v>
      </c>
      <c r="E597" s="3">
        <v>22.0</v>
      </c>
      <c r="F597" s="3" t="s">
        <v>183</v>
      </c>
      <c r="G597" s="6" t="s">
        <v>7319</v>
      </c>
      <c r="H597" s="3" t="s">
        <v>7320</v>
      </c>
      <c r="I597" s="3" t="s">
        <v>7321</v>
      </c>
      <c r="J597" s="3" t="s">
        <v>282</v>
      </c>
      <c r="K597" s="3" t="s">
        <v>229</v>
      </c>
      <c r="L597" s="6" t="s">
        <v>7322</v>
      </c>
      <c r="M597" s="3" t="s">
        <v>63</v>
      </c>
      <c r="N597" s="6" t="s">
        <v>7323</v>
      </c>
      <c r="O597" s="3" t="s">
        <v>63</v>
      </c>
      <c r="P597" s="3" t="s">
        <v>202</v>
      </c>
      <c r="Q597" s="3"/>
      <c r="R597" s="3" t="s">
        <v>258</v>
      </c>
      <c r="S597" s="7">
        <v>38480.0</v>
      </c>
      <c r="T597" s="3" t="s">
        <v>63</v>
      </c>
      <c r="U597" s="6" t="s">
        <v>163</v>
      </c>
      <c r="V597" s="3" t="s">
        <v>237</v>
      </c>
      <c r="W597" s="3" t="s">
        <v>102</v>
      </c>
    </row>
    <row r="598" ht="15.75" customHeight="1">
      <c r="A598" s="6" t="s">
        <v>5658</v>
      </c>
      <c r="B598" s="3" t="s">
        <v>7324</v>
      </c>
      <c r="C598" s="7">
        <v>28660.0</v>
      </c>
      <c r="D598" s="3" t="s">
        <v>63</v>
      </c>
      <c r="E598" s="3">
        <v>48.0</v>
      </c>
      <c r="F598" s="3" t="s">
        <v>183</v>
      </c>
      <c r="G598" s="6" t="s">
        <v>7325</v>
      </c>
      <c r="H598" s="3" t="s">
        <v>7326</v>
      </c>
      <c r="I598" s="3" t="s">
        <v>7327</v>
      </c>
      <c r="J598" s="3" t="s">
        <v>98</v>
      </c>
      <c r="K598" s="3" t="s">
        <v>101</v>
      </c>
      <c r="L598" s="6" t="s">
        <v>5659</v>
      </c>
      <c r="M598" s="3" t="s">
        <v>63</v>
      </c>
      <c r="N598" s="6" t="s">
        <v>5660</v>
      </c>
      <c r="O598" s="3" t="s">
        <v>63</v>
      </c>
      <c r="P598" s="3" t="s">
        <v>324</v>
      </c>
      <c r="Q598" s="3"/>
      <c r="R598" s="3" t="s">
        <v>258</v>
      </c>
      <c r="S598" s="7">
        <v>42067.0</v>
      </c>
      <c r="T598" s="3" t="s">
        <v>63</v>
      </c>
      <c r="U598" s="6" t="s">
        <v>277</v>
      </c>
      <c r="V598" s="3" t="s">
        <v>4</v>
      </c>
      <c r="W598" s="3" t="s">
        <v>102</v>
      </c>
    </row>
    <row r="599" ht="15.75" customHeight="1">
      <c r="A599" s="6" t="s">
        <v>1860</v>
      </c>
      <c r="B599" s="3" t="s">
        <v>7328</v>
      </c>
      <c r="C599" s="7">
        <v>32958.0</v>
      </c>
      <c r="D599" s="3" t="s">
        <v>63</v>
      </c>
      <c r="E599" s="3">
        <v>36.0</v>
      </c>
      <c r="F599" s="3" t="s">
        <v>70</v>
      </c>
      <c r="G599" s="6" t="s">
        <v>7329</v>
      </c>
      <c r="H599" s="3" t="s">
        <v>7330</v>
      </c>
      <c r="I599" s="3" t="s">
        <v>7331</v>
      </c>
      <c r="J599" s="3" t="s">
        <v>358</v>
      </c>
      <c r="K599" s="3" t="s">
        <v>360</v>
      </c>
      <c r="L599" s="6" t="s">
        <v>1863</v>
      </c>
      <c r="M599" s="3" t="s">
        <v>63</v>
      </c>
      <c r="N599" s="6" t="s">
        <v>1865</v>
      </c>
      <c r="O599" s="3" t="s">
        <v>63</v>
      </c>
      <c r="P599" s="3" t="s">
        <v>160</v>
      </c>
      <c r="Q599" s="3"/>
      <c r="R599" s="3" t="s">
        <v>258</v>
      </c>
      <c r="S599" s="7">
        <v>45516.0</v>
      </c>
      <c r="T599" s="3" t="s">
        <v>63</v>
      </c>
      <c r="U599" s="6" t="s">
        <v>80</v>
      </c>
      <c r="V599" s="3" t="s">
        <v>4</v>
      </c>
      <c r="W599" s="3" t="s">
        <v>102</v>
      </c>
    </row>
    <row r="600" ht="15.75" customHeight="1">
      <c r="A600" s="6" t="s">
        <v>974</v>
      </c>
      <c r="B600" s="3" t="s">
        <v>7332</v>
      </c>
      <c r="C600" s="7">
        <v>28126.0</v>
      </c>
      <c r="D600" s="3" t="s">
        <v>63</v>
      </c>
      <c r="E600" s="3">
        <v>49.0</v>
      </c>
      <c r="F600" s="3" t="s">
        <v>70</v>
      </c>
      <c r="G600" s="6" t="s">
        <v>7333</v>
      </c>
      <c r="H600" s="3"/>
      <c r="I600" s="3" t="s">
        <v>633</v>
      </c>
      <c r="J600" s="3" t="s">
        <v>167</v>
      </c>
      <c r="K600" s="3" t="s">
        <v>169</v>
      </c>
      <c r="L600" s="6" t="s">
        <v>3583</v>
      </c>
      <c r="M600" s="3" t="s">
        <v>63</v>
      </c>
      <c r="N600" s="6" t="s">
        <v>3585</v>
      </c>
      <c r="O600" s="3" t="s">
        <v>63</v>
      </c>
      <c r="P600" s="3" t="s">
        <v>202</v>
      </c>
      <c r="Q600" s="8">
        <v>768141.0</v>
      </c>
      <c r="R600" s="3" t="s">
        <v>93</v>
      </c>
      <c r="S600" s="7">
        <v>43721.0</v>
      </c>
      <c r="T600" s="3" t="s">
        <v>63</v>
      </c>
      <c r="U600" s="6" t="s">
        <v>163</v>
      </c>
      <c r="V600" s="3" t="s">
        <v>4</v>
      </c>
      <c r="W600" s="3" t="s">
        <v>102</v>
      </c>
    </row>
    <row r="601" ht="15.75" customHeight="1">
      <c r="A601" s="6" t="s">
        <v>986</v>
      </c>
      <c r="B601" s="3" t="s">
        <v>7334</v>
      </c>
      <c r="C601" s="7">
        <v>32823.0</v>
      </c>
      <c r="D601" s="3" t="s">
        <v>63</v>
      </c>
      <c r="E601" s="3">
        <v>36.0</v>
      </c>
      <c r="F601" s="3" t="s">
        <v>70</v>
      </c>
      <c r="G601" s="6" t="s">
        <v>7335</v>
      </c>
      <c r="H601" s="3" t="s">
        <v>7336</v>
      </c>
      <c r="I601" s="3" t="s">
        <v>7337</v>
      </c>
      <c r="J601" s="3" t="s">
        <v>65</v>
      </c>
      <c r="K601" s="3" t="s">
        <v>67</v>
      </c>
      <c r="L601" s="6" t="s">
        <v>4784</v>
      </c>
      <c r="M601" s="3" t="s">
        <v>63</v>
      </c>
      <c r="N601" s="6" t="s">
        <v>4785</v>
      </c>
      <c r="O601" s="3" t="s">
        <v>63</v>
      </c>
      <c r="P601" s="3" t="s">
        <v>372</v>
      </c>
      <c r="Q601" s="8">
        <v>813440.0</v>
      </c>
      <c r="R601" s="3" t="s">
        <v>93</v>
      </c>
      <c r="S601" s="7">
        <v>46000.0</v>
      </c>
      <c r="T601" s="3" t="s">
        <v>63</v>
      </c>
      <c r="U601" s="6" t="s">
        <v>262</v>
      </c>
      <c r="V601" s="3" t="s">
        <v>4</v>
      </c>
      <c r="W601" s="3" t="s">
        <v>102</v>
      </c>
    </row>
    <row r="602" ht="15.75" customHeight="1">
      <c r="A602" s="6" t="s">
        <v>1458</v>
      </c>
      <c r="B602" s="3" t="s">
        <v>7338</v>
      </c>
      <c r="C602" s="7">
        <v>30679.0</v>
      </c>
      <c r="D602" s="3" t="s">
        <v>63</v>
      </c>
      <c r="E602" s="3">
        <v>42.0</v>
      </c>
      <c r="F602" s="3" t="s">
        <v>70</v>
      </c>
      <c r="G602" s="6" t="s">
        <v>7339</v>
      </c>
      <c r="H602" s="3" t="s">
        <v>7340</v>
      </c>
      <c r="I602" s="3" t="s">
        <v>7341</v>
      </c>
      <c r="J602" s="3" t="s">
        <v>167</v>
      </c>
      <c r="K602" s="3" t="s">
        <v>169</v>
      </c>
      <c r="L602" s="6" t="s">
        <v>2595</v>
      </c>
      <c r="M602" s="3" t="s">
        <v>63</v>
      </c>
      <c r="N602" s="6" t="s">
        <v>2596</v>
      </c>
      <c r="O602" s="3" t="s">
        <v>63</v>
      </c>
      <c r="P602" s="3" t="s">
        <v>90</v>
      </c>
      <c r="Q602" s="8">
        <v>2253834.0</v>
      </c>
      <c r="R602" s="3" t="s">
        <v>93</v>
      </c>
      <c r="S602" s="7">
        <v>41868.0</v>
      </c>
      <c r="T602" s="3" t="s">
        <v>63</v>
      </c>
      <c r="U602" s="6" t="s">
        <v>277</v>
      </c>
      <c r="V602" s="3" t="s">
        <v>237</v>
      </c>
      <c r="W602" s="3" t="s">
        <v>102</v>
      </c>
    </row>
    <row r="603" ht="15.75" customHeight="1">
      <c r="A603" s="6" t="s">
        <v>6357</v>
      </c>
      <c r="B603" s="3" t="s">
        <v>7342</v>
      </c>
      <c r="C603" s="7">
        <v>33912.0</v>
      </c>
      <c r="D603" s="3" t="s">
        <v>63</v>
      </c>
      <c r="E603" s="3">
        <v>33.0</v>
      </c>
      <c r="F603" s="3" t="s">
        <v>183</v>
      </c>
      <c r="G603" s="6" t="s">
        <v>7343</v>
      </c>
      <c r="H603" s="3"/>
      <c r="I603" s="3" t="s">
        <v>7344</v>
      </c>
      <c r="J603" s="3" t="s">
        <v>379</v>
      </c>
      <c r="K603" s="3" t="s">
        <v>229</v>
      </c>
      <c r="L603" s="6" t="s">
        <v>6358</v>
      </c>
      <c r="M603" s="3" t="s">
        <v>63</v>
      </c>
      <c r="N603" s="6" t="s">
        <v>6360</v>
      </c>
      <c r="O603" s="3" t="s">
        <v>63</v>
      </c>
      <c r="P603" s="3" t="s">
        <v>160</v>
      </c>
      <c r="Q603" s="3"/>
      <c r="R603" s="3" t="s">
        <v>258</v>
      </c>
      <c r="S603" s="7">
        <v>44481.0</v>
      </c>
      <c r="T603" s="3" t="s">
        <v>63</v>
      </c>
      <c r="U603" s="6" t="s">
        <v>97</v>
      </c>
      <c r="V603" s="3" t="s">
        <v>4</v>
      </c>
      <c r="W603" s="3" t="s">
        <v>102</v>
      </c>
    </row>
    <row r="604" ht="15.75" customHeight="1">
      <c r="A604" s="6" t="s">
        <v>6106</v>
      </c>
      <c r="B604" s="3" t="s">
        <v>7345</v>
      </c>
      <c r="C604" s="7">
        <v>32351.0</v>
      </c>
      <c r="D604" s="3" t="s">
        <v>63</v>
      </c>
      <c r="E604" s="3">
        <v>38.0</v>
      </c>
      <c r="F604" s="3" t="s">
        <v>183</v>
      </c>
      <c r="G604" s="6" t="s">
        <v>7346</v>
      </c>
      <c r="H604" s="3"/>
      <c r="I604" s="3" t="s">
        <v>7347</v>
      </c>
      <c r="J604" s="3" t="s">
        <v>184</v>
      </c>
      <c r="K604" s="3" t="s">
        <v>187</v>
      </c>
      <c r="L604" s="6" t="s">
        <v>5951</v>
      </c>
      <c r="M604" s="3" t="s">
        <v>63</v>
      </c>
      <c r="N604" s="6" t="s">
        <v>5952</v>
      </c>
      <c r="O604" s="3" t="s">
        <v>63</v>
      </c>
      <c r="P604" s="3" t="s">
        <v>127</v>
      </c>
      <c r="Q604" s="3"/>
      <c r="R604" s="3" t="s">
        <v>258</v>
      </c>
      <c r="S604" s="7">
        <v>41923.0</v>
      </c>
      <c r="T604" s="3" t="s">
        <v>63</v>
      </c>
      <c r="U604" s="6" t="s">
        <v>171</v>
      </c>
      <c r="V604" s="3" t="s">
        <v>237</v>
      </c>
      <c r="W604" s="3" t="s">
        <v>378</v>
      </c>
    </row>
    <row r="605" ht="15.75" customHeight="1">
      <c r="A605" s="6" t="s">
        <v>7348</v>
      </c>
      <c r="B605" s="3" t="s">
        <v>7349</v>
      </c>
      <c r="C605" s="7">
        <v>30781.0</v>
      </c>
      <c r="D605" s="3" t="s">
        <v>63</v>
      </c>
      <c r="E605" s="3">
        <v>42.0</v>
      </c>
      <c r="F605" s="3" t="s">
        <v>183</v>
      </c>
      <c r="G605" s="6" t="s">
        <v>7350</v>
      </c>
      <c r="H605" s="3" t="s">
        <v>7351</v>
      </c>
      <c r="I605" s="3" t="s">
        <v>7352</v>
      </c>
      <c r="J605" s="3" t="s">
        <v>167</v>
      </c>
      <c r="K605" s="3" t="s">
        <v>169</v>
      </c>
      <c r="L605" s="6" t="s">
        <v>7353</v>
      </c>
      <c r="M605" s="3" t="s">
        <v>63</v>
      </c>
      <c r="N605" s="6" t="s">
        <v>7354</v>
      </c>
      <c r="O605" s="3" t="s">
        <v>63</v>
      </c>
      <c r="P605" s="3" t="s">
        <v>202</v>
      </c>
      <c r="Q605" s="8">
        <v>729526.0</v>
      </c>
      <c r="R605" s="3" t="s">
        <v>93</v>
      </c>
      <c r="S605" s="7">
        <v>39653.0</v>
      </c>
      <c r="T605" s="3" t="s">
        <v>63</v>
      </c>
      <c r="U605" s="6" t="s">
        <v>146</v>
      </c>
      <c r="V605" s="3" t="s">
        <v>4</v>
      </c>
      <c r="W605" s="3" t="s">
        <v>102</v>
      </c>
    </row>
    <row r="606" ht="15.75" customHeight="1">
      <c r="A606" s="6" t="s">
        <v>1006</v>
      </c>
      <c r="B606" s="3" t="s">
        <v>7355</v>
      </c>
      <c r="C606" s="7">
        <v>38302.0</v>
      </c>
      <c r="D606" s="3" t="s">
        <v>63</v>
      </c>
      <c r="E606" s="3">
        <v>21.0</v>
      </c>
      <c r="F606" s="3" t="s">
        <v>70</v>
      </c>
      <c r="G606" s="6" t="s">
        <v>7356</v>
      </c>
      <c r="H606" s="3" t="s">
        <v>7357</v>
      </c>
      <c r="I606" s="3" t="s">
        <v>7358</v>
      </c>
      <c r="J606" s="3" t="s">
        <v>151</v>
      </c>
      <c r="K606" s="3" t="s">
        <v>121</v>
      </c>
      <c r="L606" s="6" t="s">
        <v>4990</v>
      </c>
      <c r="M606" s="3" t="s">
        <v>63</v>
      </c>
      <c r="N606" s="6" t="s">
        <v>4991</v>
      </c>
      <c r="O606" s="3" t="s">
        <v>63</v>
      </c>
      <c r="P606" s="3" t="s">
        <v>464</v>
      </c>
      <c r="Q606" s="3"/>
      <c r="R606" s="3" t="s">
        <v>258</v>
      </c>
      <c r="S606" s="7">
        <v>39959.0</v>
      </c>
      <c r="T606" s="3" t="s">
        <v>63</v>
      </c>
      <c r="U606" s="6" t="s">
        <v>92</v>
      </c>
      <c r="V606" s="3" t="s">
        <v>4</v>
      </c>
      <c r="W606" s="3" t="s">
        <v>378</v>
      </c>
    </row>
    <row r="607" ht="15.75" customHeight="1">
      <c r="A607" s="6" t="s">
        <v>7359</v>
      </c>
      <c r="B607" s="3" t="s">
        <v>7360</v>
      </c>
      <c r="C607" s="7">
        <v>35170.0</v>
      </c>
      <c r="D607" s="3" t="s">
        <v>63</v>
      </c>
      <c r="E607" s="3">
        <v>30.0</v>
      </c>
      <c r="F607" s="3" t="s">
        <v>70</v>
      </c>
      <c r="G607" s="6" t="s">
        <v>7361</v>
      </c>
      <c r="H607" s="3" t="s">
        <v>7362</v>
      </c>
      <c r="I607" s="3" t="s">
        <v>7363</v>
      </c>
      <c r="J607" s="3" t="s">
        <v>251</v>
      </c>
      <c r="K607" s="3" t="s">
        <v>251</v>
      </c>
      <c r="L607" s="3"/>
      <c r="M607" s="3" t="s">
        <v>88</v>
      </c>
      <c r="N607" s="6" t="s">
        <v>7364</v>
      </c>
      <c r="O607" s="3" t="s">
        <v>63</v>
      </c>
      <c r="P607" s="3" t="s">
        <v>372</v>
      </c>
      <c r="Q607" s="8">
        <v>1432524.0</v>
      </c>
      <c r="R607" s="3" t="s">
        <v>93</v>
      </c>
      <c r="S607" s="7">
        <v>42279.0</v>
      </c>
      <c r="T607" s="3" t="s">
        <v>63</v>
      </c>
      <c r="U607" s="6" t="s">
        <v>234</v>
      </c>
      <c r="V607" s="3" t="s">
        <v>4</v>
      </c>
      <c r="W607" s="3" t="s">
        <v>102</v>
      </c>
    </row>
    <row r="608" ht="15.75" customHeight="1">
      <c r="A608" s="6" t="s">
        <v>2039</v>
      </c>
      <c r="B608" s="3" t="s">
        <v>7365</v>
      </c>
      <c r="C608" s="7">
        <v>34338.0</v>
      </c>
      <c r="D608" s="3" t="s">
        <v>63</v>
      </c>
      <c r="E608" s="3">
        <v>32.0</v>
      </c>
      <c r="F608" s="3" t="s">
        <v>70</v>
      </c>
      <c r="G608" s="6" t="s">
        <v>7366</v>
      </c>
      <c r="H608" s="3" t="s">
        <v>7367</v>
      </c>
      <c r="I608" s="3" t="s">
        <v>7368</v>
      </c>
      <c r="J608" s="3" t="s">
        <v>151</v>
      </c>
      <c r="K608" s="3" t="s">
        <v>121</v>
      </c>
      <c r="L608" s="6" t="s">
        <v>2040</v>
      </c>
      <c r="M608" s="3" t="s">
        <v>63</v>
      </c>
      <c r="N608" s="6" t="s">
        <v>2041</v>
      </c>
      <c r="O608" s="3" t="s">
        <v>63</v>
      </c>
      <c r="P608" s="3" t="s">
        <v>300</v>
      </c>
      <c r="Q608" s="8">
        <v>1976010.0</v>
      </c>
      <c r="R608" s="3" t="s">
        <v>93</v>
      </c>
      <c r="S608" s="7">
        <v>44156.0</v>
      </c>
      <c r="T608" s="3" t="s">
        <v>63</v>
      </c>
      <c r="U608" s="6" t="s">
        <v>36</v>
      </c>
      <c r="V608" s="3" t="s">
        <v>4</v>
      </c>
      <c r="W608" s="3" t="s">
        <v>102</v>
      </c>
    </row>
    <row r="609" ht="15.75" customHeight="1">
      <c r="A609" s="6" t="s">
        <v>178</v>
      </c>
      <c r="B609" s="3" t="s">
        <v>7369</v>
      </c>
      <c r="C609" s="7">
        <v>26535.0</v>
      </c>
      <c r="D609" s="3" t="s">
        <v>63</v>
      </c>
      <c r="E609" s="3">
        <v>53.0</v>
      </c>
      <c r="F609" s="3" t="s">
        <v>183</v>
      </c>
      <c r="G609" s="6" t="s">
        <v>7370</v>
      </c>
      <c r="H609" s="3" t="s">
        <v>7371</v>
      </c>
      <c r="I609" s="3" t="s">
        <v>7372</v>
      </c>
      <c r="J609" s="3" t="s">
        <v>6988</v>
      </c>
      <c r="K609" s="3" t="s">
        <v>67</v>
      </c>
      <c r="L609" s="6" t="s">
        <v>180</v>
      </c>
      <c r="M609" s="3" t="s">
        <v>63</v>
      </c>
      <c r="N609" s="6" t="s">
        <v>182</v>
      </c>
      <c r="O609" s="3" t="s">
        <v>63</v>
      </c>
      <c r="P609" s="3" t="s">
        <v>396</v>
      </c>
      <c r="Q609" s="3"/>
      <c r="R609" s="3" t="s">
        <v>258</v>
      </c>
      <c r="S609" s="7">
        <v>41317.0</v>
      </c>
      <c r="T609" s="3" t="s">
        <v>63</v>
      </c>
      <c r="U609" s="6" t="s">
        <v>92</v>
      </c>
      <c r="V609" s="3" t="s">
        <v>4</v>
      </c>
      <c r="W609" s="3" t="s">
        <v>102</v>
      </c>
    </row>
    <row r="610" ht="15.75" customHeight="1">
      <c r="A610" s="6" t="s">
        <v>6235</v>
      </c>
      <c r="B610" s="3" t="s">
        <v>7373</v>
      </c>
      <c r="C610" s="7">
        <v>32182.0</v>
      </c>
      <c r="D610" s="3" t="s">
        <v>63</v>
      </c>
      <c r="E610" s="3">
        <v>38.0</v>
      </c>
      <c r="F610" s="3" t="s">
        <v>70</v>
      </c>
      <c r="G610" s="6" t="s">
        <v>7374</v>
      </c>
      <c r="H610" s="3" t="s">
        <v>7375</v>
      </c>
      <c r="I610" s="3" t="s">
        <v>7376</v>
      </c>
      <c r="J610" s="3" t="s">
        <v>85</v>
      </c>
      <c r="K610" s="3" t="s">
        <v>67</v>
      </c>
      <c r="L610" s="6" t="s">
        <v>6237</v>
      </c>
      <c r="M610" s="3" t="s">
        <v>63</v>
      </c>
      <c r="N610" s="6" t="s">
        <v>6240</v>
      </c>
      <c r="O610" s="3" t="s">
        <v>63</v>
      </c>
      <c r="P610" s="3" t="s">
        <v>127</v>
      </c>
      <c r="Q610" s="8">
        <v>1039695.0</v>
      </c>
      <c r="R610" s="3" t="s">
        <v>93</v>
      </c>
      <c r="S610" s="7">
        <v>44888.0</v>
      </c>
      <c r="T610" s="3" t="s">
        <v>63</v>
      </c>
      <c r="U610" s="6" t="s">
        <v>208</v>
      </c>
      <c r="V610" s="3" t="s">
        <v>4</v>
      </c>
      <c r="W610" s="3" t="s">
        <v>102</v>
      </c>
    </row>
    <row r="611" ht="15.75" customHeight="1">
      <c r="A611" s="6" t="s">
        <v>1334</v>
      </c>
      <c r="B611" s="3" t="s">
        <v>7377</v>
      </c>
      <c r="C611" s="7">
        <v>36451.0</v>
      </c>
      <c r="D611" s="3" t="s">
        <v>63</v>
      </c>
      <c r="E611" s="3">
        <v>26.0</v>
      </c>
      <c r="F611" s="3" t="s">
        <v>183</v>
      </c>
      <c r="G611" s="6" t="s">
        <v>7378</v>
      </c>
      <c r="H611" s="3" t="s">
        <v>7379</v>
      </c>
      <c r="I611" s="3" t="s">
        <v>7380</v>
      </c>
      <c r="J611" s="3" t="s">
        <v>190</v>
      </c>
      <c r="K611" s="3" t="s">
        <v>193</v>
      </c>
      <c r="L611" s="6" t="s">
        <v>5393</v>
      </c>
      <c r="M611" s="3" t="s">
        <v>63</v>
      </c>
      <c r="N611" s="3"/>
      <c r="O611" s="3" t="s">
        <v>88</v>
      </c>
      <c r="P611" s="3" t="s">
        <v>396</v>
      </c>
      <c r="Q611" s="8">
        <v>1929309.0</v>
      </c>
      <c r="R611" s="3" t="s">
        <v>93</v>
      </c>
      <c r="S611" s="7">
        <v>41644.0</v>
      </c>
      <c r="T611" s="3" t="s">
        <v>63</v>
      </c>
      <c r="U611" s="6" t="s">
        <v>221</v>
      </c>
      <c r="V611" s="3" t="s">
        <v>4</v>
      </c>
      <c r="W611" s="3" t="s">
        <v>102</v>
      </c>
    </row>
    <row r="612" ht="15.75" customHeight="1">
      <c r="A612" s="6" t="s">
        <v>1627</v>
      </c>
      <c r="B612" s="3" t="s">
        <v>7381</v>
      </c>
      <c r="C612" s="7">
        <v>36783.0</v>
      </c>
      <c r="D612" s="3" t="s">
        <v>63</v>
      </c>
      <c r="E612" s="3">
        <v>25.0</v>
      </c>
      <c r="F612" s="3" t="s">
        <v>183</v>
      </c>
      <c r="G612" s="6" t="s">
        <v>7382</v>
      </c>
      <c r="H612" s="3" t="s">
        <v>7383</v>
      </c>
      <c r="I612" s="3" t="s">
        <v>7384</v>
      </c>
      <c r="J612" s="3" t="s">
        <v>282</v>
      </c>
      <c r="K612" s="3" t="s">
        <v>229</v>
      </c>
      <c r="L612" s="6" t="s">
        <v>574</v>
      </c>
      <c r="M612" s="3" t="s">
        <v>63</v>
      </c>
      <c r="N612" s="6" t="s">
        <v>575</v>
      </c>
      <c r="O612" s="3" t="s">
        <v>63</v>
      </c>
      <c r="P612" s="3" t="s">
        <v>396</v>
      </c>
      <c r="Q612" s="3"/>
      <c r="R612" s="3" t="s">
        <v>258</v>
      </c>
      <c r="S612" s="7">
        <v>38999.0</v>
      </c>
      <c r="T612" s="3" t="s">
        <v>63</v>
      </c>
      <c r="U612" s="6" t="s">
        <v>60</v>
      </c>
      <c r="V612" s="3" t="s">
        <v>4</v>
      </c>
      <c r="W612" s="3" t="s">
        <v>378</v>
      </c>
    </row>
    <row r="613" ht="15.75" customHeight="1">
      <c r="A613" s="6" t="s">
        <v>1977</v>
      </c>
      <c r="B613" s="3" t="s">
        <v>7385</v>
      </c>
      <c r="C613" s="7">
        <v>20597.0</v>
      </c>
      <c r="D613" s="3" t="s">
        <v>63</v>
      </c>
      <c r="E613" s="3">
        <v>70.0</v>
      </c>
      <c r="F613" s="3" t="s">
        <v>70</v>
      </c>
      <c r="G613" s="6" t="s">
        <v>7386</v>
      </c>
      <c r="H613" s="3" t="s">
        <v>7387</v>
      </c>
      <c r="I613" s="3" t="s">
        <v>7388</v>
      </c>
      <c r="J613" s="3" t="s">
        <v>271</v>
      </c>
      <c r="K613" s="3" t="s">
        <v>273</v>
      </c>
      <c r="L613" s="6" t="s">
        <v>1978</v>
      </c>
      <c r="M613" s="3" t="s">
        <v>63</v>
      </c>
      <c r="N613" s="6" t="s">
        <v>1979</v>
      </c>
      <c r="O613" s="3" t="s">
        <v>63</v>
      </c>
      <c r="P613" s="3" t="s">
        <v>202</v>
      </c>
      <c r="Q613" s="8">
        <v>1270367.0</v>
      </c>
      <c r="R613" s="3" t="s">
        <v>93</v>
      </c>
      <c r="S613" s="7">
        <v>41277.0</v>
      </c>
      <c r="T613" s="3" t="s">
        <v>63</v>
      </c>
      <c r="U613" s="6" t="s">
        <v>284</v>
      </c>
      <c r="V613" s="3" t="s">
        <v>4</v>
      </c>
      <c r="W613" s="3" t="s">
        <v>102</v>
      </c>
    </row>
    <row r="614" ht="15.75" customHeight="1">
      <c r="A614" s="6" t="s">
        <v>1713</v>
      </c>
      <c r="B614" s="3" t="s">
        <v>7389</v>
      </c>
      <c r="C614" s="7">
        <v>47332.0</v>
      </c>
      <c r="D614" s="3" t="s">
        <v>1155</v>
      </c>
      <c r="E614" s="3"/>
      <c r="F614" s="3" t="s">
        <v>70</v>
      </c>
      <c r="G614" s="6" t="s">
        <v>7390</v>
      </c>
      <c r="H614" s="3" t="s">
        <v>7391</v>
      </c>
      <c r="I614" s="3" t="s">
        <v>7392</v>
      </c>
      <c r="J614" s="3" t="s">
        <v>282</v>
      </c>
      <c r="K614" s="3" t="s">
        <v>229</v>
      </c>
      <c r="L614" s="6" t="s">
        <v>1717</v>
      </c>
      <c r="M614" s="3" t="s">
        <v>63</v>
      </c>
      <c r="N614" s="6" t="s">
        <v>1718</v>
      </c>
      <c r="O614" s="3" t="s">
        <v>63</v>
      </c>
      <c r="P614" s="3" t="s">
        <v>90</v>
      </c>
      <c r="Q614" s="8">
        <v>1072415.0</v>
      </c>
      <c r="R614" s="3" t="s">
        <v>93</v>
      </c>
      <c r="S614" s="7">
        <v>45317.0</v>
      </c>
      <c r="T614" s="3" t="s">
        <v>1178</v>
      </c>
      <c r="U614" s="6" t="s">
        <v>129</v>
      </c>
      <c r="V614" s="3" t="s">
        <v>237</v>
      </c>
      <c r="W614" s="3" t="s">
        <v>102</v>
      </c>
    </row>
    <row r="615" ht="15.75" customHeight="1">
      <c r="A615" s="6" t="s">
        <v>1242</v>
      </c>
      <c r="B615" s="3" t="s">
        <v>7393</v>
      </c>
      <c r="C615" s="7">
        <v>25747.0</v>
      </c>
      <c r="D615" s="3" t="s">
        <v>63</v>
      </c>
      <c r="E615" s="3">
        <v>56.0</v>
      </c>
      <c r="F615" s="3" t="s">
        <v>183</v>
      </c>
      <c r="G615" s="6" t="s">
        <v>7394</v>
      </c>
      <c r="H615" s="3" t="s">
        <v>7395</v>
      </c>
      <c r="I615" s="3" t="s">
        <v>7396</v>
      </c>
      <c r="J615" s="3" t="s">
        <v>337</v>
      </c>
      <c r="K615" s="3" t="s">
        <v>137</v>
      </c>
      <c r="L615" s="6" t="s">
        <v>1245</v>
      </c>
      <c r="M615" s="3" t="s">
        <v>63</v>
      </c>
      <c r="N615" s="6" t="s">
        <v>1248</v>
      </c>
      <c r="O615" s="3" t="s">
        <v>63</v>
      </c>
      <c r="P615" s="3" t="s">
        <v>90</v>
      </c>
      <c r="Q615" s="3"/>
      <c r="R615" s="3" t="s">
        <v>258</v>
      </c>
      <c r="S615" s="7">
        <v>45678.0</v>
      </c>
      <c r="T615" s="3" t="s">
        <v>63</v>
      </c>
      <c r="U615" s="6" t="s">
        <v>277</v>
      </c>
      <c r="V615" s="3" t="s">
        <v>4</v>
      </c>
      <c r="W615" s="3" t="s">
        <v>102</v>
      </c>
    </row>
    <row r="616" ht="15.75" customHeight="1">
      <c r="A616" s="6" t="s">
        <v>2134</v>
      </c>
      <c r="B616" s="3" t="s">
        <v>7397</v>
      </c>
      <c r="C616" s="7">
        <v>26988.0</v>
      </c>
      <c r="D616" s="3" t="s">
        <v>63</v>
      </c>
      <c r="E616" s="3">
        <v>52.0</v>
      </c>
      <c r="F616" s="3" t="s">
        <v>183</v>
      </c>
      <c r="G616" s="6" t="s">
        <v>7398</v>
      </c>
      <c r="H616" s="3" t="s">
        <v>7399</v>
      </c>
      <c r="I616" s="3" t="s">
        <v>7400</v>
      </c>
      <c r="J616" s="3" t="s">
        <v>225</v>
      </c>
      <c r="K616" s="3" t="s">
        <v>101</v>
      </c>
      <c r="L616" s="6" t="s">
        <v>5999</v>
      </c>
      <c r="M616" s="3" t="s">
        <v>63</v>
      </c>
      <c r="N616" s="6" t="s">
        <v>6001</v>
      </c>
      <c r="O616" s="3" t="s">
        <v>63</v>
      </c>
      <c r="P616" s="3" t="s">
        <v>90</v>
      </c>
      <c r="Q616" s="3"/>
      <c r="R616" s="3" t="s">
        <v>258</v>
      </c>
      <c r="S616" s="7">
        <v>38964.0</v>
      </c>
      <c r="T616" s="3" t="s">
        <v>63</v>
      </c>
      <c r="U616" s="6" t="s">
        <v>311</v>
      </c>
      <c r="V616" s="3" t="s">
        <v>4</v>
      </c>
      <c r="W616" s="3" t="s">
        <v>102</v>
      </c>
    </row>
    <row r="617" ht="15.75" customHeight="1">
      <c r="A617" s="6" t="s">
        <v>6196</v>
      </c>
      <c r="B617" s="3" t="s">
        <v>7401</v>
      </c>
      <c r="C617" s="7">
        <v>28163.0</v>
      </c>
      <c r="D617" s="3" t="s">
        <v>63</v>
      </c>
      <c r="E617" s="3">
        <v>49.0</v>
      </c>
      <c r="F617" s="3" t="s">
        <v>183</v>
      </c>
      <c r="G617" s="6" t="s">
        <v>7402</v>
      </c>
      <c r="H617" s="3" t="s">
        <v>7403</v>
      </c>
      <c r="I617" s="3" t="s">
        <v>7404</v>
      </c>
      <c r="J617" s="3" t="s">
        <v>79</v>
      </c>
      <c r="K617" s="3" t="s">
        <v>81</v>
      </c>
      <c r="L617" s="6" t="s">
        <v>6199</v>
      </c>
      <c r="M617" s="3" t="s">
        <v>63</v>
      </c>
      <c r="N617" s="6" t="s">
        <v>6201</v>
      </c>
      <c r="O617" s="3" t="s">
        <v>63</v>
      </c>
      <c r="P617" s="3" t="s">
        <v>464</v>
      </c>
      <c r="Q617" s="8">
        <v>1146856.0</v>
      </c>
      <c r="R617" s="3" t="s">
        <v>93</v>
      </c>
      <c r="S617" s="7">
        <v>43371.0</v>
      </c>
      <c r="T617" s="3" t="s">
        <v>63</v>
      </c>
      <c r="U617" s="6" t="s">
        <v>221</v>
      </c>
      <c r="V617" s="3" t="s">
        <v>4</v>
      </c>
      <c r="W617" s="3" t="s">
        <v>102</v>
      </c>
    </row>
    <row r="618" ht="15.75" customHeight="1">
      <c r="A618" s="6" t="s">
        <v>843</v>
      </c>
      <c r="B618" s="3" t="s">
        <v>7405</v>
      </c>
      <c r="C618" s="7">
        <v>22791.0</v>
      </c>
      <c r="D618" s="3" t="s">
        <v>63</v>
      </c>
      <c r="E618" s="3">
        <v>64.0</v>
      </c>
      <c r="F618" s="3" t="s">
        <v>70</v>
      </c>
      <c r="G618" s="6" t="s">
        <v>7406</v>
      </c>
      <c r="H618" s="3" t="s">
        <v>7407</v>
      </c>
      <c r="I618" s="3" t="s">
        <v>7408</v>
      </c>
      <c r="J618" s="3" t="s">
        <v>213</v>
      </c>
      <c r="K618" s="3" t="s">
        <v>67</v>
      </c>
      <c r="L618" s="6" t="s">
        <v>844</v>
      </c>
      <c r="M618" s="3" t="s">
        <v>63</v>
      </c>
      <c r="N618" s="6" t="s">
        <v>845</v>
      </c>
      <c r="O618" s="3" t="s">
        <v>63</v>
      </c>
      <c r="P618" s="3" t="s">
        <v>464</v>
      </c>
      <c r="Q618" s="3"/>
      <c r="R618" s="3" t="s">
        <v>258</v>
      </c>
      <c r="S618" s="7">
        <v>39358.0</v>
      </c>
      <c r="T618" s="3" t="s">
        <v>63</v>
      </c>
      <c r="U618" s="6" t="s">
        <v>129</v>
      </c>
      <c r="V618" s="3" t="s">
        <v>4</v>
      </c>
      <c r="W618" s="3" t="s">
        <v>102</v>
      </c>
    </row>
    <row r="619" ht="15.75" customHeight="1">
      <c r="A619" s="6" t="s">
        <v>1931</v>
      </c>
      <c r="B619" s="3" t="s">
        <v>7409</v>
      </c>
      <c r="C619" s="7">
        <v>35571.0</v>
      </c>
      <c r="D619" s="3" t="s">
        <v>63</v>
      </c>
      <c r="E619" s="3">
        <v>29.0</v>
      </c>
      <c r="F619" s="3" t="s">
        <v>183</v>
      </c>
      <c r="G619" s="6" t="s">
        <v>7410</v>
      </c>
      <c r="H619" s="3"/>
      <c r="I619" s="3" t="s">
        <v>7411</v>
      </c>
      <c r="J619" s="3" t="s">
        <v>153</v>
      </c>
      <c r="K619" s="3" t="s">
        <v>67</v>
      </c>
      <c r="L619" s="6" t="s">
        <v>1932</v>
      </c>
      <c r="M619" s="3" t="s">
        <v>63</v>
      </c>
      <c r="N619" s="6" t="s">
        <v>1935</v>
      </c>
      <c r="O619" s="3" t="s">
        <v>63</v>
      </c>
      <c r="P619" s="3" t="s">
        <v>464</v>
      </c>
      <c r="Q619" s="8">
        <v>521589.0</v>
      </c>
      <c r="R619" s="3" t="s">
        <v>93</v>
      </c>
      <c r="S619" s="7">
        <v>44636.0</v>
      </c>
      <c r="T619" s="3" t="s">
        <v>63</v>
      </c>
      <c r="U619" s="6" t="s">
        <v>284</v>
      </c>
      <c r="V619" s="3" t="s">
        <v>4</v>
      </c>
      <c r="W619" s="3" t="s">
        <v>102</v>
      </c>
    </row>
    <row r="620" ht="15.75" customHeight="1">
      <c r="A620" s="6" t="s">
        <v>2469</v>
      </c>
      <c r="B620" s="3" t="s">
        <v>4929</v>
      </c>
      <c r="C620" s="7">
        <v>47772.0</v>
      </c>
      <c r="D620" s="3" t="s">
        <v>1155</v>
      </c>
      <c r="E620" s="3"/>
      <c r="F620" s="3" t="s">
        <v>183</v>
      </c>
      <c r="G620" s="6" t="s">
        <v>7412</v>
      </c>
      <c r="H620" s="3" t="s">
        <v>4931</v>
      </c>
      <c r="I620" s="3" t="s">
        <v>4932</v>
      </c>
      <c r="J620" s="3" t="s">
        <v>114</v>
      </c>
      <c r="K620" s="3" t="s">
        <v>118</v>
      </c>
      <c r="L620" s="6" t="s">
        <v>3511</v>
      </c>
      <c r="M620" s="3" t="s">
        <v>63</v>
      </c>
      <c r="N620" s="6" t="s">
        <v>3512</v>
      </c>
      <c r="O620" s="3" t="s">
        <v>63</v>
      </c>
      <c r="P620" s="3" t="s">
        <v>372</v>
      </c>
      <c r="Q620" s="3"/>
      <c r="R620" s="3" t="s">
        <v>258</v>
      </c>
      <c r="S620" s="7">
        <v>42994.0</v>
      </c>
      <c r="T620" s="3" t="s">
        <v>1178</v>
      </c>
      <c r="U620" s="6" t="s">
        <v>385</v>
      </c>
      <c r="V620" s="3" t="s">
        <v>4</v>
      </c>
      <c r="W620" s="3" t="s">
        <v>378</v>
      </c>
    </row>
    <row r="621" ht="15.75" customHeight="1">
      <c r="A621" s="6" t="s">
        <v>4727</v>
      </c>
      <c r="B621" s="3" t="s">
        <v>7413</v>
      </c>
      <c r="C621" s="7">
        <v>33864.0</v>
      </c>
      <c r="D621" s="3" t="s">
        <v>63</v>
      </c>
      <c r="E621" s="3">
        <v>33.0</v>
      </c>
      <c r="F621" s="3" t="s">
        <v>70</v>
      </c>
      <c r="G621" s="6" t="s">
        <v>7414</v>
      </c>
      <c r="H621" s="3" t="s">
        <v>7415</v>
      </c>
      <c r="I621" s="3" t="s">
        <v>7416</v>
      </c>
      <c r="J621" s="3" t="s">
        <v>153</v>
      </c>
      <c r="K621" s="3" t="s">
        <v>67</v>
      </c>
      <c r="L621" s="6" t="s">
        <v>4728</v>
      </c>
      <c r="M621" s="3" t="s">
        <v>63</v>
      </c>
      <c r="N621" s="6" t="s">
        <v>4729</v>
      </c>
      <c r="O621" s="3" t="s">
        <v>63</v>
      </c>
      <c r="P621" s="3" t="s">
        <v>464</v>
      </c>
      <c r="Q621" s="8">
        <v>2060154.0</v>
      </c>
      <c r="R621" s="3" t="s">
        <v>93</v>
      </c>
      <c r="S621" s="7">
        <v>40960.0</v>
      </c>
      <c r="T621" s="3" t="s">
        <v>63</v>
      </c>
      <c r="U621" s="6" t="s">
        <v>311</v>
      </c>
      <c r="V621" s="3" t="s">
        <v>237</v>
      </c>
      <c r="W621" s="3" t="s">
        <v>102</v>
      </c>
    </row>
    <row r="622" ht="15.75" customHeight="1">
      <c r="A622" s="6" t="s">
        <v>636</v>
      </c>
      <c r="B622" s="3" t="s">
        <v>7417</v>
      </c>
      <c r="C622" s="7">
        <v>33136.0</v>
      </c>
      <c r="D622" s="3" t="s">
        <v>63</v>
      </c>
      <c r="E622" s="3">
        <v>35.0</v>
      </c>
      <c r="F622" s="3" t="s">
        <v>183</v>
      </c>
      <c r="G622" s="6" t="s">
        <v>7418</v>
      </c>
      <c r="H622" s="3" t="s">
        <v>7419</v>
      </c>
      <c r="I622" s="3" t="s">
        <v>7420</v>
      </c>
      <c r="J622" s="3" t="s">
        <v>134</v>
      </c>
      <c r="K622" s="3" t="s">
        <v>137</v>
      </c>
      <c r="L622" s="6" t="s">
        <v>638</v>
      </c>
      <c r="M622" s="3" t="s">
        <v>63</v>
      </c>
      <c r="N622" s="6" t="s">
        <v>639</v>
      </c>
      <c r="O622" s="3" t="s">
        <v>63</v>
      </c>
      <c r="P622" s="3" t="s">
        <v>127</v>
      </c>
      <c r="Q622" s="8">
        <v>2033037.0</v>
      </c>
      <c r="R622" s="3" t="s">
        <v>93</v>
      </c>
      <c r="S622" s="7">
        <v>40482.0</v>
      </c>
      <c r="T622" s="3" t="s">
        <v>63</v>
      </c>
      <c r="U622" s="6" t="s">
        <v>221</v>
      </c>
      <c r="V622" s="3" t="s">
        <v>237</v>
      </c>
      <c r="W622" s="3" t="s">
        <v>102</v>
      </c>
    </row>
    <row r="623" ht="15.75" customHeight="1">
      <c r="A623" s="6" t="s">
        <v>2207</v>
      </c>
      <c r="B623" s="3" t="s">
        <v>7055</v>
      </c>
      <c r="C623" s="7">
        <v>28529.0</v>
      </c>
      <c r="D623" s="3" t="s">
        <v>63</v>
      </c>
      <c r="E623" s="3">
        <v>48.0</v>
      </c>
      <c r="F623" s="3" t="s">
        <v>183</v>
      </c>
      <c r="G623" s="6" t="s">
        <v>7421</v>
      </c>
      <c r="H623" s="3" t="s">
        <v>7422</v>
      </c>
      <c r="I623" s="3" t="s">
        <v>7423</v>
      </c>
      <c r="J623" s="3" t="s">
        <v>227</v>
      </c>
      <c r="K623" s="3" t="s">
        <v>229</v>
      </c>
      <c r="L623" s="6" t="s">
        <v>2209</v>
      </c>
      <c r="M623" s="3" t="s">
        <v>63</v>
      </c>
      <c r="N623" s="6" t="s">
        <v>2213</v>
      </c>
      <c r="O623" s="3" t="s">
        <v>63</v>
      </c>
      <c r="P623" s="3" t="s">
        <v>160</v>
      </c>
      <c r="Q623" s="3"/>
      <c r="R623" s="3" t="s">
        <v>258</v>
      </c>
      <c r="S623" s="7">
        <v>41635.0</v>
      </c>
      <c r="T623" s="3" t="s">
        <v>63</v>
      </c>
      <c r="U623" s="6" t="s">
        <v>221</v>
      </c>
      <c r="V623" s="3" t="s">
        <v>4</v>
      </c>
      <c r="W623" s="3" t="s">
        <v>102</v>
      </c>
    </row>
    <row r="624" ht="15.75" customHeight="1">
      <c r="A624" s="6" t="s">
        <v>5122</v>
      </c>
      <c r="B624" s="3" t="s">
        <v>7424</v>
      </c>
      <c r="C624" s="7">
        <v>30206.0</v>
      </c>
      <c r="D624" s="3" t="s">
        <v>63</v>
      </c>
      <c r="E624" s="3">
        <v>43.0</v>
      </c>
      <c r="F624" s="3" t="s">
        <v>183</v>
      </c>
      <c r="G624" s="6" t="s">
        <v>7425</v>
      </c>
      <c r="H624" s="3" t="s">
        <v>7426</v>
      </c>
      <c r="I624" s="3" t="s">
        <v>7427</v>
      </c>
      <c r="J624" s="3" t="s">
        <v>250</v>
      </c>
      <c r="K624" s="3" t="s">
        <v>252</v>
      </c>
      <c r="L624" s="6" t="s">
        <v>5123</v>
      </c>
      <c r="M624" s="3" t="s">
        <v>63</v>
      </c>
      <c r="N624" s="3"/>
      <c r="O624" s="3" t="s">
        <v>88</v>
      </c>
      <c r="P624" s="3" t="s">
        <v>90</v>
      </c>
      <c r="Q624" s="3"/>
      <c r="R624" s="3" t="s">
        <v>258</v>
      </c>
      <c r="S624" s="7">
        <v>41939.0</v>
      </c>
      <c r="T624" s="3" t="s">
        <v>63</v>
      </c>
      <c r="U624" s="6" t="s">
        <v>109</v>
      </c>
      <c r="V624" s="3" t="s">
        <v>4</v>
      </c>
      <c r="W624" s="3" t="s">
        <v>102</v>
      </c>
    </row>
    <row r="625" ht="15.75" customHeight="1">
      <c r="A625" s="6" t="s">
        <v>2752</v>
      </c>
      <c r="B625" s="3" t="s">
        <v>7428</v>
      </c>
      <c r="C625" s="7">
        <v>37295.0</v>
      </c>
      <c r="D625" s="3" t="s">
        <v>63</v>
      </c>
      <c r="E625" s="3">
        <v>24.0</v>
      </c>
      <c r="F625" s="3" t="s">
        <v>70</v>
      </c>
      <c r="G625" s="6" t="s">
        <v>7429</v>
      </c>
      <c r="H625" s="3" t="s">
        <v>7430</v>
      </c>
      <c r="I625" s="3" t="s">
        <v>7431</v>
      </c>
      <c r="J625" s="3" t="s">
        <v>190</v>
      </c>
      <c r="K625" s="3" t="s">
        <v>193</v>
      </c>
      <c r="L625" s="3"/>
      <c r="M625" s="3" t="s">
        <v>88</v>
      </c>
      <c r="N625" s="6" t="s">
        <v>2893</v>
      </c>
      <c r="O625" s="3" t="s">
        <v>63</v>
      </c>
      <c r="P625" s="3" t="s">
        <v>464</v>
      </c>
      <c r="Q625" s="3"/>
      <c r="R625" s="3" t="s">
        <v>258</v>
      </c>
      <c r="S625" s="7">
        <v>39216.0</v>
      </c>
      <c r="T625" s="3" t="s">
        <v>63</v>
      </c>
      <c r="U625" s="6" t="s">
        <v>284</v>
      </c>
      <c r="V625" s="3" t="s">
        <v>4</v>
      </c>
      <c r="W625" s="3" t="s">
        <v>102</v>
      </c>
    </row>
    <row r="626" ht="15.75" customHeight="1">
      <c r="A626" s="6" t="s">
        <v>829</v>
      </c>
      <c r="B626" s="3" t="s">
        <v>4337</v>
      </c>
      <c r="C626" s="7">
        <v>22650.0</v>
      </c>
      <c r="D626" s="3" t="s">
        <v>63</v>
      </c>
      <c r="E626" s="3">
        <v>64.0</v>
      </c>
      <c r="F626" s="3" t="s">
        <v>70</v>
      </c>
      <c r="G626" s="6" t="s">
        <v>7432</v>
      </c>
      <c r="H626" s="3" t="s">
        <v>7433</v>
      </c>
      <c r="I626" s="3" t="s">
        <v>7434</v>
      </c>
      <c r="J626" s="3" t="s">
        <v>379</v>
      </c>
      <c r="K626" s="3" t="s">
        <v>229</v>
      </c>
      <c r="L626" s="6" t="s">
        <v>832</v>
      </c>
      <c r="M626" s="3" t="s">
        <v>63</v>
      </c>
      <c r="N626" s="6" t="s">
        <v>834</v>
      </c>
      <c r="O626" s="3" t="s">
        <v>63</v>
      </c>
      <c r="P626" s="3" t="s">
        <v>324</v>
      </c>
      <c r="Q626" s="3"/>
      <c r="R626" s="3" t="s">
        <v>258</v>
      </c>
      <c r="S626" s="7">
        <v>40569.0</v>
      </c>
      <c r="T626" s="3" t="s">
        <v>63</v>
      </c>
      <c r="U626" s="6" t="s">
        <v>92</v>
      </c>
      <c r="V626" s="3" t="s">
        <v>237</v>
      </c>
      <c r="W626" s="3" t="s">
        <v>102</v>
      </c>
    </row>
    <row r="627" ht="15.75" customHeight="1">
      <c r="A627" s="6" t="s">
        <v>1307</v>
      </c>
      <c r="B627" s="3" t="s">
        <v>7435</v>
      </c>
      <c r="C627" s="7">
        <v>21289.0</v>
      </c>
      <c r="D627" s="3" t="s">
        <v>63</v>
      </c>
      <c r="E627" s="3">
        <v>68.0</v>
      </c>
      <c r="F627" s="3" t="s">
        <v>183</v>
      </c>
      <c r="G627" s="6" t="s">
        <v>7436</v>
      </c>
      <c r="H627" s="3" t="s">
        <v>7437</v>
      </c>
      <c r="I627" s="3" t="s">
        <v>7438</v>
      </c>
      <c r="J627" s="3" t="s">
        <v>201</v>
      </c>
      <c r="K627" s="3" t="s">
        <v>203</v>
      </c>
      <c r="L627" s="6" t="s">
        <v>2427</v>
      </c>
      <c r="M627" s="3" t="s">
        <v>63</v>
      </c>
      <c r="N627" s="6" t="s">
        <v>2428</v>
      </c>
      <c r="O627" s="3" t="s">
        <v>63</v>
      </c>
      <c r="P627" s="3" t="s">
        <v>160</v>
      </c>
      <c r="Q627" s="3"/>
      <c r="R627" s="3" t="s">
        <v>258</v>
      </c>
      <c r="S627" s="7">
        <v>39387.0</v>
      </c>
      <c r="T627" s="3" t="s">
        <v>63</v>
      </c>
      <c r="U627" s="6" t="s">
        <v>163</v>
      </c>
      <c r="V627" s="3" t="s">
        <v>4</v>
      </c>
      <c r="W627" s="3" t="s">
        <v>102</v>
      </c>
    </row>
    <row r="628" ht="15.75" customHeight="1">
      <c r="A628" s="6" t="s">
        <v>4792</v>
      </c>
      <c r="B628" s="3" t="s">
        <v>7345</v>
      </c>
      <c r="C628" s="7">
        <v>32351.0</v>
      </c>
      <c r="D628" s="3" t="s">
        <v>63</v>
      </c>
      <c r="E628" s="3">
        <v>38.0</v>
      </c>
      <c r="F628" s="3" t="s">
        <v>183</v>
      </c>
      <c r="G628" s="6" t="s">
        <v>7439</v>
      </c>
      <c r="H628" s="3"/>
      <c r="I628" s="3" t="s">
        <v>7347</v>
      </c>
      <c r="J628" s="3" t="s">
        <v>184</v>
      </c>
      <c r="K628" s="3" t="s">
        <v>187</v>
      </c>
      <c r="L628" s="6" t="s">
        <v>5951</v>
      </c>
      <c r="M628" s="3" t="s">
        <v>63</v>
      </c>
      <c r="N628" s="6" t="s">
        <v>5952</v>
      </c>
      <c r="O628" s="3" t="s">
        <v>63</v>
      </c>
      <c r="P628" s="3" t="s">
        <v>127</v>
      </c>
      <c r="Q628" s="3"/>
      <c r="R628" s="3" t="s">
        <v>258</v>
      </c>
      <c r="S628" s="7">
        <v>41923.0</v>
      </c>
      <c r="T628" s="3" t="s">
        <v>63</v>
      </c>
      <c r="U628" s="6" t="s">
        <v>171</v>
      </c>
      <c r="V628" s="3" t="s">
        <v>237</v>
      </c>
      <c r="W628" s="3" t="s">
        <v>378</v>
      </c>
    </row>
    <row r="629" ht="15.75" customHeight="1">
      <c r="A629" s="6" t="s">
        <v>4787</v>
      </c>
      <c r="B629" s="3" t="s">
        <v>7440</v>
      </c>
      <c r="C629" s="7">
        <v>36294.0</v>
      </c>
      <c r="D629" s="3" t="s">
        <v>63</v>
      </c>
      <c r="E629" s="3">
        <v>27.0</v>
      </c>
      <c r="F629" s="3" t="s">
        <v>70</v>
      </c>
      <c r="G629" s="6" t="s">
        <v>7441</v>
      </c>
      <c r="H629" s="3" t="s">
        <v>7442</v>
      </c>
      <c r="I629" s="3" t="s">
        <v>7443</v>
      </c>
      <c r="J629" s="3" t="s">
        <v>134</v>
      </c>
      <c r="K629" s="3" t="s">
        <v>137</v>
      </c>
      <c r="L629" s="6" t="s">
        <v>6337</v>
      </c>
      <c r="M629" s="3" t="s">
        <v>63</v>
      </c>
      <c r="N629" s="6" t="s">
        <v>6338</v>
      </c>
      <c r="O629" s="3" t="s">
        <v>63</v>
      </c>
      <c r="P629" s="3" t="s">
        <v>464</v>
      </c>
      <c r="Q629" s="3"/>
      <c r="R629" s="3" t="s">
        <v>258</v>
      </c>
      <c r="S629" s="7">
        <v>41590.0</v>
      </c>
      <c r="T629" s="3" t="s">
        <v>63</v>
      </c>
      <c r="U629" s="6" t="s">
        <v>333</v>
      </c>
      <c r="V629" s="3" t="s">
        <v>237</v>
      </c>
      <c r="W629" s="3" t="s">
        <v>102</v>
      </c>
    </row>
    <row r="630" ht="15.75" customHeight="1">
      <c r="A630" s="6" t="s">
        <v>3409</v>
      </c>
      <c r="B630" s="3" t="s">
        <v>7444</v>
      </c>
      <c r="C630" s="7">
        <v>21732.0</v>
      </c>
      <c r="D630" s="3" t="s">
        <v>63</v>
      </c>
      <c r="E630" s="3">
        <v>67.0</v>
      </c>
      <c r="F630" s="3" t="s">
        <v>183</v>
      </c>
      <c r="G630" s="6" t="s">
        <v>7445</v>
      </c>
      <c r="H630" s="3" t="s">
        <v>7446</v>
      </c>
      <c r="I630" s="3" t="s">
        <v>7447</v>
      </c>
      <c r="J630" s="3" t="s">
        <v>379</v>
      </c>
      <c r="K630" s="3" t="s">
        <v>229</v>
      </c>
      <c r="L630" s="6" t="s">
        <v>4874</v>
      </c>
      <c r="M630" s="3" t="s">
        <v>63</v>
      </c>
      <c r="N630" s="6" t="s">
        <v>4875</v>
      </c>
      <c r="O630" s="3" t="s">
        <v>63</v>
      </c>
      <c r="P630" s="3" t="s">
        <v>372</v>
      </c>
      <c r="Q630" s="3"/>
      <c r="R630" s="3" t="s">
        <v>258</v>
      </c>
      <c r="S630" s="7">
        <v>41937.0</v>
      </c>
      <c r="T630" s="3" t="s">
        <v>63</v>
      </c>
      <c r="U630" s="6" t="s">
        <v>109</v>
      </c>
      <c r="V630" s="3" t="s">
        <v>4</v>
      </c>
      <c r="W630" s="3" t="s">
        <v>102</v>
      </c>
    </row>
    <row r="631" ht="15.75" customHeight="1">
      <c r="A631" s="6" t="s">
        <v>4419</v>
      </c>
      <c r="B631" s="3" t="s">
        <v>7448</v>
      </c>
      <c r="C631" s="7">
        <v>33686.0</v>
      </c>
      <c r="D631" s="3" t="s">
        <v>63</v>
      </c>
      <c r="E631" s="3">
        <v>34.0</v>
      </c>
      <c r="F631" s="3" t="s">
        <v>70</v>
      </c>
      <c r="G631" s="6" t="s">
        <v>7449</v>
      </c>
      <c r="H631" s="3" t="s">
        <v>7450</v>
      </c>
      <c r="I631" s="3" t="s">
        <v>7451</v>
      </c>
      <c r="J631" s="3" t="s">
        <v>153</v>
      </c>
      <c r="K631" s="3" t="s">
        <v>67</v>
      </c>
      <c r="L631" s="3"/>
      <c r="M631" s="3" t="s">
        <v>88</v>
      </c>
      <c r="N631" s="6" t="s">
        <v>4420</v>
      </c>
      <c r="O631" s="3" t="s">
        <v>63</v>
      </c>
      <c r="P631" s="3" t="s">
        <v>372</v>
      </c>
      <c r="Q631" s="3"/>
      <c r="R631" s="3" t="s">
        <v>258</v>
      </c>
      <c r="S631" s="7">
        <v>44747.0</v>
      </c>
      <c r="T631" s="3" t="s">
        <v>63</v>
      </c>
      <c r="U631" s="6" t="s">
        <v>163</v>
      </c>
      <c r="V631" s="3" t="s">
        <v>4</v>
      </c>
      <c r="W631" s="3" t="s">
        <v>102</v>
      </c>
    </row>
    <row r="632" ht="15.75" customHeight="1">
      <c r="A632" s="6" t="s">
        <v>6067</v>
      </c>
      <c r="B632" s="3" t="s">
        <v>7452</v>
      </c>
      <c r="C632" s="7">
        <v>32791.0</v>
      </c>
      <c r="D632" s="3" t="s">
        <v>63</v>
      </c>
      <c r="E632" s="3">
        <v>36.0</v>
      </c>
      <c r="F632" s="3" t="s">
        <v>183</v>
      </c>
      <c r="G632" s="6" t="s">
        <v>7453</v>
      </c>
      <c r="H632" s="3" t="s">
        <v>7454</v>
      </c>
      <c r="I632" s="3" t="s">
        <v>7455</v>
      </c>
      <c r="J632" s="3" t="s">
        <v>227</v>
      </c>
      <c r="K632" s="3" t="s">
        <v>229</v>
      </c>
      <c r="L632" s="6" t="s">
        <v>6406</v>
      </c>
      <c r="M632" s="3" t="s">
        <v>63</v>
      </c>
      <c r="N632" s="6" t="s">
        <v>6407</v>
      </c>
      <c r="O632" s="3" t="s">
        <v>63</v>
      </c>
      <c r="P632" s="3" t="s">
        <v>300</v>
      </c>
      <c r="Q632" s="3"/>
      <c r="R632" s="3" t="s">
        <v>258</v>
      </c>
      <c r="S632" s="7">
        <v>44085.0</v>
      </c>
      <c r="T632" s="3" t="s">
        <v>63</v>
      </c>
      <c r="U632" s="6" t="s">
        <v>36</v>
      </c>
      <c r="V632" s="3" t="s">
        <v>4</v>
      </c>
      <c r="W632" s="3" t="s">
        <v>102</v>
      </c>
    </row>
    <row r="633" ht="15.75" customHeight="1">
      <c r="A633" s="6" t="s">
        <v>2577</v>
      </c>
      <c r="B633" s="3" t="s">
        <v>7456</v>
      </c>
      <c r="C633" s="7">
        <v>27264.0</v>
      </c>
      <c r="D633" s="3" t="s">
        <v>63</v>
      </c>
      <c r="E633" s="3">
        <v>51.0</v>
      </c>
      <c r="F633" s="3" t="s">
        <v>183</v>
      </c>
      <c r="G633" s="6" t="s">
        <v>7457</v>
      </c>
      <c r="H633" s="3" t="s">
        <v>7458</v>
      </c>
      <c r="I633" s="3" t="s">
        <v>7459</v>
      </c>
      <c r="J633" s="3" t="s">
        <v>153</v>
      </c>
      <c r="K633" s="3" t="s">
        <v>67</v>
      </c>
      <c r="L633" s="6" t="s">
        <v>5360</v>
      </c>
      <c r="M633" s="3" t="s">
        <v>63</v>
      </c>
      <c r="N633" s="6" t="s">
        <v>5361</v>
      </c>
      <c r="O633" s="3" t="s">
        <v>63</v>
      </c>
      <c r="P633" s="3" t="s">
        <v>202</v>
      </c>
      <c r="Q633" s="3"/>
      <c r="R633" s="3" t="s">
        <v>258</v>
      </c>
      <c r="S633" s="7">
        <v>44496.0</v>
      </c>
      <c r="T633" s="3" t="s">
        <v>63</v>
      </c>
      <c r="U633" s="6" t="s">
        <v>385</v>
      </c>
      <c r="V633" s="3" t="s">
        <v>4</v>
      </c>
      <c r="W633" s="3" t="s">
        <v>102</v>
      </c>
    </row>
    <row r="634" ht="15.75" customHeight="1">
      <c r="A634" s="6" t="s">
        <v>3812</v>
      </c>
      <c r="B634" s="3" t="s">
        <v>997</v>
      </c>
      <c r="C634" s="7">
        <v>25956.0</v>
      </c>
      <c r="D634" s="3" t="s">
        <v>63</v>
      </c>
      <c r="E634" s="3">
        <v>55.0</v>
      </c>
      <c r="F634" s="3" t="s">
        <v>70</v>
      </c>
      <c r="G634" s="6" t="s">
        <v>1049</v>
      </c>
      <c r="H634" s="3" t="s">
        <v>1001</v>
      </c>
      <c r="I634" s="3" t="s">
        <v>1004</v>
      </c>
      <c r="J634" s="3" t="s">
        <v>305</v>
      </c>
      <c r="K634" s="3" t="s">
        <v>193</v>
      </c>
      <c r="L634" s="6" t="s">
        <v>1008</v>
      </c>
      <c r="M634" s="3" t="s">
        <v>63</v>
      </c>
      <c r="N634" s="6" t="s">
        <v>1009</v>
      </c>
      <c r="O634" s="3" t="s">
        <v>63</v>
      </c>
      <c r="P634" s="3" t="s">
        <v>396</v>
      </c>
      <c r="Q634" s="3"/>
      <c r="R634" s="3" t="s">
        <v>258</v>
      </c>
      <c r="S634" s="7">
        <v>39095.0</v>
      </c>
      <c r="T634" s="3" t="s">
        <v>63</v>
      </c>
      <c r="U634" s="6" t="s">
        <v>333</v>
      </c>
      <c r="V634" s="3" t="s">
        <v>4</v>
      </c>
      <c r="W634" s="3" t="s">
        <v>378</v>
      </c>
    </row>
    <row r="635" ht="15.75" customHeight="1">
      <c r="A635" s="6" t="s">
        <v>792</v>
      </c>
      <c r="B635" s="3" t="s">
        <v>7460</v>
      </c>
      <c r="C635" s="7">
        <v>25953.0</v>
      </c>
      <c r="D635" s="3" t="s">
        <v>63</v>
      </c>
      <c r="E635" s="3">
        <v>55.0</v>
      </c>
      <c r="F635" s="3" t="s">
        <v>183</v>
      </c>
      <c r="G635" s="6" t="s">
        <v>7461</v>
      </c>
      <c r="H635" s="3" t="s">
        <v>7462</v>
      </c>
      <c r="I635" s="3" t="s">
        <v>7463</v>
      </c>
      <c r="J635" s="3" t="s">
        <v>184</v>
      </c>
      <c r="K635" s="3" t="s">
        <v>187</v>
      </c>
      <c r="L635" s="6" t="s">
        <v>919</v>
      </c>
      <c r="M635" s="3" t="s">
        <v>620</v>
      </c>
      <c r="N635" s="6" t="s">
        <v>920</v>
      </c>
      <c r="O635" s="3" t="s">
        <v>63</v>
      </c>
      <c r="P635" s="3" t="s">
        <v>300</v>
      </c>
      <c r="Q635" s="3"/>
      <c r="R635" s="3" t="s">
        <v>258</v>
      </c>
      <c r="S635" s="7">
        <v>42596.0</v>
      </c>
      <c r="T635" s="3" t="s">
        <v>63</v>
      </c>
      <c r="U635" s="6" t="s">
        <v>277</v>
      </c>
      <c r="V635" s="3" t="s">
        <v>237</v>
      </c>
      <c r="W635" s="3" t="s">
        <v>378</v>
      </c>
    </row>
    <row r="636" ht="15.75" customHeight="1">
      <c r="A636" s="6" t="s">
        <v>2354</v>
      </c>
      <c r="B636" s="3" t="s">
        <v>7464</v>
      </c>
      <c r="C636" s="7">
        <v>20727.0</v>
      </c>
      <c r="D636" s="3" t="s">
        <v>63</v>
      </c>
      <c r="E636" s="3">
        <v>69.0</v>
      </c>
      <c r="F636" s="3" t="s">
        <v>70</v>
      </c>
      <c r="G636" s="6" t="s">
        <v>7465</v>
      </c>
      <c r="H636" s="3" t="s">
        <v>7466</v>
      </c>
      <c r="I636" s="3" t="s">
        <v>7467</v>
      </c>
      <c r="J636" s="3" t="s">
        <v>271</v>
      </c>
      <c r="K636" s="3" t="s">
        <v>273</v>
      </c>
      <c r="L636" s="6" t="s">
        <v>5730</v>
      </c>
      <c r="M636" s="3" t="s">
        <v>63</v>
      </c>
      <c r="N636" s="6" t="s">
        <v>5732</v>
      </c>
      <c r="O636" s="3" t="s">
        <v>63</v>
      </c>
      <c r="P636" s="3" t="s">
        <v>464</v>
      </c>
      <c r="Q636" s="8">
        <v>2314034.0</v>
      </c>
      <c r="R636" s="3" t="s">
        <v>93</v>
      </c>
      <c r="S636" s="7">
        <v>38625.0</v>
      </c>
      <c r="T636" s="3" t="s">
        <v>63</v>
      </c>
      <c r="U636" s="6" t="s">
        <v>234</v>
      </c>
      <c r="V636" s="3" t="s">
        <v>4</v>
      </c>
      <c r="W636" s="3" t="s">
        <v>102</v>
      </c>
    </row>
    <row r="637" ht="15.75" customHeight="1">
      <c r="A637" s="6" t="s">
        <v>1000</v>
      </c>
      <c r="B637" s="3" t="s">
        <v>7468</v>
      </c>
      <c r="C637" s="7">
        <v>27073.0</v>
      </c>
      <c r="D637" s="3" t="s">
        <v>63</v>
      </c>
      <c r="E637" s="3">
        <v>52.0</v>
      </c>
      <c r="F637" s="3" t="s">
        <v>183</v>
      </c>
      <c r="G637" s="6" t="s">
        <v>7469</v>
      </c>
      <c r="H637" s="3" t="s">
        <v>7470</v>
      </c>
      <c r="I637" s="3" t="s">
        <v>7471</v>
      </c>
      <c r="J637" s="3" t="s">
        <v>119</v>
      </c>
      <c r="K637" s="3" t="s">
        <v>121</v>
      </c>
      <c r="L637" s="6" t="s">
        <v>1003</v>
      </c>
      <c r="M637" s="3" t="s">
        <v>63</v>
      </c>
      <c r="N637" s="6" t="s">
        <v>1007</v>
      </c>
      <c r="O637" s="3" t="s">
        <v>63</v>
      </c>
      <c r="P637" s="3" t="s">
        <v>324</v>
      </c>
      <c r="Q637" s="8">
        <v>2106830.0</v>
      </c>
      <c r="R637" s="3" t="s">
        <v>93</v>
      </c>
      <c r="S637" s="7">
        <v>42617.0</v>
      </c>
      <c r="T637" s="3" t="s">
        <v>63</v>
      </c>
      <c r="U637" s="6" t="s">
        <v>401</v>
      </c>
      <c r="V637" s="3" t="s">
        <v>4</v>
      </c>
      <c r="W637" s="3" t="s">
        <v>102</v>
      </c>
    </row>
    <row r="638" ht="15.75" customHeight="1">
      <c r="A638" s="6" t="s">
        <v>4810</v>
      </c>
      <c r="B638" s="3" t="s">
        <v>7472</v>
      </c>
      <c r="C638" s="7">
        <v>23091.0</v>
      </c>
      <c r="D638" s="3" t="s">
        <v>63</v>
      </c>
      <c r="E638" s="3">
        <v>63.0</v>
      </c>
      <c r="F638" s="3" t="s">
        <v>183</v>
      </c>
      <c r="G638" s="6" t="s">
        <v>7473</v>
      </c>
      <c r="H638" s="3" t="s">
        <v>7474</v>
      </c>
      <c r="I638" s="3" t="s">
        <v>7475</v>
      </c>
      <c r="J638" s="3" t="s">
        <v>79</v>
      </c>
      <c r="K638" s="3" t="s">
        <v>81</v>
      </c>
      <c r="L638" s="6" t="s">
        <v>4811</v>
      </c>
      <c r="M638" s="3" t="s">
        <v>63</v>
      </c>
      <c r="N638" s="3"/>
      <c r="O638" s="3" t="s">
        <v>88</v>
      </c>
      <c r="P638" s="3" t="s">
        <v>127</v>
      </c>
      <c r="Q638" s="8">
        <v>1921090.0</v>
      </c>
      <c r="R638" s="3" t="s">
        <v>93</v>
      </c>
      <c r="S638" s="7">
        <v>43286.0</v>
      </c>
      <c r="T638" s="3" t="s">
        <v>63</v>
      </c>
      <c r="U638" s="6" t="s">
        <v>284</v>
      </c>
      <c r="V638" s="3" t="s">
        <v>4</v>
      </c>
      <c r="W638" s="3" t="s">
        <v>102</v>
      </c>
    </row>
    <row r="639" ht="15.75" customHeight="1">
      <c r="A639" s="6" t="s">
        <v>2044</v>
      </c>
      <c r="B639" s="3" t="s">
        <v>7476</v>
      </c>
      <c r="C639" s="7">
        <v>46570.0</v>
      </c>
      <c r="D639" s="3" t="s">
        <v>1155</v>
      </c>
      <c r="E639" s="3"/>
      <c r="F639" s="3" t="s">
        <v>70</v>
      </c>
      <c r="G639" s="6" t="s">
        <v>7477</v>
      </c>
      <c r="H639" s="3"/>
      <c r="I639" s="3" t="s">
        <v>7478</v>
      </c>
      <c r="J639" s="3" t="s">
        <v>98</v>
      </c>
      <c r="K639" s="3" t="s">
        <v>101</v>
      </c>
      <c r="L639" s="6" t="s">
        <v>5979</v>
      </c>
      <c r="M639" s="3" t="s">
        <v>63</v>
      </c>
      <c r="N639" s="6" t="s">
        <v>5980</v>
      </c>
      <c r="O639" s="3" t="s">
        <v>63</v>
      </c>
      <c r="P639" s="3" t="s">
        <v>372</v>
      </c>
      <c r="Q639" s="3"/>
      <c r="R639" s="3" t="s">
        <v>258</v>
      </c>
      <c r="S639" s="7">
        <v>42316.0</v>
      </c>
      <c r="T639" s="3" t="s">
        <v>1178</v>
      </c>
      <c r="U639" s="6" t="s">
        <v>262</v>
      </c>
      <c r="V639" s="3" t="s">
        <v>237</v>
      </c>
      <c r="W639" s="3" t="s">
        <v>102</v>
      </c>
    </row>
    <row r="640" ht="15.75" customHeight="1">
      <c r="A640" s="6" t="s">
        <v>4009</v>
      </c>
      <c r="B640" s="3" t="s">
        <v>7479</v>
      </c>
      <c r="C640" s="7">
        <v>22898.0</v>
      </c>
      <c r="D640" s="3" t="s">
        <v>63</v>
      </c>
      <c r="E640" s="3">
        <v>63.0</v>
      </c>
      <c r="F640" s="3" t="s">
        <v>183</v>
      </c>
      <c r="G640" s="6" t="s">
        <v>7480</v>
      </c>
      <c r="H640" s="3" t="s">
        <v>7481</v>
      </c>
      <c r="I640" s="3" t="s">
        <v>7482</v>
      </c>
      <c r="J640" s="3" t="s">
        <v>151</v>
      </c>
      <c r="K640" s="3" t="s">
        <v>121</v>
      </c>
      <c r="L640" s="6" t="s">
        <v>5663</v>
      </c>
      <c r="M640" s="3" t="s">
        <v>63</v>
      </c>
      <c r="N640" s="6" t="s">
        <v>5664</v>
      </c>
      <c r="O640" s="3" t="s">
        <v>63</v>
      </c>
      <c r="P640" s="3" t="s">
        <v>90</v>
      </c>
      <c r="Q640" s="3"/>
      <c r="R640" s="3" t="s">
        <v>258</v>
      </c>
      <c r="S640" s="7">
        <v>40784.0</v>
      </c>
      <c r="T640" s="3" t="s">
        <v>63</v>
      </c>
      <c r="U640" s="6" t="s">
        <v>92</v>
      </c>
      <c r="V640" s="3" t="s">
        <v>4</v>
      </c>
      <c r="W640" s="3" t="s">
        <v>102</v>
      </c>
    </row>
    <row r="641" ht="15.75" customHeight="1">
      <c r="A641" s="6" t="s">
        <v>291</v>
      </c>
      <c r="B641" s="3" t="s">
        <v>7483</v>
      </c>
      <c r="C641" s="7">
        <v>25644.0</v>
      </c>
      <c r="D641" s="3" t="s">
        <v>63</v>
      </c>
      <c r="E641" s="3">
        <v>56.0</v>
      </c>
      <c r="F641" s="3" t="s">
        <v>183</v>
      </c>
      <c r="G641" s="6" t="s">
        <v>7484</v>
      </c>
      <c r="H641" s="3" t="s">
        <v>7485</v>
      </c>
      <c r="I641" s="3" t="s">
        <v>7486</v>
      </c>
      <c r="J641" s="3" t="s">
        <v>349</v>
      </c>
      <c r="K641" s="3" t="s">
        <v>45</v>
      </c>
      <c r="L641" s="6" t="s">
        <v>294</v>
      </c>
      <c r="M641" s="3" t="s">
        <v>63</v>
      </c>
      <c r="N641" s="6" t="s">
        <v>296</v>
      </c>
      <c r="O641" s="3" t="s">
        <v>63</v>
      </c>
      <c r="P641" s="3" t="s">
        <v>202</v>
      </c>
      <c r="Q641" s="3"/>
      <c r="R641" s="3" t="s">
        <v>258</v>
      </c>
      <c r="S641" s="7">
        <v>40056.0</v>
      </c>
      <c r="T641" s="3" t="s">
        <v>63</v>
      </c>
      <c r="U641" s="6" t="s">
        <v>136</v>
      </c>
      <c r="V641" s="3" t="s">
        <v>4</v>
      </c>
      <c r="W641" s="3" t="s">
        <v>102</v>
      </c>
    </row>
    <row r="642" ht="15.75" customHeight="1">
      <c r="A642" s="6" t="s">
        <v>2829</v>
      </c>
      <c r="B642" s="3" t="s">
        <v>7487</v>
      </c>
      <c r="C642" s="7">
        <v>31088.0</v>
      </c>
      <c r="D642" s="3" t="s">
        <v>63</v>
      </c>
      <c r="E642" s="3">
        <v>41.0</v>
      </c>
      <c r="F642" s="3" t="s">
        <v>70</v>
      </c>
      <c r="G642" s="6" t="s">
        <v>7488</v>
      </c>
      <c r="H642" s="3" t="s">
        <v>7489</v>
      </c>
      <c r="I642" s="3" t="s">
        <v>7490</v>
      </c>
      <c r="J642" s="3" t="s">
        <v>119</v>
      </c>
      <c r="K642" s="3" t="s">
        <v>121</v>
      </c>
      <c r="L642" s="6" t="s">
        <v>7491</v>
      </c>
      <c r="M642" s="3" t="s">
        <v>63</v>
      </c>
      <c r="N642" s="6" t="s">
        <v>7492</v>
      </c>
      <c r="O642" s="3" t="s">
        <v>63</v>
      </c>
      <c r="P642" s="3" t="s">
        <v>160</v>
      </c>
      <c r="Q642" s="8">
        <v>1372551.0</v>
      </c>
      <c r="R642" s="3" t="s">
        <v>93</v>
      </c>
      <c r="S642" s="7">
        <v>45002.0</v>
      </c>
      <c r="T642" s="3" t="s">
        <v>63</v>
      </c>
      <c r="U642" s="6" t="s">
        <v>333</v>
      </c>
      <c r="V642" s="3" t="s">
        <v>4</v>
      </c>
      <c r="W642" s="3" t="s">
        <v>102</v>
      </c>
    </row>
    <row r="643" ht="15.75" customHeight="1">
      <c r="A643" s="6" t="s">
        <v>3675</v>
      </c>
      <c r="B643" s="3" t="s">
        <v>7493</v>
      </c>
      <c r="C643" s="7">
        <v>36961.0</v>
      </c>
      <c r="D643" s="3" t="s">
        <v>63</v>
      </c>
      <c r="E643" s="3">
        <v>25.0</v>
      </c>
      <c r="F643" s="3" t="s">
        <v>70</v>
      </c>
      <c r="G643" s="6" t="s">
        <v>7494</v>
      </c>
      <c r="H643" s="3" t="s">
        <v>7495</v>
      </c>
      <c r="I643" s="3" t="s">
        <v>7496</v>
      </c>
      <c r="J643" s="3" t="s">
        <v>114</v>
      </c>
      <c r="K643" s="3" t="s">
        <v>118</v>
      </c>
      <c r="L643" s="6" t="s">
        <v>3676</v>
      </c>
      <c r="M643" s="3" t="s">
        <v>63</v>
      </c>
      <c r="N643" s="3"/>
      <c r="O643" s="3" t="s">
        <v>88</v>
      </c>
      <c r="P643" s="3" t="s">
        <v>202</v>
      </c>
      <c r="Q643" s="8">
        <v>1975926.0</v>
      </c>
      <c r="R643" s="3" t="s">
        <v>93</v>
      </c>
      <c r="S643" s="7">
        <v>39357.0</v>
      </c>
      <c r="T643" s="3" t="s">
        <v>63</v>
      </c>
      <c r="U643" s="6" t="s">
        <v>284</v>
      </c>
      <c r="V643" s="3" t="s">
        <v>4</v>
      </c>
      <c r="W643" s="3" t="s">
        <v>102</v>
      </c>
    </row>
    <row r="644" ht="15.75" customHeight="1">
      <c r="A644" s="6" t="s">
        <v>5099</v>
      </c>
      <c r="B644" s="3" t="s">
        <v>7497</v>
      </c>
      <c r="C644" s="7">
        <v>28121.0</v>
      </c>
      <c r="D644" s="3" t="s">
        <v>63</v>
      </c>
      <c r="E644" s="3">
        <v>49.0</v>
      </c>
      <c r="F644" s="3" t="s">
        <v>70</v>
      </c>
      <c r="G644" s="3"/>
      <c r="H644" s="3" t="s">
        <v>7498</v>
      </c>
      <c r="I644" s="3" t="s">
        <v>7499</v>
      </c>
      <c r="J644" s="3" t="s">
        <v>327</v>
      </c>
      <c r="K644" s="3" t="s">
        <v>169</v>
      </c>
      <c r="L644" s="6" t="s">
        <v>5100</v>
      </c>
      <c r="M644" s="3" t="s">
        <v>63</v>
      </c>
      <c r="N644" s="6" t="s">
        <v>5102</v>
      </c>
      <c r="O644" s="3" t="s">
        <v>63</v>
      </c>
      <c r="P644" s="3" t="s">
        <v>464</v>
      </c>
      <c r="Q644" s="8">
        <v>1205906.0</v>
      </c>
      <c r="R644" s="3" t="s">
        <v>93</v>
      </c>
      <c r="S644" s="7">
        <v>43279.0</v>
      </c>
      <c r="T644" s="3" t="s">
        <v>63</v>
      </c>
      <c r="U644" s="6" t="s">
        <v>266</v>
      </c>
      <c r="V644" s="3" t="s">
        <v>4</v>
      </c>
      <c r="W644" s="3" t="s">
        <v>102</v>
      </c>
    </row>
    <row r="645" ht="15.75" customHeight="1">
      <c r="A645" s="6" t="s">
        <v>958</v>
      </c>
      <c r="B645" s="3" t="s">
        <v>7500</v>
      </c>
      <c r="C645" s="7">
        <v>25984.0</v>
      </c>
      <c r="D645" s="3" t="s">
        <v>63</v>
      </c>
      <c r="E645" s="3">
        <v>55.0</v>
      </c>
      <c r="F645" s="3" t="s">
        <v>70</v>
      </c>
      <c r="G645" s="6" t="s">
        <v>7501</v>
      </c>
      <c r="H645" s="3" t="s">
        <v>7502</v>
      </c>
      <c r="I645" s="3" t="s">
        <v>7503</v>
      </c>
      <c r="J645" s="3" t="s">
        <v>98</v>
      </c>
      <c r="K645" s="3" t="s">
        <v>101</v>
      </c>
      <c r="L645" s="6" t="s">
        <v>2634</v>
      </c>
      <c r="M645" s="3" t="s">
        <v>63</v>
      </c>
      <c r="N645" s="6" t="s">
        <v>2635</v>
      </c>
      <c r="O645" s="3" t="s">
        <v>63</v>
      </c>
      <c r="P645" s="3" t="s">
        <v>300</v>
      </c>
      <c r="Q645" s="3"/>
      <c r="R645" s="3" t="s">
        <v>258</v>
      </c>
      <c r="S645" s="7">
        <v>43022.0</v>
      </c>
      <c r="T645" s="3" t="s">
        <v>63</v>
      </c>
      <c r="U645" s="6" t="s">
        <v>401</v>
      </c>
      <c r="V645" s="3" t="s">
        <v>4</v>
      </c>
      <c r="W645" s="3" t="s">
        <v>102</v>
      </c>
    </row>
    <row r="646" ht="15.75" customHeight="1">
      <c r="A646" s="6" t="s">
        <v>2247</v>
      </c>
      <c r="B646" s="3" t="s">
        <v>7504</v>
      </c>
      <c r="C646" s="7">
        <v>26477.0</v>
      </c>
      <c r="D646" s="3" t="s">
        <v>63</v>
      </c>
      <c r="E646" s="3">
        <v>54.0</v>
      </c>
      <c r="F646" s="3" t="s">
        <v>70</v>
      </c>
      <c r="G646" s="6" t="s">
        <v>1049</v>
      </c>
      <c r="H646" s="3" t="s">
        <v>7505</v>
      </c>
      <c r="I646" s="3" t="s">
        <v>7506</v>
      </c>
      <c r="J646" s="3" t="s">
        <v>251</v>
      </c>
      <c r="K646" s="3" t="s">
        <v>251</v>
      </c>
      <c r="L646" s="6" t="s">
        <v>3938</v>
      </c>
      <c r="M646" s="3" t="s">
        <v>63</v>
      </c>
      <c r="N646" s="6" t="s">
        <v>3940</v>
      </c>
      <c r="O646" s="3" t="s">
        <v>63</v>
      </c>
      <c r="P646" s="3" t="s">
        <v>372</v>
      </c>
      <c r="Q646" s="3"/>
      <c r="R646" s="3" t="s">
        <v>258</v>
      </c>
      <c r="S646" s="7">
        <v>41028.0</v>
      </c>
      <c r="T646" s="3" t="s">
        <v>63</v>
      </c>
      <c r="U646" s="6" t="s">
        <v>385</v>
      </c>
      <c r="V646" s="3" t="s">
        <v>4</v>
      </c>
      <c r="W646" s="3" t="s">
        <v>102</v>
      </c>
    </row>
    <row r="647" ht="15.75" customHeight="1">
      <c r="A647" s="6" t="s">
        <v>2626</v>
      </c>
      <c r="B647" s="3" t="s">
        <v>7507</v>
      </c>
      <c r="C647" s="7">
        <v>29239.0</v>
      </c>
      <c r="D647" s="3" t="s">
        <v>63</v>
      </c>
      <c r="E647" s="3">
        <v>46.0</v>
      </c>
      <c r="F647" s="3" t="s">
        <v>70</v>
      </c>
      <c r="G647" s="6" t="s">
        <v>7508</v>
      </c>
      <c r="H647" s="3" t="s">
        <v>7509</v>
      </c>
      <c r="I647" s="3" t="s">
        <v>7510</v>
      </c>
      <c r="J647" s="3" t="s">
        <v>167</v>
      </c>
      <c r="K647" s="3" t="s">
        <v>169</v>
      </c>
      <c r="L647" s="6" t="s">
        <v>5550</v>
      </c>
      <c r="M647" s="3" t="s">
        <v>63</v>
      </c>
      <c r="N647" s="6" t="s">
        <v>5552</v>
      </c>
      <c r="O647" s="3" t="s">
        <v>63</v>
      </c>
      <c r="P647" s="3" t="s">
        <v>396</v>
      </c>
      <c r="Q647" s="8">
        <v>532524.0</v>
      </c>
      <c r="R647" s="3" t="s">
        <v>93</v>
      </c>
      <c r="S647" s="7">
        <v>41186.0</v>
      </c>
      <c r="T647" s="3" t="s">
        <v>63</v>
      </c>
      <c r="U647" s="6" t="s">
        <v>129</v>
      </c>
      <c r="V647" s="3" t="s">
        <v>4</v>
      </c>
      <c r="W647" s="3" t="s">
        <v>102</v>
      </c>
    </row>
    <row r="648" ht="15.75" customHeight="1">
      <c r="A648" s="6" t="s">
        <v>6206</v>
      </c>
      <c r="B648" s="3" t="s">
        <v>7511</v>
      </c>
      <c r="C648" s="7">
        <v>33644.0</v>
      </c>
      <c r="D648" s="3" t="s">
        <v>63</v>
      </c>
      <c r="E648" s="3">
        <v>34.0</v>
      </c>
      <c r="F648" s="3" t="s">
        <v>183</v>
      </c>
      <c r="G648" s="6" t="s">
        <v>7512</v>
      </c>
      <c r="H648" s="3" t="s">
        <v>7513</v>
      </c>
      <c r="I648" s="3" t="s">
        <v>7514</v>
      </c>
      <c r="J648" s="3" t="s">
        <v>85</v>
      </c>
      <c r="K648" s="3" t="s">
        <v>67</v>
      </c>
      <c r="L648" s="6" t="s">
        <v>6207</v>
      </c>
      <c r="M648" s="3" t="s">
        <v>63</v>
      </c>
      <c r="N648" s="6" t="s">
        <v>6208</v>
      </c>
      <c r="O648" s="3" t="s">
        <v>63</v>
      </c>
      <c r="P648" s="3" t="s">
        <v>160</v>
      </c>
      <c r="Q648" s="3"/>
      <c r="R648" s="3" t="s">
        <v>258</v>
      </c>
      <c r="S648" s="7">
        <v>44648.0</v>
      </c>
      <c r="T648" s="3" t="s">
        <v>63</v>
      </c>
      <c r="U648" s="6" t="s">
        <v>284</v>
      </c>
      <c r="V648" s="3" t="s">
        <v>4</v>
      </c>
      <c r="W648" s="3" t="s">
        <v>102</v>
      </c>
    </row>
    <row r="649" ht="15.75" customHeight="1">
      <c r="A649" s="6" t="s">
        <v>5687</v>
      </c>
      <c r="B649" s="3" t="s">
        <v>2340</v>
      </c>
      <c r="C649" s="7">
        <v>30032.0</v>
      </c>
      <c r="D649" s="3" t="s">
        <v>63</v>
      </c>
      <c r="E649" s="3">
        <v>44.0</v>
      </c>
      <c r="F649" s="3" t="s">
        <v>70</v>
      </c>
      <c r="G649" s="6" t="s">
        <v>7515</v>
      </c>
      <c r="H649" s="3" t="s">
        <v>2346</v>
      </c>
      <c r="I649" s="3" t="s">
        <v>2348</v>
      </c>
      <c r="J649" s="3" t="s">
        <v>282</v>
      </c>
      <c r="K649" s="3" t="s">
        <v>229</v>
      </c>
      <c r="L649" s="6" t="s">
        <v>2350</v>
      </c>
      <c r="M649" s="3" t="s">
        <v>63</v>
      </c>
      <c r="N649" s="6" t="s">
        <v>2352</v>
      </c>
      <c r="O649" s="3" t="s">
        <v>63</v>
      </c>
      <c r="P649" s="3" t="s">
        <v>372</v>
      </c>
      <c r="Q649" s="3"/>
      <c r="R649" s="3" t="s">
        <v>258</v>
      </c>
      <c r="S649" s="7">
        <v>38978.0</v>
      </c>
      <c r="T649" s="3" t="s">
        <v>63</v>
      </c>
      <c r="U649" s="6" t="s">
        <v>288</v>
      </c>
      <c r="V649" s="3" t="s">
        <v>4</v>
      </c>
      <c r="W649" s="3" t="s">
        <v>378</v>
      </c>
    </row>
    <row r="650" ht="15.75" customHeight="1">
      <c r="A650" s="6" t="s">
        <v>2480</v>
      </c>
      <c r="B650" s="3" t="s">
        <v>7516</v>
      </c>
      <c r="C650" s="7">
        <v>37731.0</v>
      </c>
      <c r="D650" s="3" t="s">
        <v>63</v>
      </c>
      <c r="E650" s="3">
        <v>23.0</v>
      </c>
      <c r="F650" s="3" t="s">
        <v>183</v>
      </c>
      <c r="G650" s="6" t="s">
        <v>7517</v>
      </c>
      <c r="H650" s="3" t="s">
        <v>7518</v>
      </c>
      <c r="I650" s="3" t="s">
        <v>7519</v>
      </c>
      <c r="J650" s="3" t="s">
        <v>305</v>
      </c>
      <c r="K650" s="3" t="s">
        <v>193</v>
      </c>
      <c r="L650" s="6" t="s">
        <v>2481</v>
      </c>
      <c r="M650" s="3" t="s">
        <v>63</v>
      </c>
      <c r="N650" s="3"/>
      <c r="O650" s="3" t="s">
        <v>88</v>
      </c>
      <c r="P650" s="3" t="s">
        <v>372</v>
      </c>
      <c r="Q650" s="3"/>
      <c r="R650" s="3" t="s">
        <v>258</v>
      </c>
      <c r="S650" s="7">
        <v>40737.0</v>
      </c>
      <c r="T650" s="3" t="s">
        <v>63</v>
      </c>
      <c r="U650" s="6" t="s">
        <v>234</v>
      </c>
      <c r="V650" s="3" t="s">
        <v>4</v>
      </c>
      <c r="W650" s="3" t="s">
        <v>102</v>
      </c>
    </row>
    <row r="651" ht="15.75" customHeight="1">
      <c r="A651" s="6" t="s">
        <v>1559</v>
      </c>
      <c r="B651" s="3" t="s">
        <v>6616</v>
      </c>
      <c r="C651" s="7">
        <v>21635.0</v>
      </c>
      <c r="D651" s="3" t="s">
        <v>63</v>
      </c>
      <c r="E651" s="3">
        <v>67.0</v>
      </c>
      <c r="F651" s="3" t="s">
        <v>70</v>
      </c>
      <c r="G651" s="6" t="s">
        <v>7520</v>
      </c>
      <c r="H651" s="3" t="s">
        <v>7521</v>
      </c>
      <c r="I651" s="3" t="s">
        <v>7522</v>
      </c>
      <c r="J651" s="3" t="s">
        <v>153</v>
      </c>
      <c r="K651" s="3" t="s">
        <v>67</v>
      </c>
      <c r="L651" s="6" t="s">
        <v>5642</v>
      </c>
      <c r="M651" s="3" t="s">
        <v>63</v>
      </c>
      <c r="N651" s="6" t="s">
        <v>5644</v>
      </c>
      <c r="O651" s="3" t="s">
        <v>63</v>
      </c>
      <c r="P651" s="3" t="s">
        <v>464</v>
      </c>
      <c r="Q651" s="8">
        <v>1346387.0</v>
      </c>
      <c r="R651" s="3" t="s">
        <v>93</v>
      </c>
      <c r="S651" s="7">
        <v>39859.0</v>
      </c>
      <c r="T651" s="3" t="s">
        <v>63</v>
      </c>
      <c r="U651" s="6" t="s">
        <v>333</v>
      </c>
      <c r="V651" s="3" t="s">
        <v>4</v>
      </c>
      <c r="W651" s="3" t="s">
        <v>102</v>
      </c>
    </row>
    <row r="652" ht="15.75" customHeight="1">
      <c r="A652" s="6" t="s">
        <v>2749</v>
      </c>
      <c r="B652" s="3" t="s">
        <v>7192</v>
      </c>
      <c r="C652" s="7">
        <v>31819.0</v>
      </c>
      <c r="D652" s="3" t="s">
        <v>63</v>
      </c>
      <c r="E652" s="3">
        <v>39.0</v>
      </c>
      <c r="F652" s="3" t="s">
        <v>70</v>
      </c>
      <c r="G652" s="6" t="s">
        <v>7523</v>
      </c>
      <c r="H652" s="3" t="s">
        <v>7194</v>
      </c>
      <c r="I652" s="3" t="s">
        <v>7195</v>
      </c>
      <c r="J652" s="3" t="s">
        <v>227</v>
      </c>
      <c r="K652" s="3" t="s">
        <v>229</v>
      </c>
      <c r="L652" s="6" t="s">
        <v>2349</v>
      </c>
      <c r="M652" s="3" t="s">
        <v>63</v>
      </c>
      <c r="N652" s="6" t="s">
        <v>2351</v>
      </c>
      <c r="O652" s="3" t="s">
        <v>63</v>
      </c>
      <c r="P652" s="3" t="s">
        <v>372</v>
      </c>
      <c r="Q652" s="8">
        <v>1407769.0</v>
      </c>
      <c r="R652" s="3" t="s">
        <v>93</v>
      </c>
      <c r="S652" s="7">
        <v>39762.0</v>
      </c>
      <c r="T652" s="3" t="s">
        <v>63</v>
      </c>
      <c r="U652" s="6" t="s">
        <v>245</v>
      </c>
      <c r="V652" s="3" t="s">
        <v>4</v>
      </c>
      <c r="W652" s="3" t="s">
        <v>378</v>
      </c>
    </row>
    <row r="653" ht="15.75" customHeight="1">
      <c r="A653" s="6" t="s">
        <v>4573</v>
      </c>
      <c r="B653" s="3" t="s">
        <v>7524</v>
      </c>
      <c r="C653" s="7">
        <v>35211.0</v>
      </c>
      <c r="D653" s="3" t="s">
        <v>63</v>
      </c>
      <c r="E653" s="3">
        <v>30.0</v>
      </c>
      <c r="F653" s="3" t="s">
        <v>70</v>
      </c>
      <c r="G653" s="6" t="s">
        <v>7525</v>
      </c>
      <c r="H653" s="3" t="s">
        <v>7526</v>
      </c>
      <c r="I653" s="3" t="s">
        <v>7527</v>
      </c>
      <c r="J653" s="3" t="s">
        <v>225</v>
      </c>
      <c r="K653" s="3" t="s">
        <v>101</v>
      </c>
      <c r="L653" s="6" t="s">
        <v>4837</v>
      </c>
      <c r="M653" s="3" t="s">
        <v>63</v>
      </c>
      <c r="N653" s="6" t="s">
        <v>4838</v>
      </c>
      <c r="O653" s="3" t="s">
        <v>63</v>
      </c>
      <c r="P653" s="3" t="s">
        <v>372</v>
      </c>
      <c r="Q653" s="3"/>
      <c r="R653" s="3" t="s">
        <v>258</v>
      </c>
      <c r="S653" s="7">
        <v>38620.0</v>
      </c>
      <c r="T653" s="3" t="s">
        <v>63</v>
      </c>
      <c r="U653" s="6" t="s">
        <v>352</v>
      </c>
      <c r="V653" s="3" t="s">
        <v>4</v>
      </c>
      <c r="W653" s="3" t="s">
        <v>102</v>
      </c>
    </row>
    <row r="654" ht="15.75" customHeight="1">
      <c r="A654" s="6" t="s">
        <v>1351</v>
      </c>
      <c r="B654" s="3" t="s">
        <v>7528</v>
      </c>
      <c r="C654" s="7">
        <v>26597.0</v>
      </c>
      <c r="D654" s="3" t="s">
        <v>63</v>
      </c>
      <c r="E654" s="3">
        <v>53.0</v>
      </c>
      <c r="F654" s="3" t="s">
        <v>70</v>
      </c>
      <c r="G654" s="6" t="s">
        <v>7529</v>
      </c>
      <c r="H654" s="3" t="s">
        <v>7530</v>
      </c>
      <c r="I654" s="3" t="s">
        <v>7531</v>
      </c>
      <c r="J654" s="3" t="s">
        <v>225</v>
      </c>
      <c r="K654" s="3" t="s">
        <v>101</v>
      </c>
      <c r="L654" s="6" t="s">
        <v>6246</v>
      </c>
      <c r="M654" s="3" t="s">
        <v>63</v>
      </c>
      <c r="N654" s="6" t="s">
        <v>6247</v>
      </c>
      <c r="O654" s="3" t="s">
        <v>63</v>
      </c>
      <c r="P654" s="3" t="s">
        <v>300</v>
      </c>
      <c r="Q654" s="3"/>
      <c r="R654" s="3" t="s">
        <v>258</v>
      </c>
      <c r="S654" s="7">
        <v>40826.0</v>
      </c>
      <c r="T654" s="3" t="s">
        <v>63</v>
      </c>
      <c r="U654" s="6" t="s">
        <v>277</v>
      </c>
      <c r="V654" s="3" t="s">
        <v>4</v>
      </c>
      <c r="W654" s="3" t="s">
        <v>102</v>
      </c>
    </row>
    <row r="655" ht="15.75" customHeight="1">
      <c r="A655" s="6" t="s">
        <v>2564</v>
      </c>
      <c r="B655" s="3" t="s">
        <v>5135</v>
      </c>
      <c r="C655" s="7">
        <v>26912.0</v>
      </c>
      <c r="D655" s="3" t="s">
        <v>63</v>
      </c>
      <c r="E655" s="3">
        <v>52.0</v>
      </c>
      <c r="F655" s="3" t="s">
        <v>70</v>
      </c>
      <c r="G655" s="6" t="s">
        <v>1049</v>
      </c>
      <c r="H655" s="3" t="s">
        <v>7532</v>
      </c>
      <c r="I655" s="3" t="s">
        <v>7533</v>
      </c>
      <c r="J655" s="3" t="s">
        <v>358</v>
      </c>
      <c r="K655" s="3" t="s">
        <v>360</v>
      </c>
      <c r="L655" s="6" t="s">
        <v>7534</v>
      </c>
      <c r="M655" s="3" t="s">
        <v>63</v>
      </c>
      <c r="N655" s="6" t="s">
        <v>7535</v>
      </c>
      <c r="O655" s="3" t="s">
        <v>63</v>
      </c>
      <c r="P655" s="3" t="s">
        <v>372</v>
      </c>
      <c r="Q655" s="8">
        <v>1473612.0</v>
      </c>
      <c r="R655" s="3" t="s">
        <v>93</v>
      </c>
      <c r="S655" s="7">
        <v>39793.0</v>
      </c>
      <c r="T655" s="3" t="s">
        <v>63</v>
      </c>
      <c r="U655" s="6" t="s">
        <v>333</v>
      </c>
      <c r="V655" s="3" t="s">
        <v>4</v>
      </c>
      <c r="W655" s="3" t="s">
        <v>102</v>
      </c>
    </row>
    <row r="656" ht="15.75" customHeight="1">
      <c r="A656" s="6" t="s">
        <v>4959</v>
      </c>
      <c r="B656" s="3" t="s">
        <v>7536</v>
      </c>
      <c r="C656" s="7">
        <v>22876.0</v>
      </c>
      <c r="D656" s="3" t="s">
        <v>63</v>
      </c>
      <c r="E656" s="3">
        <v>63.0</v>
      </c>
      <c r="F656" s="3" t="s">
        <v>70</v>
      </c>
      <c r="G656" s="6" t="s">
        <v>7537</v>
      </c>
      <c r="H656" s="3" t="s">
        <v>7538</v>
      </c>
      <c r="I656" s="3" t="s">
        <v>7539</v>
      </c>
      <c r="J656" s="3" t="s">
        <v>134</v>
      </c>
      <c r="K656" s="3" t="s">
        <v>137</v>
      </c>
      <c r="L656" s="6" t="s">
        <v>5612</v>
      </c>
      <c r="M656" s="3" t="s">
        <v>620</v>
      </c>
      <c r="N656" s="3"/>
      <c r="O656" s="3" t="s">
        <v>88</v>
      </c>
      <c r="P656" s="3" t="s">
        <v>90</v>
      </c>
      <c r="Q656" s="8">
        <v>1907775.0</v>
      </c>
      <c r="R656" s="3" t="s">
        <v>93</v>
      </c>
      <c r="S656" s="7">
        <v>42475.0</v>
      </c>
      <c r="T656" s="3" t="s">
        <v>63</v>
      </c>
      <c r="U656" s="6" t="s">
        <v>208</v>
      </c>
      <c r="V656" s="3" t="s">
        <v>4</v>
      </c>
      <c r="W656" s="3" t="s">
        <v>102</v>
      </c>
    </row>
    <row r="657" ht="15.75" customHeight="1">
      <c r="A657" s="6" t="s">
        <v>1901</v>
      </c>
      <c r="B657" s="3" t="s">
        <v>7540</v>
      </c>
      <c r="C657" s="7">
        <v>38156.0</v>
      </c>
      <c r="D657" s="3" t="s">
        <v>63</v>
      </c>
      <c r="E657" s="3">
        <v>22.0</v>
      </c>
      <c r="F657" s="3" t="s">
        <v>183</v>
      </c>
      <c r="G657" s="6" t="s">
        <v>7541</v>
      </c>
      <c r="H657" s="3" t="s">
        <v>7542</v>
      </c>
      <c r="I657" s="3" t="s">
        <v>7543</v>
      </c>
      <c r="J657" s="3" t="s">
        <v>43</v>
      </c>
      <c r="K657" s="3" t="s">
        <v>45</v>
      </c>
      <c r="L657" s="6" t="s">
        <v>1902</v>
      </c>
      <c r="M657" s="3" t="s">
        <v>63</v>
      </c>
      <c r="N657" s="6" t="s">
        <v>1905</v>
      </c>
      <c r="O657" s="3" t="s">
        <v>63</v>
      </c>
      <c r="P657" s="3" t="s">
        <v>396</v>
      </c>
      <c r="Q657" s="3"/>
      <c r="R657" s="3" t="s">
        <v>258</v>
      </c>
      <c r="S657" s="7">
        <v>45964.0</v>
      </c>
      <c r="T657" s="3" t="s">
        <v>63</v>
      </c>
      <c r="U657" s="6" t="s">
        <v>36</v>
      </c>
      <c r="V657" s="3" t="s">
        <v>4</v>
      </c>
      <c r="W657" s="3" t="s">
        <v>102</v>
      </c>
    </row>
    <row r="658" ht="15.75" customHeight="1">
      <c r="A658" s="6" t="s">
        <v>2014</v>
      </c>
      <c r="B658" s="3" t="s">
        <v>6286</v>
      </c>
      <c r="C658" s="7">
        <v>26781.0</v>
      </c>
      <c r="D658" s="3" t="s">
        <v>63</v>
      </c>
      <c r="E658" s="3">
        <v>53.0</v>
      </c>
      <c r="F658" s="3" t="s">
        <v>183</v>
      </c>
      <c r="G658" s="6" t="s">
        <v>7544</v>
      </c>
      <c r="H658" s="3" t="s">
        <v>7545</v>
      </c>
      <c r="I658" s="3" t="s">
        <v>7546</v>
      </c>
      <c r="J658" s="3" t="s">
        <v>43</v>
      </c>
      <c r="K658" s="3" t="s">
        <v>45</v>
      </c>
      <c r="L658" s="6" t="s">
        <v>2015</v>
      </c>
      <c r="M658" s="3" t="s">
        <v>63</v>
      </c>
      <c r="N658" s="6" t="s">
        <v>2016</v>
      </c>
      <c r="O658" s="3" t="s">
        <v>63</v>
      </c>
      <c r="P658" s="3" t="s">
        <v>160</v>
      </c>
      <c r="Q658" s="3"/>
      <c r="R658" s="3" t="s">
        <v>258</v>
      </c>
      <c r="S658" s="7">
        <v>40818.0</v>
      </c>
      <c r="T658" s="3" t="s">
        <v>63</v>
      </c>
      <c r="U658" s="6" t="s">
        <v>146</v>
      </c>
      <c r="V658" s="3" t="s">
        <v>4</v>
      </c>
      <c r="W658" s="3" t="s">
        <v>102</v>
      </c>
    </row>
    <row r="659" ht="15.75" customHeight="1">
      <c r="A659" s="6" t="s">
        <v>86</v>
      </c>
      <c r="B659" s="3" t="s">
        <v>7547</v>
      </c>
      <c r="C659" s="7">
        <v>47546.0</v>
      </c>
      <c r="D659" s="3" t="s">
        <v>1155</v>
      </c>
      <c r="E659" s="3"/>
      <c r="F659" s="3" t="s">
        <v>183</v>
      </c>
      <c r="G659" s="6" t="s">
        <v>7548</v>
      </c>
      <c r="H659" s="3" t="s">
        <v>7549</v>
      </c>
      <c r="I659" s="3" t="s">
        <v>7550</v>
      </c>
      <c r="J659" s="3" t="s">
        <v>271</v>
      </c>
      <c r="K659" s="3" t="s">
        <v>273</v>
      </c>
      <c r="L659" s="6" t="s">
        <v>87</v>
      </c>
      <c r="M659" s="3" t="s">
        <v>63</v>
      </c>
      <c r="N659" s="6" t="s">
        <v>89</v>
      </c>
      <c r="O659" s="3" t="s">
        <v>63</v>
      </c>
      <c r="P659" s="3" t="s">
        <v>202</v>
      </c>
      <c r="Q659" s="8">
        <v>982727.0</v>
      </c>
      <c r="R659" s="3" t="s">
        <v>93</v>
      </c>
      <c r="S659" s="7">
        <v>44323.0</v>
      </c>
      <c r="T659" s="3" t="s">
        <v>1178</v>
      </c>
      <c r="U659" s="6" t="s">
        <v>234</v>
      </c>
      <c r="V659" s="3" t="s">
        <v>4</v>
      </c>
      <c r="W659" s="3" t="s">
        <v>102</v>
      </c>
    </row>
    <row r="660" ht="15.75" customHeight="1">
      <c r="A660" s="6" t="s">
        <v>2407</v>
      </c>
      <c r="B660" s="3" t="s">
        <v>6973</v>
      </c>
      <c r="C660" s="7">
        <v>37007.0</v>
      </c>
      <c r="D660" s="3" t="s">
        <v>63</v>
      </c>
      <c r="E660" s="3">
        <v>25.0</v>
      </c>
      <c r="F660" s="3" t="s">
        <v>70</v>
      </c>
      <c r="G660" s="6" t="s">
        <v>7551</v>
      </c>
      <c r="H660" s="3" t="s">
        <v>6975</v>
      </c>
      <c r="I660" s="3" t="s">
        <v>6976</v>
      </c>
      <c r="J660" s="3" t="s">
        <v>250</v>
      </c>
      <c r="K660" s="3" t="s">
        <v>252</v>
      </c>
      <c r="L660" s="6" t="s">
        <v>1013</v>
      </c>
      <c r="M660" s="3" t="s">
        <v>63</v>
      </c>
      <c r="N660" s="6" t="s">
        <v>1016</v>
      </c>
      <c r="O660" s="3" t="s">
        <v>63</v>
      </c>
      <c r="P660" s="3" t="s">
        <v>202</v>
      </c>
      <c r="Q660" s="8">
        <v>1657265.0</v>
      </c>
      <c r="R660" s="3" t="s">
        <v>93</v>
      </c>
      <c r="S660" s="7">
        <v>44630.0</v>
      </c>
      <c r="T660" s="3" t="s">
        <v>63</v>
      </c>
      <c r="U660" s="6" t="s">
        <v>277</v>
      </c>
      <c r="V660" s="3" t="s">
        <v>4</v>
      </c>
      <c r="W660" s="3" t="s">
        <v>378</v>
      </c>
    </row>
    <row r="661" ht="15.75" customHeight="1">
      <c r="A661" s="6" t="s">
        <v>143</v>
      </c>
      <c r="B661" s="3" t="s">
        <v>1045</v>
      </c>
      <c r="C661" s="7">
        <v>31846.0</v>
      </c>
      <c r="D661" s="3" t="s">
        <v>63</v>
      </c>
      <c r="E661" s="3">
        <v>39.0</v>
      </c>
      <c r="F661" s="3" t="s">
        <v>70</v>
      </c>
      <c r="G661" s="6" t="s">
        <v>7552</v>
      </c>
      <c r="H661" s="3" t="s">
        <v>7553</v>
      </c>
      <c r="I661" s="3" t="s">
        <v>7554</v>
      </c>
      <c r="J661" s="3" t="s">
        <v>119</v>
      </c>
      <c r="K661" s="3" t="s">
        <v>121</v>
      </c>
      <c r="L661" s="6" t="s">
        <v>144</v>
      </c>
      <c r="M661" s="3" t="s">
        <v>63</v>
      </c>
      <c r="N661" s="6" t="s">
        <v>145</v>
      </c>
      <c r="O661" s="3" t="s">
        <v>63</v>
      </c>
      <c r="P661" s="3" t="s">
        <v>464</v>
      </c>
      <c r="Q661" s="8">
        <v>2180852.0</v>
      </c>
      <c r="R661" s="3" t="s">
        <v>93</v>
      </c>
      <c r="S661" s="7">
        <v>45546.0</v>
      </c>
      <c r="T661" s="3" t="s">
        <v>63</v>
      </c>
      <c r="U661" s="6" t="s">
        <v>385</v>
      </c>
      <c r="V661" s="3" t="s">
        <v>4</v>
      </c>
      <c r="W661" s="3" t="s">
        <v>102</v>
      </c>
    </row>
    <row r="662" ht="15.75" customHeight="1">
      <c r="A662" s="6" t="s">
        <v>767</v>
      </c>
      <c r="B662" s="3" t="s">
        <v>7555</v>
      </c>
      <c r="C662" s="7">
        <v>32062.0</v>
      </c>
      <c r="D662" s="3" t="s">
        <v>63</v>
      </c>
      <c r="E662" s="3">
        <v>38.0</v>
      </c>
      <c r="F662" s="3" t="s">
        <v>70</v>
      </c>
      <c r="G662" s="6" t="s">
        <v>7556</v>
      </c>
      <c r="H662" s="3" t="s">
        <v>7557</v>
      </c>
      <c r="I662" s="3" t="s">
        <v>7558</v>
      </c>
      <c r="J662" s="3" t="s">
        <v>98</v>
      </c>
      <c r="K662" s="3" t="s">
        <v>101</v>
      </c>
      <c r="L662" s="3"/>
      <c r="M662" s="3" t="s">
        <v>88</v>
      </c>
      <c r="N662" s="6" t="s">
        <v>770</v>
      </c>
      <c r="O662" s="3" t="s">
        <v>63</v>
      </c>
      <c r="P662" s="3" t="s">
        <v>396</v>
      </c>
      <c r="Q662" s="8">
        <v>764116.0</v>
      </c>
      <c r="R662" s="3" t="s">
        <v>93</v>
      </c>
      <c r="S662" s="7">
        <v>43605.0</v>
      </c>
      <c r="T662" s="3" t="s">
        <v>63</v>
      </c>
      <c r="U662" s="6" t="s">
        <v>352</v>
      </c>
      <c r="V662" s="3" t="s">
        <v>4</v>
      </c>
      <c r="W662" s="3" t="s">
        <v>102</v>
      </c>
    </row>
    <row r="663" ht="15.75" customHeight="1">
      <c r="A663" s="6" t="s">
        <v>5179</v>
      </c>
      <c r="B663" s="3" t="s">
        <v>7559</v>
      </c>
      <c r="C663" s="7">
        <v>33144.0</v>
      </c>
      <c r="D663" s="3" t="s">
        <v>63</v>
      </c>
      <c r="E663" s="3">
        <v>35.0</v>
      </c>
      <c r="F663" s="3" t="s">
        <v>70</v>
      </c>
      <c r="G663" s="6" t="s">
        <v>7560</v>
      </c>
      <c r="H663" s="3" t="s">
        <v>7561</v>
      </c>
      <c r="I663" s="3" t="s">
        <v>7223</v>
      </c>
      <c r="J663" s="3" t="s">
        <v>153</v>
      </c>
      <c r="K663" s="3" t="s">
        <v>67</v>
      </c>
      <c r="L663" s="6" t="s">
        <v>5181</v>
      </c>
      <c r="M663" s="3" t="s">
        <v>63</v>
      </c>
      <c r="N663" s="6" t="s">
        <v>5183</v>
      </c>
      <c r="O663" s="3" t="s">
        <v>63</v>
      </c>
      <c r="P663" s="3" t="s">
        <v>90</v>
      </c>
      <c r="Q663" s="3"/>
      <c r="R663" s="3" t="s">
        <v>258</v>
      </c>
      <c r="S663" s="7">
        <v>43329.0</v>
      </c>
      <c r="T663" s="3" t="s">
        <v>63</v>
      </c>
      <c r="U663" s="6" t="s">
        <v>397</v>
      </c>
      <c r="V663" s="3" t="s">
        <v>4</v>
      </c>
      <c r="W663" s="3" t="s">
        <v>102</v>
      </c>
    </row>
    <row r="664" ht="15.75" customHeight="1">
      <c r="A664" s="6" t="s">
        <v>4341</v>
      </c>
      <c r="B664" s="3" t="s">
        <v>7562</v>
      </c>
      <c r="C664" s="7">
        <v>35086.0</v>
      </c>
      <c r="D664" s="3" t="s">
        <v>63</v>
      </c>
      <c r="E664" s="3">
        <v>30.0</v>
      </c>
      <c r="F664" s="3" t="s">
        <v>70</v>
      </c>
      <c r="G664" s="6" t="s">
        <v>7563</v>
      </c>
      <c r="H664" s="3" t="s">
        <v>7564</v>
      </c>
      <c r="I664" s="3" t="s">
        <v>7565</v>
      </c>
      <c r="J664" s="3" t="s">
        <v>213</v>
      </c>
      <c r="K664" s="3" t="s">
        <v>67</v>
      </c>
      <c r="L664" s="6" t="s">
        <v>4343</v>
      </c>
      <c r="M664" s="3" t="s">
        <v>63</v>
      </c>
      <c r="N664" s="6" t="s">
        <v>4344</v>
      </c>
      <c r="O664" s="3" t="s">
        <v>63</v>
      </c>
      <c r="P664" s="3" t="s">
        <v>324</v>
      </c>
      <c r="Q664" s="8">
        <v>1926758.0</v>
      </c>
      <c r="R664" s="3" t="s">
        <v>93</v>
      </c>
      <c r="S664" s="7">
        <v>42890.0</v>
      </c>
      <c r="T664" s="3" t="s">
        <v>63</v>
      </c>
      <c r="U664" s="6" t="s">
        <v>288</v>
      </c>
      <c r="V664" s="3" t="s">
        <v>4</v>
      </c>
      <c r="W664" s="3" t="s">
        <v>102</v>
      </c>
    </row>
    <row r="665" ht="15.75" customHeight="1">
      <c r="A665" s="6" t="s">
        <v>6166</v>
      </c>
      <c r="B665" s="3" t="s">
        <v>7566</v>
      </c>
      <c r="C665" s="7">
        <v>31836.0</v>
      </c>
      <c r="D665" s="3" t="s">
        <v>63</v>
      </c>
      <c r="E665" s="3">
        <v>39.0</v>
      </c>
      <c r="F665" s="3" t="s">
        <v>70</v>
      </c>
      <c r="G665" s="6" t="s">
        <v>7567</v>
      </c>
      <c r="H665" s="3" t="s">
        <v>7568</v>
      </c>
      <c r="I665" s="3" t="s">
        <v>7569</v>
      </c>
      <c r="J665" s="3" t="s">
        <v>184</v>
      </c>
      <c r="K665" s="3" t="s">
        <v>187</v>
      </c>
      <c r="L665" s="6" t="s">
        <v>7570</v>
      </c>
      <c r="M665" s="3" t="s">
        <v>63</v>
      </c>
      <c r="N665" s="6" t="s">
        <v>7571</v>
      </c>
      <c r="O665" s="3" t="s">
        <v>63</v>
      </c>
      <c r="P665" s="3" t="s">
        <v>202</v>
      </c>
      <c r="Q665" s="3"/>
      <c r="R665" s="3" t="s">
        <v>258</v>
      </c>
      <c r="S665" s="7">
        <v>43568.0</v>
      </c>
      <c r="T665" s="3" t="s">
        <v>63</v>
      </c>
      <c r="U665" s="6" t="s">
        <v>311</v>
      </c>
      <c r="V665" s="3" t="s">
        <v>4</v>
      </c>
      <c r="W665" s="3" t="s">
        <v>102</v>
      </c>
    </row>
    <row r="666" ht="15.75" customHeight="1">
      <c r="A666" s="6" t="s">
        <v>6540</v>
      </c>
      <c r="B666" s="3" t="s">
        <v>7167</v>
      </c>
      <c r="C666" s="7">
        <v>36777.0</v>
      </c>
      <c r="D666" s="3" t="s">
        <v>63</v>
      </c>
      <c r="E666" s="3">
        <v>25.0</v>
      </c>
      <c r="F666" s="3" t="s">
        <v>70</v>
      </c>
      <c r="G666" s="6" t="s">
        <v>7572</v>
      </c>
      <c r="H666" s="3" t="s">
        <v>7573</v>
      </c>
      <c r="I666" s="3" t="s">
        <v>7574</v>
      </c>
      <c r="J666" s="3" t="s">
        <v>358</v>
      </c>
      <c r="K666" s="3" t="s">
        <v>360</v>
      </c>
      <c r="L666" s="6" t="s">
        <v>6541</v>
      </c>
      <c r="M666" s="3" t="s">
        <v>63</v>
      </c>
      <c r="N666" s="6" t="s">
        <v>6542</v>
      </c>
      <c r="O666" s="3" t="s">
        <v>63</v>
      </c>
      <c r="P666" s="3" t="s">
        <v>202</v>
      </c>
      <c r="Q666" s="3"/>
      <c r="R666" s="3" t="s">
        <v>258</v>
      </c>
      <c r="S666" s="7">
        <v>39563.0</v>
      </c>
      <c r="T666" s="3" t="s">
        <v>63</v>
      </c>
      <c r="U666" s="6" t="s">
        <v>262</v>
      </c>
      <c r="V666" s="3" t="s">
        <v>237</v>
      </c>
      <c r="W666" s="3" t="s">
        <v>102</v>
      </c>
    </row>
    <row r="667" ht="15.75" customHeight="1">
      <c r="A667" s="6" t="s">
        <v>1161</v>
      </c>
      <c r="B667" s="3" t="s">
        <v>7575</v>
      </c>
      <c r="C667" s="7">
        <v>36827.0</v>
      </c>
      <c r="D667" s="3" t="s">
        <v>63</v>
      </c>
      <c r="E667" s="3">
        <v>25.0</v>
      </c>
      <c r="F667" s="3" t="s">
        <v>183</v>
      </c>
      <c r="G667" s="6" t="s">
        <v>7576</v>
      </c>
      <c r="H667" s="3" t="s">
        <v>7577</v>
      </c>
      <c r="I667" s="3" t="s">
        <v>7578</v>
      </c>
      <c r="J667" s="3" t="s">
        <v>98</v>
      </c>
      <c r="K667" s="3" t="s">
        <v>101</v>
      </c>
      <c r="L667" s="6" t="s">
        <v>1162</v>
      </c>
      <c r="M667" s="3" t="s">
        <v>63</v>
      </c>
      <c r="N667" s="6" t="s">
        <v>1165</v>
      </c>
      <c r="O667" s="3" t="s">
        <v>63</v>
      </c>
      <c r="P667" s="3" t="s">
        <v>372</v>
      </c>
      <c r="Q667" s="8">
        <v>1628606.0</v>
      </c>
      <c r="R667" s="3" t="s">
        <v>93</v>
      </c>
      <c r="S667" s="7">
        <v>40907.0</v>
      </c>
      <c r="T667" s="3" t="s">
        <v>63</v>
      </c>
      <c r="U667" s="6" t="s">
        <v>401</v>
      </c>
      <c r="V667" s="3" t="s">
        <v>4</v>
      </c>
      <c r="W667" s="3" t="s">
        <v>102</v>
      </c>
    </row>
    <row r="668" ht="15.75" customHeight="1">
      <c r="A668" s="6" t="s">
        <v>5413</v>
      </c>
      <c r="B668" s="3" t="s">
        <v>1273</v>
      </c>
      <c r="C668" s="7">
        <v>34837.0</v>
      </c>
      <c r="D668" s="3" t="s">
        <v>63</v>
      </c>
      <c r="E668" s="3">
        <v>31.0</v>
      </c>
      <c r="F668" s="3" t="s">
        <v>183</v>
      </c>
      <c r="G668" s="3"/>
      <c r="H668" s="3" t="s">
        <v>7579</v>
      </c>
      <c r="I668" s="3" t="s">
        <v>7580</v>
      </c>
      <c r="J668" s="3" t="s">
        <v>98</v>
      </c>
      <c r="K668" s="3" t="s">
        <v>101</v>
      </c>
      <c r="L668" s="6" t="s">
        <v>5415</v>
      </c>
      <c r="M668" s="3" t="s">
        <v>63</v>
      </c>
      <c r="N668" s="6" t="s">
        <v>5416</v>
      </c>
      <c r="O668" s="3" t="s">
        <v>63</v>
      </c>
      <c r="P668" s="3" t="s">
        <v>202</v>
      </c>
      <c r="Q668" s="8">
        <v>1294773.0</v>
      </c>
      <c r="R668" s="3" t="s">
        <v>93</v>
      </c>
      <c r="S668" s="7">
        <v>42331.0</v>
      </c>
      <c r="T668" s="3" t="s">
        <v>63</v>
      </c>
      <c r="U668" s="6" t="s">
        <v>234</v>
      </c>
      <c r="V668" s="3" t="s">
        <v>4</v>
      </c>
      <c r="W668" s="3" t="s">
        <v>102</v>
      </c>
    </row>
    <row r="669" ht="15.75" customHeight="1">
      <c r="A669" s="6" t="s">
        <v>3260</v>
      </c>
      <c r="B669" s="3" t="s">
        <v>7581</v>
      </c>
      <c r="C669" s="7">
        <v>36876.0</v>
      </c>
      <c r="D669" s="3" t="s">
        <v>63</v>
      </c>
      <c r="E669" s="3">
        <v>25.0</v>
      </c>
      <c r="F669" s="3" t="s">
        <v>183</v>
      </c>
      <c r="G669" s="6" t="s">
        <v>7582</v>
      </c>
      <c r="H669" s="3" t="s">
        <v>7583</v>
      </c>
      <c r="I669" s="3" t="s">
        <v>7584</v>
      </c>
      <c r="J669" s="3" t="s">
        <v>349</v>
      </c>
      <c r="K669" s="3" t="s">
        <v>45</v>
      </c>
      <c r="L669" s="6" t="s">
        <v>3261</v>
      </c>
      <c r="M669" s="3" t="s">
        <v>63</v>
      </c>
      <c r="N669" s="6" t="s">
        <v>3262</v>
      </c>
      <c r="O669" s="3" t="s">
        <v>63</v>
      </c>
      <c r="P669" s="3" t="s">
        <v>324</v>
      </c>
      <c r="Q669" s="8">
        <v>1090813.0</v>
      </c>
      <c r="R669" s="3" t="s">
        <v>93</v>
      </c>
      <c r="S669" s="7">
        <v>40299.0</v>
      </c>
      <c r="T669" s="3" t="s">
        <v>63</v>
      </c>
      <c r="U669" s="6" t="s">
        <v>352</v>
      </c>
      <c r="V669" s="3" t="s">
        <v>4</v>
      </c>
      <c r="W669" s="3" t="s">
        <v>102</v>
      </c>
    </row>
    <row r="670" ht="15.75" customHeight="1">
      <c r="A670" s="6" t="s">
        <v>940</v>
      </c>
      <c r="B670" s="3" t="s">
        <v>7585</v>
      </c>
      <c r="C670" s="7">
        <v>27379.0</v>
      </c>
      <c r="D670" s="3" t="s">
        <v>63</v>
      </c>
      <c r="E670" s="3">
        <v>51.0</v>
      </c>
      <c r="F670" s="3" t="s">
        <v>70</v>
      </c>
      <c r="G670" s="6" t="s">
        <v>7586</v>
      </c>
      <c r="H670" s="3" t="s">
        <v>7587</v>
      </c>
      <c r="I670" s="3" t="s">
        <v>7588</v>
      </c>
      <c r="J670" s="3" t="s">
        <v>151</v>
      </c>
      <c r="K670" s="3" t="s">
        <v>121</v>
      </c>
      <c r="L670" s="6" t="s">
        <v>6392</v>
      </c>
      <c r="M670" s="3" t="s">
        <v>63</v>
      </c>
      <c r="N670" s="6" t="s">
        <v>6393</v>
      </c>
      <c r="O670" s="3" t="s">
        <v>63</v>
      </c>
      <c r="P670" s="3" t="s">
        <v>396</v>
      </c>
      <c r="Q670" s="8">
        <v>886936.0</v>
      </c>
      <c r="R670" s="3" t="s">
        <v>93</v>
      </c>
      <c r="S670" s="7">
        <v>41469.0</v>
      </c>
      <c r="T670" s="3" t="s">
        <v>63</v>
      </c>
      <c r="U670" s="6" t="s">
        <v>197</v>
      </c>
      <c r="V670" s="3" t="s">
        <v>4</v>
      </c>
      <c r="W670" s="3" t="s">
        <v>102</v>
      </c>
    </row>
    <row r="671" ht="15.75" customHeight="1">
      <c r="A671" s="6" t="s">
        <v>1364</v>
      </c>
      <c r="B671" s="3" t="s">
        <v>7589</v>
      </c>
      <c r="C671" s="7">
        <v>29202.0</v>
      </c>
      <c r="D671" s="3" t="s">
        <v>63</v>
      </c>
      <c r="E671" s="3">
        <v>46.0</v>
      </c>
      <c r="F671" s="3" t="s">
        <v>70</v>
      </c>
      <c r="G671" s="6" t="s">
        <v>7590</v>
      </c>
      <c r="H671" s="3" t="s">
        <v>7591</v>
      </c>
      <c r="I671" s="3" t="s">
        <v>7592</v>
      </c>
      <c r="J671" s="3" t="s">
        <v>327</v>
      </c>
      <c r="K671" s="3" t="s">
        <v>169</v>
      </c>
      <c r="L671" s="3"/>
      <c r="M671" s="3" t="s">
        <v>88</v>
      </c>
      <c r="N671" s="6" t="s">
        <v>1366</v>
      </c>
      <c r="O671" s="3" t="s">
        <v>63</v>
      </c>
      <c r="P671" s="3" t="s">
        <v>396</v>
      </c>
      <c r="Q671" s="8">
        <v>2249238.0</v>
      </c>
      <c r="R671" s="3" t="s">
        <v>93</v>
      </c>
      <c r="S671" s="7">
        <v>39663.0</v>
      </c>
      <c r="T671" s="3" t="s">
        <v>63</v>
      </c>
      <c r="U671" s="6" t="s">
        <v>277</v>
      </c>
      <c r="V671" s="3" t="s">
        <v>4</v>
      </c>
      <c r="W671" s="3" t="s">
        <v>102</v>
      </c>
    </row>
    <row r="672" ht="15.75" customHeight="1">
      <c r="A672" s="6" t="s">
        <v>4455</v>
      </c>
      <c r="B672" s="3" t="s">
        <v>7593</v>
      </c>
      <c r="C672" s="7">
        <v>33587.0</v>
      </c>
      <c r="D672" s="3" t="s">
        <v>63</v>
      </c>
      <c r="E672" s="3">
        <v>34.0</v>
      </c>
      <c r="F672" s="3" t="s">
        <v>183</v>
      </c>
      <c r="G672" s="6" t="s">
        <v>7594</v>
      </c>
      <c r="H672" s="3" t="s">
        <v>7595</v>
      </c>
      <c r="I672" s="3" t="s">
        <v>7596</v>
      </c>
      <c r="J672" s="3" t="s">
        <v>251</v>
      </c>
      <c r="K672" s="3" t="s">
        <v>251</v>
      </c>
      <c r="L672" s="6" t="s">
        <v>4456</v>
      </c>
      <c r="M672" s="3" t="s">
        <v>63</v>
      </c>
      <c r="N672" s="6" t="s">
        <v>4457</v>
      </c>
      <c r="O672" s="3" t="s">
        <v>63</v>
      </c>
      <c r="P672" s="3" t="s">
        <v>464</v>
      </c>
      <c r="Q672" s="8">
        <v>2372096.0</v>
      </c>
      <c r="R672" s="3" t="s">
        <v>93</v>
      </c>
      <c r="S672" s="7">
        <v>40101.0</v>
      </c>
      <c r="T672" s="3" t="s">
        <v>63</v>
      </c>
      <c r="U672" s="6" t="s">
        <v>136</v>
      </c>
      <c r="V672" s="3" t="s">
        <v>4</v>
      </c>
      <c r="W672" s="3" t="s">
        <v>102</v>
      </c>
    </row>
    <row r="673" ht="15.75" customHeight="1">
      <c r="A673" s="6" t="s">
        <v>1269</v>
      </c>
      <c r="B673" s="3" t="s">
        <v>7597</v>
      </c>
      <c r="C673" s="7">
        <v>26271.0</v>
      </c>
      <c r="D673" s="3" t="s">
        <v>63</v>
      </c>
      <c r="E673" s="3">
        <v>54.0</v>
      </c>
      <c r="F673" s="3" t="s">
        <v>183</v>
      </c>
      <c r="G673" s="6" t="s">
        <v>7598</v>
      </c>
      <c r="H673" s="3" t="s">
        <v>7599</v>
      </c>
      <c r="I673" s="3" t="s">
        <v>7600</v>
      </c>
      <c r="J673" s="3" t="s">
        <v>201</v>
      </c>
      <c r="K673" s="3" t="s">
        <v>203</v>
      </c>
      <c r="L673" s="6" t="s">
        <v>3980</v>
      </c>
      <c r="M673" s="3" t="s">
        <v>63</v>
      </c>
      <c r="N673" s="6" t="s">
        <v>3983</v>
      </c>
      <c r="O673" s="3" t="s">
        <v>63</v>
      </c>
      <c r="P673" s="3" t="s">
        <v>300</v>
      </c>
      <c r="Q673" s="8">
        <v>979231.0</v>
      </c>
      <c r="R673" s="3" t="s">
        <v>93</v>
      </c>
      <c r="S673" s="7">
        <v>43149.0</v>
      </c>
      <c r="T673" s="3" t="s">
        <v>63</v>
      </c>
      <c r="U673" s="6" t="s">
        <v>277</v>
      </c>
      <c r="V673" s="3" t="s">
        <v>4</v>
      </c>
      <c r="W673" s="3" t="s">
        <v>102</v>
      </c>
    </row>
    <row r="674" ht="15.75" customHeight="1">
      <c r="A674" s="6" t="s">
        <v>4849</v>
      </c>
      <c r="B674" s="3" t="s">
        <v>5323</v>
      </c>
      <c r="C674" s="7">
        <v>20486.0</v>
      </c>
      <c r="D674" s="3" t="s">
        <v>63</v>
      </c>
      <c r="E674" s="3">
        <v>70.0</v>
      </c>
      <c r="F674" s="3" t="s">
        <v>183</v>
      </c>
      <c r="G674" s="6" t="s">
        <v>7601</v>
      </c>
      <c r="H674" s="3" t="s">
        <v>5326</v>
      </c>
      <c r="I674" s="3" t="s">
        <v>5327</v>
      </c>
      <c r="J674" s="3" t="s">
        <v>358</v>
      </c>
      <c r="K674" s="3" t="s">
        <v>360</v>
      </c>
      <c r="L674" s="6" t="s">
        <v>4087</v>
      </c>
      <c r="M674" s="3" t="s">
        <v>63</v>
      </c>
      <c r="N674" s="6" t="s">
        <v>4089</v>
      </c>
      <c r="O674" s="3" t="s">
        <v>63</v>
      </c>
      <c r="P674" s="3" t="s">
        <v>160</v>
      </c>
      <c r="Q674" s="8">
        <v>1628406.0</v>
      </c>
      <c r="R674" s="3" t="s">
        <v>93</v>
      </c>
      <c r="S674" s="7">
        <v>41227.0</v>
      </c>
      <c r="T674" s="3" t="s">
        <v>63</v>
      </c>
      <c r="U674" s="6" t="s">
        <v>288</v>
      </c>
      <c r="V674" s="3" t="s">
        <v>237</v>
      </c>
      <c r="W674" s="3" t="s">
        <v>378</v>
      </c>
    </row>
    <row r="675" ht="15.75" customHeight="1">
      <c r="A675" s="6" t="s">
        <v>3013</v>
      </c>
      <c r="B675" s="3" t="s">
        <v>7602</v>
      </c>
      <c r="C675" s="7">
        <v>34298.0</v>
      </c>
      <c r="D675" s="3" t="s">
        <v>63</v>
      </c>
      <c r="E675" s="3">
        <v>32.0</v>
      </c>
      <c r="F675" s="3" t="s">
        <v>70</v>
      </c>
      <c r="G675" s="6" t="s">
        <v>7603</v>
      </c>
      <c r="H675" s="3" t="s">
        <v>7604</v>
      </c>
      <c r="I675" s="3" t="s">
        <v>7605</v>
      </c>
      <c r="J675" s="3" t="s">
        <v>337</v>
      </c>
      <c r="K675" s="3" t="s">
        <v>137</v>
      </c>
      <c r="L675" s="6" t="s">
        <v>3014</v>
      </c>
      <c r="M675" s="3" t="s">
        <v>63</v>
      </c>
      <c r="N675" s="6" t="s">
        <v>3016</v>
      </c>
      <c r="O675" s="3" t="s">
        <v>63</v>
      </c>
      <c r="P675" s="3" t="s">
        <v>372</v>
      </c>
      <c r="Q675" s="8">
        <v>2465062.0</v>
      </c>
      <c r="R675" s="3" t="s">
        <v>93</v>
      </c>
      <c r="S675" s="7">
        <v>40921.0</v>
      </c>
      <c r="T675" s="3" t="s">
        <v>63</v>
      </c>
      <c r="U675" s="6" t="s">
        <v>234</v>
      </c>
      <c r="V675" s="3" t="s">
        <v>4</v>
      </c>
      <c r="W675" s="3" t="s">
        <v>102</v>
      </c>
    </row>
    <row r="676" ht="15.75" customHeight="1">
      <c r="A676" s="6" t="s">
        <v>5207</v>
      </c>
      <c r="B676" s="3" t="s">
        <v>7606</v>
      </c>
      <c r="C676" s="7">
        <v>47817.0</v>
      </c>
      <c r="D676" s="3" t="s">
        <v>1155</v>
      </c>
      <c r="E676" s="3"/>
      <c r="F676" s="3" t="s">
        <v>183</v>
      </c>
      <c r="G676" s="6" t="s">
        <v>7607</v>
      </c>
      <c r="H676" s="3"/>
      <c r="I676" s="3" t="s">
        <v>7608</v>
      </c>
      <c r="J676" s="3" t="s">
        <v>114</v>
      </c>
      <c r="K676" s="3" t="s">
        <v>118</v>
      </c>
      <c r="L676" s="6" t="s">
        <v>5208</v>
      </c>
      <c r="M676" s="3" t="s">
        <v>63</v>
      </c>
      <c r="N676" s="6" t="s">
        <v>5211</v>
      </c>
      <c r="O676" s="3" t="s">
        <v>63</v>
      </c>
      <c r="P676" s="3" t="s">
        <v>90</v>
      </c>
      <c r="Q676" s="3"/>
      <c r="R676" s="3" t="s">
        <v>258</v>
      </c>
      <c r="S676" s="7">
        <v>45961.0</v>
      </c>
      <c r="T676" s="3" t="s">
        <v>1178</v>
      </c>
      <c r="U676" s="6" t="s">
        <v>36</v>
      </c>
      <c r="V676" s="3" t="s">
        <v>237</v>
      </c>
      <c r="W676" s="3" t="s">
        <v>102</v>
      </c>
    </row>
    <row r="677" ht="15.75" customHeight="1">
      <c r="A677" s="6" t="s">
        <v>4124</v>
      </c>
      <c r="B677" s="3" t="s">
        <v>7609</v>
      </c>
      <c r="C677" s="7">
        <v>46635.0</v>
      </c>
      <c r="D677" s="3" t="s">
        <v>1155</v>
      </c>
      <c r="E677" s="3"/>
      <c r="F677" s="3" t="s">
        <v>70</v>
      </c>
      <c r="G677" s="6" t="s">
        <v>7610</v>
      </c>
      <c r="H677" s="3" t="s">
        <v>7611</v>
      </c>
      <c r="I677" s="3" t="s">
        <v>7612</v>
      </c>
      <c r="J677" s="3" t="s">
        <v>327</v>
      </c>
      <c r="K677" s="3" t="s">
        <v>169</v>
      </c>
      <c r="L677" s="6" t="s">
        <v>4125</v>
      </c>
      <c r="M677" s="3" t="s">
        <v>63</v>
      </c>
      <c r="N677" s="3"/>
      <c r="O677" s="3" t="s">
        <v>88</v>
      </c>
      <c r="P677" s="3" t="s">
        <v>324</v>
      </c>
      <c r="Q677" s="3"/>
      <c r="R677" s="3" t="s">
        <v>258</v>
      </c>
      <c r="S677" s="7">
        <v>44872.0</v>
      </c>
      <c r="T677" s="3" t="s">
        <v>1178</v>
      </c>
      <c r="U677" s="6" t="s">
        <v>284</v>
      </c>
      <c r="V677" s="3" t="s">
        <v>4</v>
      </c>
      <c r="W677" s="3" t="s">
        <v>102</v>
      </c>
    </row>
    <row r="678" ht="15.75" customHeight="1">
      <c r="A678" s="6" t="s">
        <v>2517</v>
      </c>
      <c r="B678" s="3" t="s">
        <v>7613</v>
      </c>
      <c r="C678" s="7">
        <v>27143.0</v>
      </c>
      <c r="D678" s="3" t="s">
        <v>63</v>
      </c>
      <c r="E678" s="3">
        <v>52.0</v>
      </c>
      <c r="F678" s="3" t="s">
        <v>183</v>
      </c>
      <c r="G678" s="6" t="s">
        <v>7614</v>
      </c>
      <c r="H678" s="3" t="s">
        <v>7615</v>
      </c>
      <c r="I678" s="3" t="s">
        <v>7616</v>
      </c>
      <c r="J678" s="3" t="s">
        <v>85</v>
      </c>
      <c r="K678" s="3" t="s">
        <v>67</v>
      </c>
      <c r="L678" s="6" t="s">
        <v>5811</v>
      </c>
      <c r="M678" s="3" t="s">
        <v>63</v>
      </c>
      <c r="N678" s="6" t="s">
        <v>5812</v>
      </c>
      <c r="O678" s="3" t="s">
        <v>63</v>
      </c>
      <c r="P678" s="3" t="s">
        <v>202</v>
      </c>
      <c r="Q678" s="3"/>
      <c r="R678" s="3" t="s">
        <v>258</v>
      </c>
      <c r="S678" s="7">
        <v>39422.0</v>
      </c>
      <c r="T678" s="3" t="s">
        <v>63</v>
      </c>
      <c r="U678" s="6" t="s">
        <v>136</v>
      </c>
      <c r="V678" s="3" t="s">
        <v>4</v>
      </c>
      <c r="W678" s="3" t="s">
        <v>102</v>
      </c>
    </row>
    <row r="679" ht="15.75" customHeight="1">
      <c r="A679" s="6" t="s">
        <v>863</v>
      </c>
      <c r="B679" s="3" t="s">
        <v>7617</v>
      </c>
      <c r="C679" s="7">
        <v>37844.0</v>
      </c>
      <c r="D679" s="3" t="s">
        <v>63</v>
      </c>
      <c r="E679" s="3">
        <v>22.0</v>
      </c>
      <c r="F679" s="3" t="s">
        <v>183</v>
      </c>
      <c r="G679" s="6" t="s">
        <v>7618</v>
      </c>
      <c r="H679" s="3"/>
      <c r="I679" s="3" t="s">
        <v>7619</v>
      </c>
      <c r="J679" s="3" t="s">
        <v>85</v>
      </c>
      <c r="K679" s="3" t="s">
        <v>67</v>
      </c>
      <c r="L679" s="6" t="s">
        <v>865</v>
      </c>
      <c r="M679" s="3" t="s">
        <v>63</v>
      </c>
      <c r="N679" s="6" t="s">
        <v>866</v>
      </c>
      <c r="O679" s="3" t="s">
        <v>63</v>
      </c>
      <c r="P679" s="3" t="s">
        <v>464</v>
      </c>
      <c r="Q679" s="3"/>
      <c r="R679" s="3" t="s">
        <v>258</v>
      </c>
      <c r="S679" s="7">
        <v>41095.0</v>
      </c>
      <c r="T679" s="3" t="s">
        <v>63</v>
      </c>
      <c r="U679" s="6" t="s">
        <v>397</v>
      </c>
      <c r="V679" s="3" t="s">
        <v>4</v>
      </c>
      <c r="W679" s="3" t="s">
        <v>102</v>
      </c>
    </row>
    <row r="680" ht="15.75" customHeight="1">
      <c r="A680" s="6" t="s">
        <v>4775</v>
      </c>
      <c r="B680" s="3" t="s">
        <v>7620</v>
      </c>
      <c r="C680" s="7">
        <v>30341.0</v>
      </c>
      <c r="D680" s="3" t="s">
        <v>63</v>
      </c>
      <c r="E680" s="3">
        <v>43.0</v>
      </c>
      <c r="F680" s="3" t="s">
        <v>183</v>
      </c>
      <c r="G680" s="6" t="s">
        <v>7621</v>
      </c>
      <c r="H680" s="3" t="s">
        <v>7622</v>
      </c>
      <c r="I680" s="3" t="s">
        <v>7623</v>
      </c>
      <c r="J680" s="3" t="s">
        <v>167</v>
      </c>
      <c r="K680" s="3" t="s">
        <v>169</v>
      </c>
      <c r="L680" s="6" t="s">
        <v>4776</v>
      </c>
      <c r="M680" s="3" t="s">
        <v>63</v>
      </c>
      <c r="N680" s="6" t="s">
        <v>4779</v>
      </c>
      <c r="O680" s="3" t="s">
        <v>63</v>
      </c>
      <c r="P680" s="3" t="s">
        <v>300</v>
      </c>
      <c r="Q680" s="8">
        <v>315154.0</v>
      </c>
      <c r="R680" s="3" t="s">
        <v>93</v>
      </c>
      <c r="S680" s="7">
        <v>39024.0</v>
      </c>
      <c r="T680" s="3" t="s">
        <v>63</v>
      </c>
      <c r="U680" s="6" t="s">
        <v>146</v>
      </c>
      <c r="V680" s="3" t="s">
        <v>4</v>
      </c>
      <c r="W680" s="3" t="s">
        <v>102</v>
      </c>
    </row>
    <row r="681" ht="15.75" customHeight="1">
      <c r="A681" s="6" t="s">
        <v>5616</v>
      </c>
      <c r="B681" s="3" t="s">
        <v>7624</v>
      </c>
      <c r="C681" s="7">
        <v>23622.0</v>
      </c>
      <c r="D681" s="3" t="s">
        <v>63</v>
      </c>
      <c r="E681" s="3">
        <v>61.0</v>
      </c>
      <c r="F681" s="3" t="s">
        <v>183</v>
      </c>
      <c r="G681" s="6" t="s">
        <v>7625</v>
      </c>
      <c r="H681" s="3" t="s">
        <v>7626</v>
      </c>
      <c r="I681" s="3" t="s">
        <v>7627</v>
      </c>
      <c r="J681" s="3" t="s">
        <v>134</v>
      </c>
      <c r="K681" s="3" t="s">
        <v>137</v>
      </c>
      <c r="L681" s="6" t="s">
        <v>5618</v>
      </c>
      <c r="M681" s="3" t="s">
        <v>63</v>
      </c>
      <c r="N681" s="6" t="s">
        <v>5620</v>
      </c>
      <c r="O681" s="3" t="s">
        <v>63</v>
      </c>
      <c r="P681" s="3" t="s">
        <v>300</v>
      </c>
      <c r="Q681" s="3"/>
      <c r="R681" s="3" t="s">
        <v>258</v>
      </c>
      <c r="S681" s="7">
        <v>42694.0</v>
      </c>
      <c r="T681" s="3" t="s">
        <v>63</v>
      </c>
      <c r="U681" s="6" t="s">
        <v>385</v>
      </c>
      <c r="V681" s="3" t="s">
        <v>4</v>
      </c>
      <c r="W681" s="3" t="s">
        <v>102</v>
      </c>
    </row>
    <row r="682" ht="15.75" customHeight="1">
      <c r="A682" s="6" t="s">
        <v>7628</v>
      </c>
      <c r="B682" s="3" t="s">
        <v>7629</v>
      </c>
      <c r="C682" s="7">
        <v>29381.0</v>
      </c>
      <c r="D682" s="3" t="s">
        <v>63</v>
      </c>
      <c r="E682" s="3">
        <v>46.0</v>
      </c>
      <c r="F682" s="3" t="s">
        <v>183</v>
      </c>
      <c r="G682" s="6" t="s">
        <v>7630</v>
      </c>
      <c r="H682" s="3"/>
      <c r="I682" s="3" t="s">
        <v>7631</v>
      </c>
      <c r="J682" s="3" t="s">
        <v>213</v>
      </c>
      <c r="K682" s="3" t="s">
        <v>67</v>
      </c>
      <c r="L682" s="6" t="s">
        <v>7632</v>
      </c>
      <c r="M682" s="3" t="s">
        <v>63</v>
      </c>
      <c r="N682" s="6" t="s">
        <v>7633</v>
      </c>
      <c r="O682" s="3" t="s">
        <v>63</v>
      </c>
      <c r="P682" s="3" t="s">
        <v>202</v>
      </c>
      <c r="Q682" s="3"/>
      <c r="R682" s="3" t="s">
        <v>258</v>
      </c>
      <c r="S682" s="7">
        <v>43788.0</v>
      </c>
      <c r="T682" s="3" t="s">
        <v>63</v>
      </c>
      <c r="U682" s="6" t="s">
        <v>136</v>
      </c>
      <c r="V682" s="3" t="s">
        <v>4</v>
      </c>
      <c r="W682" s="3" t="s">
        <v>102</v>
      </c>
    </row>
    <row r="683" ht="15.75" customHeight="1">
      <c r="A683" s="6" t="s">
        <v>4733</v>
      </c>
      <c r="B683" s="3" t="s">
        <v>7634</v>
      </c>
      <c r="C683" s="7">
        <v>47040.0</v>
      </c>
      <c r="D683" s="3" t="s">
        <v>1155</v>
      </c>
      <c r="E683" s="3"/>
      <c r="F683" s="3" t="s">
        <v>70</v>
      </c>
      <c r="G683" s="6" t="s">
        <v>7635</v>
      </c>
      <c r="H683" s="3" t="s">
        <v>7636</v>
      </c>
      <c r="I683" s="3" t="s">
        <v>7637</v>
      </c>
      <c r="J683" s="3" t="s">
        <v>213</v>
      </c>
      <c r="K683" s="3" t="s">
        <v>67</v>
      </c>
      <c r="L683" s="6" t="s">
        <v>6034</v>
      </c>
      <c r="M683" s="3" t="s">
        <v>63</v>
      </c>
      <c r="N683" s="3"/>
      <c r="O683" s="3" t="s">
        <v>88</v>
      </c>
      <c r="P683" s="3" t="s">
        <v>90</v>
      </c>
      <c r="Q683" s="3"/>
      <c r="R683" s="3" t="s">
        <v>258</v>
      </c>
      <c r="S683" s="7">
        <v>39798.0</v>
      </c>
      <c r="T683" s="3" t="s">
        <v>1178</v>
      </c>
      <c r="U683" s="6" t="s">
        <v>97</v>
      </c>
      <c r="V683" s="3" t="s">
        <v>4</v>
      </c>
      <c r="W683" s="3" t="s">
        <v>102</v>
      </c>
    </row>
    <row r="684" ht="15.75" customHeight="1">
      <c r="A684" s="6" t="s">
        <v>2477</v>
      </c>
      <c r="B684" s="3" t="s">
        <v>1181</v>
      </c>
      <c r="C684" s="7">
        <v>29661.0</v>
      </c>
      <c r="D684" s="3" t="s">
        <v>63</v>
      </c>
      <c r="E684" s="3">
        <v>45.0</v>
      </c>
      <c r="F684" s="3" t="s">
        <v>70</v>
      </c>
      <c r="G684" s="6" t="s">
        <v>7638</v>
      </c>
      <c r="H684" s="3" t="s">
        <v>7639</v>
      </c>
      <c r="I684" s="3" t="s">
        <v>7640</v>
      </c>
      <c r="J684" s="3" t="s">
        <v>79</v>
      </c>
      <c r="K684" s="3" t="s">
        <v>81</v>
      </c>
      <c r="L684" s="3"/>
      <c r="M684" s="3" t="s">
        <v>88</v>
      </c>
      <c r="N684" s="6" t="s">
        <v>6330</v>
      </c>
      <c r="O684" s="3" t="s">
        <v>63</v>
      </c>
      <c r="P684" s="3" t="s">
        <v>324</v>
      </c>
      <c r="Q684" s="3"/>
      <c r="R684" s="3" t="s">
        <v>258</v>
      </c>
      <c r="S684" s="7">
        <v>45996.0</v>
      </c>
      <c r="T684" s="3" t="s">
        <v>63</v>
      </c>
      <c r="U684" s="6" t="s">
        <v>323</v>
      </c>
      <c r="V684" s="3" t="s">
        <v>237</v>
      </c>
      <c r="W684" s="3" t="s">
        <v>102</v>
      </c>
    </row>
    <row r="685" ht="15.75" customHeight="1">
      <c r="A685" s="6" t="s">
        <v>3242</v>
      </c>
      <c r="B685" s="3" t="s">
        <v>7641</v>
      </c>
      <c r="C685" s="7">
        <v>27952.0</v>
      </c>
      <c r="D685" s="3" t="s">
        <v>63</v>
      </c>
      <c r="E685" s="3">
        <v>50.0</v>
      </c>
      <c r="F685" s="3" t="s">
        <v>70</v>
      </c>
      <c r="G685" s="6" t="s">
        <v>7642</v>
      </c>
      <c r="H685" s="3" t="s">
        <v>7643</v>
      </c>
      <c r="I685" s="3" t="s">
        <v>7644</v>
      </c>
      <c r="J685" s="3" t="s">
        <v>65</v>
      </c>
      <c r="K685" s="3" t="s">
        <v>67</v>
      </c>
      <c r="L685" s="6" t="s">
        <v>6065</v>
      </c>
      <c r="M685" s="3" t="s">
        <v>63</v>
      </c>
      <c r="N685" s="3"/>
      <c r="O685" s="3" t="s">
        <v>88</v>
      </c>
      <c r="P685" s="3" t="s">
        <v>324</v>
      </c>
      <c r="Q685" s="3"/>
      <c r="R685" s="3" t="s">
        <v>258</v>
      </c>
      <c r="S685" s="7">
        <v>44400.0</v>
      </c>
      <c r="T685" s="3" t="s">
        <v>63</v>
      </c>
      <c r="U685" s="6" t="s">
        <v>311</v>
      </c>
      <c r="V685" s="3" t="s">
        <v>4</v>
      </c>
      <c r="W685" s="3" t="s">
        <v>102</v>
      </c>
    </row>
    <row r="686" ht="15.75" customHeight="1">
      <c r="A686" s="6" t="s">
        <v>2601</v>
      </c>
      <c r="B686" s="3" t="s">
        <v>7645</v>
      </c>
      <c r="C686" s="7">
        <v>23277.0</v>
      </c>
      <c r="D686" s="3" t="s">
        <v>63</v>
      </c>
      <c r="E686" s="3">
        <v>62.0</v>
      </c>
      <c r="F686" s="3" t="s">
        <v>70</v>
      </c>
      <c r="G686" s="6" t="s">
        <v>7646</v>
      </c>
      <c r="H686" s="3" t="s">
        <v>7647</v>
      </c>
      <c r="I686" s="3" t="s">
        <v>7648</v>
      </c>
      <c r="J686" s="3" t="s">
        <v>190</v>
      </c>
      <c r="K686" s="3" t="s">
        <v>193</v>
      </c>
      <c r="L686" s="6" t="s">
        <v>4916</v>
      </c>
      <c r="M686" s="3" t="s">
        <v>63</v>
      </c>
      <c r="N686" s="6" t="s">
        <v>4917</v>
      </c>
      <c r="O686" s="3" t="s">
        <v>63</v>
      </c>
      <c r="P686" s="3" t="s">
        <v>396</v>
      </c>
      <c r="Q686" s="8">
        <v>1819332.0</v>
      </c>
      <c r="R686" s="3" t="s">
        <v>93</v>
      </c>
      <c r="S686" s="7">
        <v>42721.0</v>
      </c>
      <c r="T686" s="3" t="s">
        <v>63</v>
      </c>
      <c r="U686" s="6" t="s">
        <v>92</v>
      </c>
      <c r="V686" s="3" t="s">
        <v>4</v>
      </c>
      <c r="W686" s="3" t="s">
        <v>102</v>
      </c>
    </row>
    <row r="687" ht="15.75" customHeight="1">
      <c r="A687" s="6" t="s">
        <v>706</v>
      </c>
      <c r="B687" s="3" t="s">
        <v>7649</v>
      </c>
      <c r="C687" s="7">
        <v>21711.0</v>
      </c>
      <c r="D687" s="3" t="s">
        <v>63</v>
      </c>
      <c r="E687" s="3">
        <v>67.0</v>
      </c>
      <c r="F687" s="3" t="s">
        <v>183</v>
      </c>
      <c r="G687" s="6" t="s">
        <v>7650</v>
      </c>
      <c r="H687" s="3" t="s">
        <v>7651</v>
      </c>
      <c r="I687" s="3" t="s">
        <v>7652</v>
      </c>
      <c r="J687" s="3" t="s">
        <v>213</v>
      </c>
      <c r="K687" s="3" t="s">
        <v>67</v>
      </c>
      <c r="L687" s="6" t="s">
        <v>707</v>
      </c>
      <c r="M687" s="3" t="s">
        <v>63</v>
      </c>
      <c r="N687" s="6" t="s">
        <v>708</v>
      </c>
      <c r="O687" s="3" t="s">
        <v>63</v>
      </c>
      <c r="P687" s="3" t="s">
        <v>90</v>
      </c>
      <c r="Q687" s="8">
        <v>2325018.0</v>
      </c>
      <c r="R687" s="3" t="s">
        <v>93</v>
      </c>
      <c r="S687" s="7">
        <v>42519.0</v>
      </c>
      <c r="T687" s="3" t="s">
        <v>63</v>
      </c>
      <c r="U687" s="6" t="s">
        <v>301</v>
      </c>
      <c r="V687" s="3" t="s">
        <v>4</v>
      </c>
      <c r="W687" s="3" t="s">
        <v>102</v>
      </c>
    </row>
    <row r="688" ht="15.75" customHeight="1">
      <c r="A688" s="6" t="s">
        <v>1888</v>
      </c>
      <c r="B688" s="3" t="s">
        <v>7083</v>
      </c>
      <c r="C688" s="7">
        <v>36348.0</v>
      </c>
      <c r="D688" s="3" t="s">
        <v>63</v>
      </c>
      <c r="E688" s="3">
        <v>27.0</v>
      </c>
      <c r="F688" s="3" t="s">
        <v>183</v>
      </c>
      <c r="G688" s="6" t="s">
        <v>7653</v>
      </c>
      <c r="H688" s="3" t="s">
        <v>7085</v>
      </c>
      <c r="I688" s="3" t="s">
        <v>7086</v>
      </c>
      <c r="J688" s="3" t="s">
        <v>190</v>
      </c>
      <c r="K688" s="3" t="s">
        <v>193</v>
      </c>
      <c r="L688" s="6" t="s">
        <v>1889</v>
      </c>
      <c r="M688" s="3" t="s">
        <v>63</v>
      </c>
      <c r="N688" s="6" t="s">
        <v>1892</v>
      </c>
      <c r="O688" s="3" t="s">
        <v>63</v>
      </c>
      <c r="P688" s="3" t="s">
        <v>127</v>
      </c>
      <c r="Q688" s="8">
        <v>420071.0</v>
      </c>
      <c r="R688" s="3" t="s">
        <v>93</v>
      </c>
      <c r="S688" s="7">
        <v>42517.0</v>
      </c>
      <c r="T688" s="3" t="s">
        <v>63</v>
      </c>
      <c r="U688" s="6" t="s">
        <v>97</v>
      </c>
      <c r="V688" s="3" t="s">
        <v>4</v>
      </c>
      <c r="W688" s="3" t="s">
        <v>378</v>
      </c>
    </row>
    <row r="689" ht="15.75" customHeight="1">
      <c r="A689" s="6" t="s">
        <v>7654</v>
      </c>
      <c r="B689" s="3" t="s">
        <v>7655</v>
      </c>
      <c r="C689" s="7">
        <v>23536.0</v>
      </c>
      <c r="D689" s="3" t="s">
        <v>63</v>
      </c>
      <c r="E689" s="3">
        <v>62.0</v>
      </c>
      <c r="F689" s="3" t="s">
        <v>183</v>
      </c>
      <c r="G689" s="6" t="s">
        <v>7656</v>
      </c>
      <c r="H689" s="3" t="s">
        <v>7657</v>
      </c>
      <c r="I689" s="3" t="s">
        <v>7658</v>
      </c>
      <c r="J689" s="3" t="s">
        <v>227</v>
      </c>
      <c r="K689" s="3" t="s">
        <v>229</v>
      </c>
      <c r="L689" s="6" t="s">
        <v>7659</v>
      </c>
      <c r="M689" s="3" t="s">
        <v>63</v>
      </c>
      <c r="N689" s="6" t="s">
        <v>7660</v>
      </c>
      <c r="O689" s="3" t="s">
        <v>63</v>
      </c>
      <c r="P689" s="3" t="s">
        <v>464</v>
      </c>
      <c r="Q689" s="3"/>
      <c r="R689" s="3" t="s">
        <v>258</v>
      </c>
      <c r="S689" s="7">
        <v>44553.0</v>
      </c>
      <c r="T689" s="3" t="s">
        <v>63</v>
      </c>
      <c r="U689" s="6" t="s">
        <v>301</v>
      </c>
      <c r="V689" s="3" t="s">
        <v>4</v>
      </c>
      <c r="W689" s="3" t="s">
        <v>102</v>
      </c>
    </row>
    <row r="690" ht="15.75" customHeight="1">
      <c r="A690" s="6" t="s">
        <v>1403</v>
      </c>
      <c r="B690" s="3" t="s">
        <v>6767</v>
      </c>
      <c r="C690" s="7">
        <v>30346.0</v>
      </c>
      <c r="D690" s="3" t="s">
        <v>63</v>
      </c>
      <c r="E690" s="3">
        <v>43.0</v>
      </c>
      <c r="F690" s="3" t="s">
        <v>183</v>
      </c>
      <c r="G690" s="6" t="s">
        <v>7661</v>
      </c>
      <c r="H690" s="3" t="s">
        <v>6769</v>
      </c>
      <c r="I690" s="3" t="s">
        <v>3556</v>
      </c>
      <c r="J690" s="3" t="s">
        <v>119</v>
      </c>
      <c r="K690" s="3" t="s">
        <v>121</v>
      </c>
      <c r="L690" s="6" t="s">
        <v>1405</v>
      </c>
      <c r="M690" s="3" t="s">
        <v>63</v>
      </c>
      <c r="N690" s="6" t="s">
        <v>1408</v>
      </c>
      <c r="O690" s="3" t="s">
        <v>63</v>
      </c>
      <c r="P690" s="3" t="s">
        <v>202</v>
      </c>
      <c r="Q690" s="8">
        <v>312323.0</v>
      </c>
      <c r="R690" s="3" t="s">
        <v>93</v>
      </c>
      <c r="S690" s="7">
        <v>39239.0</v>
      </c>
      <c r="T690" s="3" t="s">
        <v>63</v>
      </c>
      <c r="U690" s="6" t="s">
        <v>221</v>
      </c>
      <c r="V690" s="3" t="s">
        <v>237</v>
      </c>
      <c r="W690" s="3" t="s">
        <v>378</v>
      </c>
    </row>
    <row r="691" ht="15.75" customHeight="1">
      <c r="A691" s="6" t="s">
        <v>607</v>
      </c>
      <c r="B691" s="3" t="s">
        <v>7662</v>
      </c>
      <c r="C691" s="7">
        <v>34659.0</v>
      </c>
      <c r="D691" s="3" t="s">
        <v>63</v>
      </c>
      <c r="E691" s="3">
        <v>31.0</v>
      </c>
      <c r="F691" s="3" t="s">
        <v>70</v>
      </c>
      <c r="G691" s="6" t="s">
        <v>7663</v>
      </c>
      <c r="H691" s="3" t="s">
        <v>7664</v>
      </c>
      <c r="I691" s="3" t="s">
        <v>7665</v>
      </c>
      <c r="J691" s="3" t="s">
        <v>151</v>
      </c>
      <c r="K691" s="3" t="s">
        <v>121</v>
      </c>
      <c r="L691" s="6" t="s">
        <v>608</v>
      </c>
      <c r="M691" s="3" t="s">
        <v>63</v>
      </c>
      <c r="N691" s="6" t="s">
        <v>611</v>
      </c>
      <c r="O691" s="3" t="s">
        <v>63</v>
      </c>
      <c r="P691" s="3" t="s">
        <v>90</v>
      </c>
      <c r="Q691" s="3"/>
      <c r="R691" s="3" t="s">
        <v>258</v>
      </c>
      <c r="S691" s="7">
        <v>39499.0</v>
      </c>
      <c r="T691" s="3" t="s">
        <v>63</v>
      </c>
      <c r="U691" s="6" t="s">
        <v>163</v>
      </c>
      <c r="V691" s="3" t="s">
        <v>4</v>
      </c>
      <c r="W691" s="3" t="s">
        <v>102</v>
      </c>
    </row>
    <row r="692" ht="15.75" customHeight="1">
      <c r="A692" s="6" t="s">
        <v>1911</v>
      </c>
      <c r="B692" s="3" t="s">
        <v>7666</v>
      </c>
      <c r="C692" s="7">
        <v>23648.0</v>
      </c>
      <c r="D692" s="3" t="s">
        <v>63</v>
      </c>
      <c r="E692" s="3">
        <v>61.0</v>
      </c>
      <c r="F692" s="3" t="s">
        <v>70</v>
      </c>
      <c r="G692" s="6" t="s">
        <v>7667</v>
      </c>
      <c r="H692" s="3" t="s">
        <v>7668</v>
      </c>
      <c r="I692" s="3" t="s">
        <v>7669</v>
      </c>
      <c r="J692" s="3" t="s">
        <v>201</v>
      </c>
      <c r="K692" s="3" t="s">
        <v>203</v>
      </c>
      <c r="L692" s="6" t="s">
        <v>6183</v>
      </c>
      <c r="M692" s="3" t="s">
        <v>63</v>
      </c>
      <c r="N692" s="6" t="s">
        <v>6184</v>
      </c>
      <c r="O692" s="3" t="s">
        <v>63</v>
      </c>
      <c r="P692" s="3" t="s">
        <v>90</v>
      </c>
      <c r="Q692" s="8">
        <v>1900671.0</v>
      </c>
      <c r="R692" s="3" t="s">
        <v>93</v>
      </c>
      <c r="S692" s="7">
        <v>38655.0</v>
      </c>
      <c r="T692" s="3" t="s">
        <v>63</v>
      </c>
      <c r="U692" s="6" t="s">
        <v>179</v>
      </c>
      <c r="V692" s="3" t="s">
        <v>4</v>
      </c>
      <c r="W692" s="3" t="s">
        <v>102</v>
      </c>
    </row>
    <row r="693" ht="15.75" customHeight="1">
      <c r="A693" s="6" t="s">
        <v>2873</v>
      </c>
      <c r="B693" s="3" t="s">
        <v>7670</v>
      </c>
      <c r="C693" s="7">
        <v>25989.0</v>
      </c>
      <c r="D693" s="3" t="s">
        <v>63</v>
      </c>
      <c r="E693" s="3">
        <v>55.0</v>
      </c>
      <c r="F693" s="3" t="s">
        <v>70</v>
      </c>
      <c r="G693" s="6" t="s">
        <v>7671</v>
      </c>
      <c r="H693" s="3" t="s">
        <v>7672</v>
      </c>
      <c r="I693" s="3" t="s">
        <v>7673</v>
      </c>
      <c r="J693" s="3" t="s">
        <v>151</v>
      </c>
      <c r="K693" s="3" t="s">
        <v>121</v>
      </c>
      <c r="L693" s="6" t="s">
        <v>6086</v>
      </c>
      <c r="M693" s="3" t="s">
        <v>63</v>
      </c>
      <c r="N693" s="6" t="s">
        <v>6088</v>
      </c>
      <c r="O693" s="3" t="s">
        <v>63</v>
      </c>
      <c r="P693" s="3" t="s">
        <v>127</v>
      </c>
      <c r="Q693" s="8">
        <v>865792.0</v>
      </c>
      <c r="R693" s="3" t="s">
        <v>93</v>
      </c>
      <c r="S693" s="7">
        <v>42908.0</v>
      </c>
      <c r="T693" s="3" t="s">
        <v>63</v>
      </c>
      <c r="U693" s="6" t="s">
        <v>277</v>
      </c>
      <c r="V693" s="3" t="s">
        <v>4</v>
      </c>
      <c r="W693" s="3" t="s">
        <v>102</v>
      </c>
    </row>
    <row r="694" ht="15.75" customHeight="1">
      <c r="A694" s="6" t="s">
        <v>1113</v>
      </c>
      <c r="B694" s="3" t="s">
        <v>7674</v>
      </c>
      <c r="C694" s="7">
        <v>26657.0</v>
      </c>
      <c r="D694" s="3" t="s">
        <v>63</v>
      </c>
      <c r="E694" s="3">
        <v>53.0</v>
      </c>
      <c r="F694" s="3" t="s">
        <v>183</v>
      </c>
      <c r="G694" s="6" t="s">
        <v>7675</v>
      </c>
      <c r="H694" s="3" t="s">
        <v>7676</v>
      </c>
      <c r="I694" s="3" t="s">
        <v>7677</v>
      </c>
      <c r="J694" s="3" t="s">
        <v>43</v>
      </c>
      <c r="K694" s="3" t="s">
        <v>45</v>
      </c>
      <c r="L694" s="6" t="s">
        <v>1114</v>
      </c>
      <c r="M694" s="3" t="s">
        <v>63</v>
      </c>
      <c r="N694" s="6" t="s">
        <v>1116</v>
      </c>
      <c r="O694" s="3" t="s">
        <v>63</v>
      </c>
      <c r="P694" s="3" t="s">
        <v>160</v>
      </c>
      <c r="Q694" s="3"/>
      <c r="R694" s="3" t="s">
        <v>258</v>
      </c>
      <c r="S694" s="7">
        <v>39836.0</v>
      </c>
      <c r="T694" s="3" t="s">
        <v>63</v>
      </c>
      <c r="U694" s="6" t="s">
        <v>197</v>
      </c>
      <c r="V694" s="3" t="s">
        <v>4</v>
      </c>
      <c r="W694" s="3" t="s">
        <v>102</v>
      </c>
    </row>
    <row r="695" ht="15.75" customHeight="1">
      <c r="A695" s="6" t="s">
        <v>6396</v>
      </c>
      <c r="B695" s="3" t="s">
        <v>7678</v>
      </c>
      <c r="C695" s="7">
        <v>27154.0</v>
      </c>
      <c r="D695" s="3" t="s">
        <v>63</v>
      </c>
      <c r="E695" s="3">
        <v>52.0</v>
      </c>
      <c r="F695" s="3" t="s">
        <v>70</v>
      </c>
      <c r="G695" s="6" t="s">
        <v>7679</v>
      </c>
      <c r="H695" s="3" t="s">
        <v>7680</v>
      </c>
      <c r="I695" s="3" t="s">
        <v>7681</v>
      </c>
      <c r="J695" s="3" t="s">
        <v>251</v>
      </c>
      <c r="K695" s="3" t="s">
        <v>251</v>
      </c>
      <c r="L695" s="6" t="s">
        <v>6397</v>
      </c>
      <c r="M695" s="3" t="s">
        <v>63</v>
      </c>
      <c r="N695" s="6" t="s">
        <v>6398</v>
      </c>
      <c r="O695" s="3" t="s">
        <v>63</v>
      </c>
      <c r="P695" s="3" t="s">
        <v>202</v>
      </c>
      <c r="Q695" s="3"/>
      <c r="R695" s="3" t="s">
        <v>258</v>
      </c>
      <c r="S695" s="7">
        <v>39338.0</v>
      </c>
      <c r="T695" s="3" t="s">
        <v>63</v>
      </c>
      <c r="U695" s="6" t="s">
        <v>129</v>
      </c>
      <c r="V695" s="3" t="s">
        <v>4</v>
      </c>
      <c r="W695" s="3" t="s">
        <v>102</v>
      </c>
    </row>
    <row r="696" ht="15.75" customHeight="1">
      <c r="A696" s="6" t="s">
        <v>6414</v>
      </c>
      <c r="B696" s="3" t="s">
        <v>7682</v>
      </c>
      <c r="C696" s="7">
        <v>36782.0</v>
      </c>
      <c r="D696" s="3" t="s">
        <v>63</v>
      </c>
      <c r="E696" s="3">
        <v>25.0</v>
      </c>
      <c r="F696" s="3" t="s">
        <v>183</v>
      </c>
      <c r="G696" s="6" t="s">
        <v>7683</v>
      </c>
      <c r="H696" s="3" t="s">
        <v>7684</v>
      </c>
      <c r="I696" s="3" t="s">
        <v>7685</v>
      </c>
      <c r="J696" s="3" t="s">
        <v>114</v>
      </c>
      <c r="K696" s="3" t="s">
        <v>118</v>
      </c>
      <c r="L696" s="6" t="s">
        <v>6415</v>
      </c>
      <c r="M696" s="3" t="s">
        <v>63</v>
      </c>
      <c r="N696" s="6" t="s">
        <v>6417</v>
      </c>
      <c r="O696" s="3" t="s">
        <v>63</v>
      </c>
      <c r="P696" s="3" t="s">
        <v>90</v>
      </c>
      <c r="Q696" s="8">
        <v>1953081.0</v>
      </c>
      <c r="R696" s="3" t="s">
        <v>93</v>
      </c>
      <c r="S696" s="7">
        <v>42191.0</v>
      </c>
      <c r="T696" s="3" t="s">
        <v>63</v>
      </c>
      <c r="U696" s="6" t="s">
        <v>171</v>
      </c>
      <c r="V696" s="3" t="s">
        <v>4</v>
      </c>
      <c r="W696" s="3" t="s">
        <v>102</v>
      </c>
    </row>
    <row r="697" ht="15.75" customHeight="1">
      <c r="A697" s="6" t="s">
        <v>809</v>
      </c>
      <c r="B697" s="3" t="s">
        <v>4458</v>
      </c>
      <c r="C697" s="7">
        <v>38591.0</v>
      </c>
      <c r="D697" s="3" t="s">
        <v>63</v>
      </c>
      <c r="E697" s="3">
        <v>20.0</v>
      </c>
      <c r="F697" s="3" t="s">
        <v>183</v>
      </c>
      <c r="G697" s="6" t="s">
        <v>7686</v>
      </c>
      <c r="H697" s="3" t="s">
        <v>7687</v>
      </c>
      <c r="I697" s="3" t="s">
        <v>7688</v>
      </c>
      <c r="J697" s="3" t="s">
        <v>305</v>
      </c>
      <c r="K697" s="3" t="s">
        <v>193</v>
      </c>
      <c r="L697" s="6" t="s">
        <v>3217</v>
      </c>
      <c r="M697" s="3" t="s">
        <v>63</v>
      </c>
      <c r="N697" s="6" t="s">
        <v>3220</v>
      </c>
      <c r="O697" s="3" t="s">
        <v>63</v>
      </c>
      <c r="P697" s="3" t="s">
        <v>300</v>
      </c>
      <c r="Q697" s="3"/>
      <c r="R697" s="3" t="s">
        <v>258</v>
      </c>
      <c r="S697" s="7">
        <v>42260.0</v>
      </c>
      <c r="T697" s="3" t="s">
        <v>63</v>
      </c>
      <c r="U697" s="6" t="s">
        <v>80</v>
      </c>
      <c r="V697" s="3" t="s">
        <v>4</v>
      </c>
      <c r="W697" s="3" t="s">
        <v>102</v>
      </c>
    </row>
    <row r="698" ht="15.75" customHeight="1">
      <c r="A698" s="6" t="s">
        <v>1224</v>
      </c>
      <c r="B698" s="3" t="s">
        <v>7689</v>
      </c>
      <c r="C698" s="7">
        <v>35000.0</v>
      </c>
      <c r="D698" s="3" t="s">
        <v>63</v>
      </c>
      <c r="E698" s="3">
        <v>30.0</v>
      </c>
      <c r="F698" s="3" t="s">
        <v>183</v>
      </c>
      <c r="G698" s="6" t="s">
        <v>7690</v>
      </c>
      <c r="H698" s="3" t="s">
        <v>7691</v>
      </c>
      <c r="I698" s="3" t="s">
        <v>7692</v>
      </c>
      <c r="J698" s="3" t="s">
        <v>134</v>
      </c>
      <c r="K698" s="3" t="s">
        <v>137</v>
      </c>
      <c r="L698" s="6" t="s">
        <v>1226</v>
      </c>
      <c r="M698" s="3" t="s">
        <v>63</v>
      </c>
      <c r="N698" s="3"/>
      <c r="O698" s="3" t="s">
        <v>88</v>
      </c>
      <c r="P698" s="3" t="s">
        <v>127</v>
      </c>
      <c r="Q698" s="8">
        <v>830307.0</v>
      </c>
      <c r="R698" s="3" t="s">
        <v>93</v>
      </c>
      <c r="S698" s="7">
        <v>38774.0</v>
      </c>
      <c r="T698" s="3" t="s">
        <v>63</v>
      </c>
      <c r="U698" s="6" t="s">
        <v>311</v>
      </c>
      <c r="V698" s="3" t="s">
        <v>237</v>
      </c>
      <c r="W698" s="3" t="s">
        <v>102</v>
      </c>
    </row>
    <row r="699" ht="15.75" customHeight="1">
      <c r="A699" s="6" t="s">
        <v>1774</v>
      </c>
      <c r="B699" s="3" t="s">
        <v>7693</v>
      </c>
      <c r="C699" s="7">
        <v>20358.0</v>
      </c>
      <c r="D699" s="3" t="s">
        <v>63</v>
      </c>
      <c r="E699" s="3">
        <v>70.0</v>
      </c>
      <c r="F699" s="3" t="s">
        <v>70</v>
      </c>
      <c r="G699" s="6" t="s">
        <v>7694</v>
      </c>
      <c r="H699" s="3" t="s">
        <v>7695</v>
      </c>
      <c r="I699" s="3" t="s">
        <v>7696</v>
      </c>
      <c r="J699" s="3" t="s">
        <v>327</v>
      </c>
      <c r="K699" s="3" t="s">
        <v>169</v>
      </c>
      <c r="L699" s="6" t="s">
        <v>4401</v>
      </c>
      <c r="M699" s="3" t="s">
        <v>63</v>
      </c>
      <c r="N699" s="6" t="s">
        <v>4402</v>
      </c>
      <c r="O699" s="3" t="s">
        <v>63</v>
      </c>
      <c r="P699" s="3" t="s">
        <v>202</v>
      </c>
      <c r="Q699" s="3"/>
      <c r="R699" s="3" t="s">
        <v>258</v>
      </c>
      <c r="S699" s="7">
        <v>39518.0</v>
      </c>
      <c r="T699" s="3" t="s">
        <v>63</v>
      </c>
      <c r="U699" s="6" t="s">
        <v>333</v>
      </c>
      <c r="V699" s="3" t="s">
        <v>4</v>
      </c>
      <c r="W699" s="3" t="s">
        <v>102</v>
      </c>
    </row>
    <row r="700" ht="15.75" customHeight="1">
      <c r="A700" s="6" t="s">
        <v>2107</v>
      </c>
      <c r="B700" s="3" t="s">
        <v>7697</v>
      </c>
      <c r="C700" s="7">
        <v>29324.0</v>
      </c>
      <c r="D700" s="3" t="s">
        <v>63</v>
      </c>
      <c r="E700" s="3">
        <v>46.0</v>
      </c>
      <c r="F700" s="3" t="s">
        <v>183</v>
      </c>
      <c r="G700" s="6" t="s">
        <v>7698</v>
      </c>
      <c r="H700" s="3" t="s">
        <v>7699</v>
      </c>
      <c r="I700" s="3" t="s">
        <v>7700</v>
      </c>
      <c r="J700" s="3" t="s">
        <v>65</v>
      </c>
      <c r="K700" s="3" t="s">
        <v>67</v>
      </c>
      <c r="L700" s="6" t="s">
        <v>6043</v>
      </c>
      <c r="M700" s="3" t="s">
        <v>63</v>
      </c>
      <c r="N700" s="6" t="s">
        <v>6044</v>
      </c>
      <c r="O700" s="3" t="s">
        <v>63</v>
      </c>
      <c r="P700" s="3" t="s">
        <v>127</v>
      </c>
      <c r="Q700" s="8">
        <v>1181413.0</v>
      </c>
      <c r="R700" s="3" t="s">
        <v>93</v>
      </c>
      <c r="S700" s="7">
        <v>41782.0</v>
      </c>
      <c r="T700" s="3" t="s">
        <v>63</v>
      </c>
      <c r="U700" s="6" t="s">
        <v>266</v>
      </c>
      <c r="V700" s="3" t="s">
        <v>4</v>
      </c>
      <c r="W700" s="3" t="s">
        <v>102</v>
      </c>
    </row>
    <row r="701" ht="15.75" customHeight="1">
      <c r="A701" s="6" t="s">
        <v>1657</v>
      </c>
      <c r="B701" s="3" t="s">
        <v>7355</v>
      </c>
      <c r="C701" s="7">
        <v>38302.0</v>
      </c>
      <c r="D701" s="3" t="s">
        <v>63</v>
      </c>
      <c r="E701" s="3">
        <v>21.0</v>
      </c>
      <c r="F701" s="3" t="s">
        <v>70</v>
      </c>
      <c r="G701" s="6" t="s">
        <v>1049</v>
      </c>
      <c r="H701" s="3" t="s">
        <v>7357</v>
      </c>
      <c r="I701" s="3" t="s">
        <v>7358</v>
      </c>
      <c r="J701" s="3" t="s">
        <v>151</v>
      </c>
      <c r="K701" s="3" t="s">
        <v>121</v>
      </c>
      <c r="L701" s="6" t="s">
        <v>4990</v>
      </c>
      <c r="M701" s="3" t="s">
        <v>63</v>
      </c>
      <c r="N701" s="6" t="s">
        <v>4991</v>
      </c>
      <c r="O701" s="3" t="s">
        <v>63</v>
      </c>
      <c r="P701" s="3" t="s">
        <v>464</v>
      </c>
      <c r="Q701" s="3"/>
      <c r="R701" s="3" t="s">
        <v>258</v>
      </c>
      <c r="S701" s="7">
        <v>39959.0</v>
      </c>
      <c r="T701" s="3" t="s">
        <v>63</v>
      </c>
      <c r="U701" s="6" t="s">
        <v>92</v>
      </c>
      <c r="V701" s="3" t="s">
        <v>4</v>
      </c>
      <c r="W701" s="3" t="s">
        <v>378</v>
      </c>
    </row>
    <row r="702" ht="15.75" customHeight="1">
      <c r="A702" s="6" t="s">
        <v>4503</v>
      </c>
      <c r="B702" s="3" t="s">
        <v>7701</v>
      </c>
      <c r="C702" s="7">
        <v>34112.0</v>
      </c>
      <c r="D702" s="3" t="s">
        <v>63</v>
      </c>
      <c r="E702" s="3">
        <v>33.0</v>
      </c>
      <c r="F702" s="3" t="s">
        <v>70</v>
      </c>
      <c r="G702" s="6" t="s">
        <v>7702</v>
      </c>
      <c r="H702" s="3" t="s">
        <v>7703</v>
      </c>
      <c r="I702" s="3" t="s">
        <v>7704</v>
      </c>
      <c r="J702" s="3" t="s">
        <v>85</v>
      </c>
      <c r="K702" s="3" t="s">
        <v>67</v>
      </c>
      <c r="L702" s="6" t="s">
        <v>4755</v>
      </c>
      <c r="M702" s="3" t="s">
        <v>63</v>
      </c>
      <c r="N702" s="3"/>
      <c r="O702" s="3" t="s">
        <v>88</v>
      </c>
      <c r="P702" s="3" t="s">
        <v>127</v>
      </c>
      <c r="Q702" s="3"/>
      <c r="R702" s="3" t="s">
        <v>258</v>
      </c>
      <c r="S702" s="7">
        <v>40564.0</v>
      </c>
      <c r="T702" s="3" t="s">
        <v>63</v>
      </c>
      <c r="U702" s="6" t="s">
        <v>284</v>
      </c>
      <c r="V702" s="3" t="s">
        <v>4</v>
      </c>
      <c r="W702" s="3" t="s">
        <v>102</v>
      </c>
    </row>
    <row r="703" ht="15.75" customHeight="1">
      <c r="A703" s="6" t="s">
        <v>4967</v>
      </c>
      <c r="B703" s="3" t="s">
        <v>7705</v>
      </c>
      <c r="C703" s="7">
        <v>31574.0</v>
      </c>
      <c r="D703" s="3" t="s">
        <v>63</v>
      </c>
      <c r="E703" s="3">
        <v>40.0</v>
      </c>
      <c r="F703" s="3" t="s">
        <v>70</v>
      </c>
      <c r="G703" s="6" t="s">
        <v>7706</v>
      </c>
      <c r="H703" s="3" t="s">
        <v>7707</v>
      </c>
      <c r="I703" s="3" t="s">
        <v>7708</v>
      </c>
      <c r="J703" s="3" t="s">
        <v>134</v>
      </c>
      <c r="K703" s="3" t="s">
        <v>137</v>
      </c>
      <c r="L703" s="6" t="s">
        <v>4968</v>
      </c>
      <c r="M703" s="3" t="s">
        <v>63</v>
      </c>
      <c r="N703" s="6" t="s">
        <v>4969</v>
      </c>
      <c r="O703" s="3" t="s">
        <v>63</v>
      </c>
      <c r="P703" s="3" t="s">
        <v>300</v>
      </c>
      <c r="Q703" s="8">
        <v>2455452.0</v>
      </c>
      <c r="R703" s="3" t="s">
        <v>93</v>
      </c>
      <c r="S703" s="7">
        <v>39611.0</v>
      </c>
      <c r="T703" s="3" t="s">
        <v>63</v>
      </c>
      <c r="U703" s="6" t="s">
        <v>221</v>
      </c>
      <c r="V703" s="3" t="s">
        <v>4</v>
      </c>
      <c r="W703" s="3" t="s">
        <v>102</v>
      </c>
    </row>
    <row r="704" ht="15.75" customHeight="1">
      <c r="A704" s="6" t="s">
        <v>6095</v>
      </c>
      <c r="B704" s="3" t="s">
        <v>7709</v>
      </c>
      <c r="C704" s="7">
        <v>38531.0</v>
      </c>
      <c r="D704" s="3" t="s">
        <v>63</v>
      </c>
      <c r="E704" s="3">
        <v>21.0</v>
      </c>
      <c r="F704" s="3" t="s">
        <v>183</v>
      </c>
      <c r="G704" s="6" t="s">
        <v>7710</v>
      </c>
      <c r="H704" s="3" t="s">
        <v>7711</v>
      </c>
      <c r="I704" s="3" t="s">
        <v>7712</v>
      </c>
      <c r="J704" s="3" t="s">
        <v>225</v>
      </c>
      <c r="K704" s="3" t="s">
        <v>101</v>
      </c>
      <c r="L704" s="6" t="s">
        <v>6097</v>
      </c>
      <c r="M704" s="3" t="s">
        <v>63</v>
      </c>
      <c r="N704" s="6" t="s">
        <v>6099</v>
      </c>
      <c r="O704" s="3" t="s">
        <v>63</v>
      </c>
      <c r="P704" s="3" t="s">
        <v>202</v>
      </c>
      <c r="Q704" s="8">
        <v>1970277.0</v>
      </c>
      <c r="R704" s="3" t="s">
        <v>93</v>
      </c>
      <c r="S704" s="7">
        <v>40050.0</v>
      </c>
      <c r="T704" s="3" t="s">
        <v>63</v>
      </c>
      <c r="U704" s="6" t="s">
        <v>323</v>
      </c>
      <c r="V704" s="3" t="s">
        <v>4</v>
      </c>
      <c r="W704" s="3" t="s">
        <v>102</v>
      </c>
    </row>
    <row r="705" ht="15.75" customHeight="1">
      <c r="A705" s="6" t="s">
        <v>2220</v>
      </c>
      <c r="B705" s="3" t="s">
        <v>7713</v>
      </c>
      <c r="C705" s="7">
        <v>33095.0</v>
      </c>
      <c r="D705" s="3" t="s">
        <v>63</v>
      </c>
      <c r="E705" s="3">
        <v>35.0</v>
      </c>
      <c r="F705" s="3" t="s">
        <v>183</v>
      </c>
      <c r="G705" s="6" t="s">
        <v>7714</v>
      </c>
      <c r="H705" s="3" t="s">
        <v>7715</v>
      </c>
      <c r="I705" s="3" t="s">
        <v>7716</v>
      </c>
      <c r="J705" s="3" t="s">
        <v>349</v>
      </c>
      <c r="K705" s="3" t="s">
        <v>45</v>
      </c>
      <c r="L705" s="6" t="s">
        <v>2222</v>
      </c>
      <c r="M705" s="3" t="s">
        <v>63</v>
      </c>
      <c r="N705" s="6" t="s">
        <v>2225</v>
      </c>
      <c r="O705" s="3" t="s">
        <v>63</v>
      </c>
      <c r="P705" s="3" t="s">
        <v>127</v>
      </c>
      <c r="Q705" s="8">
        <v>1643468.0</v>
      </c>
      <c r="R705" s="3" t="s">
        <v>93</v>
      </c>
      <c r="S705" s="7">
        <v>45482.0</v>
      </c>
      <c r="T705" s="3" t="s">
        <v>63</v>
      </c>
      <c r="U705" s="6" t="s">
        <v>146</v>
      </c>
      <c r="V705" s="3" t="s">
        <v>237</v>
      </c>
      <c r="W705" s="3" t="s">
        <v>102</v>
      </c>
    </row>
    <row r="706" ht="15.75" customHeight="1">
      <c r="A706" s="6" t="s">
        <v>1271</v>
      </c>
      <c r="B706" s="3" t="s">
        <v>7717</v>
      </c>
      <c r="C706" s="7">
        <v>29015.0</v>
      </c>
      <c r="D706" s="3" t="s">
        <v>63</v>
      </c>
      <c r="E706" s="3">
        <v>47.0</v>
      </c>
      <c r="F706" s="3" t="s">
        <v>70</v>
      </c>
      <c r="G706" s="6" t="s">
        <v>7718</v>
      </c>
      <c r="H706" s="3" t="s">
        <v>7719</v>
      </c>
      <c r="I706" s="3" t="s">
        <v>7720</v>
      </c>
      <c r="J706" s="3" t="s">
        <v>98</v>
      </c>
      <c r="K706" s="3" t="s">
        <v>101</v>
      </c>
      <c r="L706" s="6" t="s">
        <v>1274</v>
      </c>
      <c r="M706" s="3" t="s">
        <v>63</v>
      </c>
      <c r="N706" s="6" t="s">
        <v>1276</v>
      </c>
      <c r="O706" s="3" t="s">
        <v>63</v>
      </c>
      <c r="P706" s="3" t="s">
        <v>324</v>
      </c>
      <c r="Q706" s="3"/>
      <c r="R706" s="3" t="s">
        <v>258</v>
      </c>
      <c r="S706" s="7">
        <v>45183.0</v>
      </c>
      <c r="T706" s="3" t="s">
        <v>63</v>
      </c>
      <c r="U706" s="6" t="s">
        <v>179</v>
      </c>
      <c r="V706" s="3" t="s">
        <v>4</v>
      </c>
      <c r="W706" s="3" t="s">
        <v>102</v>
      </c>
    </row>
    <row r="707" ht="15.75" customHeight="1">
      <c r="A707" s="6" t="s">
        <v>1521</v>
      </c>
      <c r="B707" s="3" t="s">
        <v>7721</v>
      </c>
      <c r="C707" s="7">
        <v>37411.0</v>
      </c>
      <c r="D707" s="3" t="s">
        <v>63</v>
      </c>
      <c r="E707" s="3">
        <v>24.0</v>
      </c>
      <c r="F707" s="3" t="s">
        <v>70</v>
      </c>
      <c r="G707" s="3"/>
      <c r="H707" s="3" t="s">
        <v>7722</v>
      </c>
      <c r="I707" s="3" t="s">
        <v>7723</v>
      </c>
      <c r="J707" s="3" t="s">
        <v>151</v>
      </c>
      <c r="K707" s="3" t="s">
        <v>121</v>
      </c>
      <c r="L707" s="3"/>
      <c r="M707" s="3" t="s">
        <v>88</v>
      </c>
      <c r="N707" s="6" t="s">
        <v>2666</v>
      </c>
      <c r="O707" s="3" t="s">
        <v>63</v>
      </c>
      <c r="P707" s="3" t="s">
        <v>372</v>
      </c>
      <c r="Q707" s="8">
        <v>1726504.0</v>
      </c>
      <c r="R707" s="3" t="s">
        <v>93</v>
      </c>
      <c r="S707" s="7">
        <v>45154.0</v>
      </c>
      <c r="T707" s="3" t="s">
        <v>63</v>
      </c>
      <c r="U707" s="6" t="s">
        <v>323</v>
      </c>
      <c r="V707" s="3" t="s">
        <v>237</v>
      </c>
      <c r="W707" s="3" t="s">
        <v>102</v>
      </c>
    </row>
    <row r="708" ht="15.75" customHeight="1">
      <c r="A708" s="6" t="s">
        <v>2453</v>
      </c>
      <c r="B708" s="3" t="s">
        <v>7724</v>
      </c>
      <c r="C708" s="7">
        <v>33559.0</v>
      </c>
      <c r="D708" s="3" t="s">
        <v>63</v>
      </c>
      <c r="E708" s="3">
        <v>34.0</v>
      </c>
      <c r="F708" s="3" t="s">
        <v>183</v>
      </c>
      <c r="G708" s="6" t="s">
        <v>7725</v>
      </c>
      <c r="H708" s="3" t="s">
        <v>7726</v>
      </c>
      <c r="I708" s="3" t="s">
        <v>7727</v>
      </c>
      <c r="J708" s="3" t="s">
        <v>153</v>
      </c>
      <c r="K708" s="3" t="s">
        <v>67</v>
      </c>
      <c r="L708" s="6" t="s">
        <v>2454</v>
      </c>
      <c r="M708" s="3" t="s">
        <v>63</v>
      </c>
      <c r="N708" s="6" t="s">
        <v>2455</v>
      </c>
      <c r="O708" s="3" t="s">
        <v>63</v>
      </c>
      <c r="P708" s="3" t="s">
        <v>202</v>
      </c>
      <c r="Q708" s="3"/>
      <c r="R708" s="3" t="s">
        <v>258</v>
      </c>
      <c r="S708" s="7">
        <v>43087.0</v>
      </c>
      <c r="T708" s="3" t="s">
        <v>63</v>
      </c>
      <c r="U708" s="6" t="s">
        <v>352</v>
      </c>
      <c r="V708" s="3" t="s">
        <v>4</v>
      </c>
      <c r="W708" s="3" t="s">
        <v>102</v>
      </c>
    </row>
    <row r="709" ht="15.75" customHeight="1">
      <c r="A709" s="6" t="s">
        <v>1953</v>
      </c>
      <c r="B709" s="3" t="s">
        <v>7728</v>
      </c>
      <c r="C709" s="7">
        <v>31561.0</v>
      </c>
      <c r="D709" s="3" t="s">
        <v>63</v>
      </c>
      <c r="E709" s="3">
        <v>40.0</v>
      </c>
      <c r="F709" s="3" t="s">
        <v>70</v>
      </c>
      <c r="G709" s="6" t="s">
        <v>7729</v>
      </c>
      <c r="H709" s="3" t="s">
        <v>7730</v>
      </c>
      <c r="I709" s="3" t="s">
        <v>7731</v>
      </c>
      <c r="J709" s="3" t="s">
        <v>7732</v>
      </c>
      <c r="K709" s="3" t="s">
        <v>137</v>
      </c>
      <c r="L709" s="6" t="s">
        <v>3679</v>
      </c>
      <c r="M709" s="3" t="s">
        <v>63</v>
      </c>
      <c r="N709" s="6" t="s">
        <v>3681</v>
      </c>
      <c r="O709" s="3" t="s">
        <v>63</v>
      </c>
      <c r="P709" s="3" t="s">
        <v>372</v>
      </c>
      <c r="Q709" s="8">
        <v>1688232.0</v>
      </c>
      <c r="R709" s="3" t="s">
        <v>93</v>
      </c>
      <c r="S709" s="7">
        <v>40759.0</v>
      </c>
      <c r="T709" s="3" t="s">
        <v>63</v>
      </c>
      <c r="U709" s="6" t="s">
        <v>301</v>
      </c>
      <c r="V709" s="3" t="s">
        <v>4</v>
      </c>
      <c r="W709" s="3" t="s">
        <v>102</v>
      </c>
    </row>
    <row r="710" ht="15.75" customHeight="1">
      <c r="A710" s="6" t="s">
        <v>5432</v>
      </c>
      <c r="B710" s="3" t="s">
        <v>5163</v>
      </c>
      <c r="C710" s="7">
        <v>23116.0</v>
      </c>
      <c r="D710" s="3" t="s">
        <v>63</v>
      </c>
      <c r="E710" s="3">
        <v>63.0</v>
      </c>
      <c r="F710" s="3" t="s">
        <v>70</v>
      </c>
      <c r="G710" s="6" t="s">
        <v>7733</v>
      </c>
      <c r="H710" s="3" t="s">
        <v>7734</v>
      </c>
      <c r="I710" s="3" t="s">
        <v>7735</v>
      </c>
      <c r="J710" s="3" t="s">
        <v>43</v>
      </c>
      <c r="K710" s="3" t="s">
        <v>45</v>
      </c>
      <c r="L710" s="6" t="s">
        <v>6080</v>
      </c>
      <c r="M710" s="3" t="s">
        <v>63</v>
      </c>
      <c r="N710" s="6" t="s">
        <v>6081</v>
      </c>
      <c r="O710" s="3" t="s">
        <v>63</v>
      </c>
      <c r="P710" s="3" t="s">
        <v>300</v>
      </c>
      <c r="Q710" s="8">
        <v>2340294.0</v>
      </c>
      <c r="R710" s="3" t="s">
        <v>93</v>
      </c>
      <c r="S710" s="7">
        <v>39389.0</v>
      </c>
      <c r="T710" s="3" t="s">
        <v>63</v>
      </c>
      <c r="U710" s="6" t="s">
        <v>197</v>
      </c>
      <c r="V710" s="3" t="s">
        <v>4</v>
      </c>
      <c r="W710" s="3" t="s">
        <v>102</v>
      </c>
    </row>
    <row r="711" ht="15.75" customHeight="1">
      <c r="A711" s="6" t="s">
        <v>1997</v>
      </c>
      <c r="B711" s="3" t="s">
        <v>7736</v>
      </c>
      <c r="C711" s="7">
        <v>38062.0</v>
      </c>
      <c r="D711" s="3" t="s">
        <v>63</v>
      </c>
      <c r="E711" s="3">
        <v>22.0</v>
      </c>
      <c r="F711" s="3" t="s">
        <v>70</v>
      </c>
      <c r="G711" s="6" t="s">
        <v>7737</v>
      </c>
      <c r="H711" s="3"/>
      <c r="I711" s="3" t="s">
        <v>7738</v>
      </c>
      <c r="J711" s="3" t="s">
        <v>213</v>
      </c>
      <c r="K711" s="3" t="s">
        <v>67</v>
      </c>
      <c r="L711" s="6" t="s">
        <v>7739</v>
      </c>
      <c r="M711" s="3" t="s">
        <v>63</v>
      </c>
      <c r="N711" s="6" t="s">
        <v>7740</v>
      </c>
      <c r="O711" s="3" t="s">
        <v>63</v>
      </c>
      <c r="P711" s="3" t="s">
        <v>372</v>
      </c>
      <c r="Q711" s="8">
        <v>1771951.0</v>
      </c>
      <c r="R711" s="3" t="s">
        <v>93</v>
      </c>
      <c r="S711" s="7">
        <v>40101.0</v>
      </c>
      <c r="T711" s="3" t="s">
        <v>63</v>
      </c>
      <c r="U711" s="6" t="s">
        <v>92</v>
      </c>
      <c r="V711" s="3" t="s">
        <v>237</v>
      </c>
      <c r="W711" s="3" t="s">
        <v>102</v>
      </c>
    </row>
    <row r="712" ht="15.75" customHeight="1">
      <c r="A712" s="6" t="s">
        <v>4098</v>
      </c>
      <c r="B712" s="3" t="s">
        <v>7741</v>
      </c>
      <c r="C712" s="7">
        <v>27877.0</v>
      </c>
      <c r="D712" s="3" t="s">
        <v>63</v>
      </c>
      <c r="E712" s="3">
        <v>50.0</v>
      </c>
      <c r="F712" s="3" t="s">
        <v>70</v>
      </c>
      <c r="G712" s="6" t="s">
        <v>7742</v>
      </c>
      <c r="H712" s="3" t="s">
        <v>7743</v>
      </c>
      <c r="I712" s="3" t="s">
        <v>7744</v>
      </c>
      <c r="J712" s="3" t="s">
        <v>225</v>
      </c>
      <c r="K712" s="3" t="s">
        <v>101</v>
      </c>
      <c r="L712" s="6" t="s">
        <v>6228</v>
      </c>
      <c r="M712" s="3" t="s">
        <v>63</v>
      </c>
      <c r="N712" s="6" t="s">
        <v>6229</v>
      </c>
      <c r="O712" s="3" t="s">
        <v>63</v>
      </c>
      <c r="P712" s="3" t="s">
        <v>464</v>
      </c>
      <c r="Q712" s="8">
        <v>2490094.0</v>
      </c>
      <c r="R712" s="3" t="s">
        <v>93</v>
      </c>
      <c r="S712" s="7">
        <v>44128.0</v>
      </c>
      <c r="T712" s="3" t="s">
        <v>63</v>
      </c>
      <c r="U712" s="6" t="s">
        <v>129</v>
      </c>
      <c r="V712" s="3" t="s">
        <v>4</v>
      </c>
      <c r="W712" s="3" t="s">
        <v>102</v>
      </c>
    </row>
    <row r="713" ht="15.75" customHeight="1">
      <c r="A713" s="6" t="s">
        <v>5957</v>
      </c>
      <c r="B713" s="3" t="s">
        <v>3514</v>
      </c>
      <c r="C713" s="7">
        <v>47694.0</v>
      </c>
      <c r="D713" s="3" t="s">
        <v>1155</v>
      </c>
      <c r="E713" s="3"/>
      <c r="F713" s="3" t="s">
        <v>70</v>
      </c>
      <c r="G713" s="6" t="s">
        <v>7745</v>
      </c>
      <c r="H713" s="3" t="s">
        <v>7746</v>
      </c>
      <c r="I713" s="3" t="s">
        <v>7747</v>
      </c>
      <c r="J713" s="3" t="s">
        <v>327</v>
      </c>
      <c r="K713" s="3" t="s">
        <v>169</v>
      </c>
      <c r="L713" s="6" t="s">
        <v>4858</v>
      </c>
      <c r="M713" s="3" t="s">
        <v>63</v>
      </c>
      <c r="N713" s="6" t="s">
        <v>4859</v>
      </c>
      <c r="O713" s="3" t="s">
        <v>63</v>
      </c>
      <c r="P713" s="3" t="s">
        <v>396</v>
      </c>
      <c r="Q713" s="8">
        <v>1412889.0</v>
      </c>
      <c r="R713" s="3" t="s">
        <v>93</v>
      </c>
      <c r="S713" s="7">
        <v>44239.0</v>
      </c>
      <c r="T713" s="3" t="s">
        <v>1178</v>
      </c>
      <c r="U713" s="6" t="s">
        <v>92</v>
      </c>
      <c r="V713" s="3" t="s">
        <v>237</v>
      </c>
      <c r="W713" s="3" t="s">
        <v>378</v>
      </c>
    </row>
    <row r="714" ht="15.75" customHeight="1">
      <c r="A714" s="6" t="s">
        <v>7748</v>
      </c>
      <c r="B714" s="3" t="s">
        <v>7749</v>
      </c>
      <c r="C714" s="7">
        <v>30255.0</v>
      </c>
      <c r="D714" s="3" t="s">
        <v>63</v>
      </c>
      <c r="E714" s="3">
        <v>43.0</v>
      </c>
      <c r="F714" s="3" t="s">
        <v>70</v>
      </c>
      <c r="G714" s="6" t="s">
        <v>7750</v>
      </c>
      <c r="H714" s="3"/>
      <c r="I714" s="3" t="s">
        <v>7751</v>
      </c>
      <c r="J714" s="3" t="s">
        <v>167</v>
      </c>
      <c r="K714" s="3" t="s">
        <v>169</v>
      </c>
      <c r="L714" s="6" t="s">
        <v>7752</v>
      </c>
      <c r="M714" s="3" t="s">
        <v>63</v>
      </c>
      <c r="N714" s="6" t="s">
        <v>7753</v>
      </c>
      <c r="O714" s="3" t="s">
        <v>63</v>
      </c>
      <c r="P714" s="3" t="s">
        <v>202</v>
      </c>
      <c r="Q714" s="8">
        <v>1345074.0</v>
      </c>
      <c r="R714" s="3" t="s">
        <v>93</v>
      </c>
      <c r="S714" s="7">
        <v>40269.0</v>
      </c>
      <c r="T714" s="3" t="s">
        <v>63</v>
      </c>
      <c r="U714" s="6" t="s">
        <v>163</v>
      </c>
      <c r="V714" s="3" t="s">
        <v>4</v>
      </c>
      <c r="W714" s="3" t="s">
        <v>102</v>
      </c>
    </row>
    <row r="715" ht="15.75" customHeight="1">
      <c r="A715" s="6" t="s">
        <v>1515</v>
      </c>
      <c r="B715" s="3" t="s">
        <v>7754</v>
      </c>
      <c r="C715" s="7">
        <v>38627.0</v>
      </c>
      <c r="D715" s="3" t="s">
        <v>63</v>
      </c>
      <c r="E715" s="3">
        <v>20.0</v>
      </c>
      <c r="F715" s="3" t="s">
        <v>183</v>
      </c>
      <c r="G715" s="6" t="s">
        <v>7755</v>
      </c>
      <c r="H715" s="3" t="s">
        <v>7756</v>
      </c>
      <c r="I715" s="3" t="s">
        <v>7757</v>
      </c>
      <c r="J715" s="3" t="s">
        <v>201</v>
      </c>
      <c r="K715" s="3" t="s">
        <v>203</v>
      </c>
      <c r="L715" s="6" t="s">
        <v>5756</v>
      </c>
      <c r="M715" s="3" t="s">
        <v>63</v>
      </c>
      <c r="N715" s="6" t="s">
        <v>5757</v>
      </c>
      <c r="O715" s="3" t="s">
        <v>63</v>
      </c>
      <c r="P715" s="3" t="s">
        <v>202</v>
      </c>
      <c r="Q715" s="3"/>
      <c r="R715" s="3" t="s">
        <v>258</v>
      </c>
      <c r="S715" s="7">
        <v>43481.0</v>
      </c>
      <c r="T715" s="3" t="s">
        <v>63</v>
      </c>
      <c r="U715" s="6" t="s">
        <v>36</v>
      </c>
      <c r="V715" s="3" t="s">
        <v>237</v>
      </c>
      <c r="W715" s="3" t="s">
        <v>102</v>
      </c>
    </row>
    <row r="716" ht="15.75" customHeight="1">
      <c r="A716" s="6" t="s">
        <v>2110</v>
      </c>
      <c r="B716" s="3" t="s">
        <v>7758</v>
      </c>
      <c r="C716" s="7">
        <v>24123.0</v>
      </c>
      <c r="D716" s="3" t="s">
        <v>63</v>
      </c>
      <c r="E716" s="3">
        <v>60.0</v>
      </c>
      <c r="F716" s="3" t="s">
        <v>183</v>
      </c>
      <c r="G716" s="6" t="s">
        <v>7759</v>
      </c>
      <c r="H716" s="3" t="s">
        <v>7760</v>
      </c>
      <c r="I716" s="3" t="s">
        <v>6715</v>
      </c>
      <c r="J716" s="3" t="s">
        <v>114</v>
      </c>
      <c r="K716" s="3" t="s">
        <v>118</v>
      </c>
      <c r="L716" s="6" t="s">
        <v>5429</v>
      </c>
      <c r="M716" s="3" t="s">
        <v>63</v>
      </c>
      <c r="N716" s="6" t="s">
        <v>5431</v>
      </c>
      <c r="O716" s="3" t="s">
        <v>63</v>
      </c>
      <c r="P716" s="3" t="s">
        <v>300</v>
      </c>
      <c r="Q716" s="8">
        <v>2081908.0</v>
      </c>
      <c r="R716" s="3" t="s">
        <v>93</v>
      </c>
      <c r="S716" s="7">
        <v>39538.0</v>
      </c>
      <c r="T716" s="3" t="s">
        <v>63</v>
      </c>
      <c r="U716" s="6" t="s">
        <v>385</v>
      </c>
      <c r="V716" s="3" t="s">
        <v>237</v>
      </c>
      <c r="W716" s="3" t="s">
        <v>378</v>
      </c>
    </row>
    <row r="717" ht="15.75" customHeight="1">
      <c r="A717" s="6" t="s">
        <v>4031</v>
      </c>
      <c r="B717" s="3" t="s">
        <v>7761</v>
      </c>
      <c r="C717" s="7">
        <v>37284.0</v>
      </c>
      <c r="D717" s="3" t="s">
        <v>63</v>
      </c>
      <c r="E717" s="3">
        <v>24.0</v>
      </c>
      <c r="F717" s="3" t="s">
        <v>183</v>
      </c>
      <c r="G717" s="6" t="s">
        <v>7762</v>
      </c>
      <c r="H717" s="3" t="s">
        <v>7763</v>
      </c>
      <c r="I717" s="3" t="s">
        <v>7764</v>
      </c>
      <c r="J717" s="3" t="s">
        <v>79</v>
      </c>
      <c r="K717" s="3" t="s">
        <v>81</v>
      </c>
      <c r="L717" s="6" t="s">
        <v>7765</v>
      </c>
      <c r="M717" s="3" t="s">
        <v>63</v>
      </c>
      <c r="N717" s="6" t="s">
        <v>7766</v>
      </c>
      <c r="O717" s="3" t="s">
        <v>620</v>
      </c>
      <c r="P717" s="3" t="s">
        <v>127</v>
      </c>
      <c r="Q717" s="3"/>
      <c r="R717" s="3" t="s">
        <v>258</v>
      </c>
      <c r="S717" s="7">
        <v>41185.0</v>
      </c>
      <c r="T717" s="3" t="s">
        <v>63</v>
      </c>
      <c r="U717" s="6" t="s">
        <v>136</v>
      </c>
      <c r="V717" s="3" t="s">
        <v>237</v>
      </c>
      <c r="W717" s="3" t="s">
        <v>102</v>
      </c>
    </row>
    <row r="718" ht="15.75" customHeight="1">
      <c r="A718" s="6" t="s">
        <v>819</v>
      </c>
      <c r="B718" s="3" t="s">
        <v>7767</v>
      </c>
      <c r="C718" s="7">
        <v>21759.0</v>
      </c>
      <c r="D718" s="3" t="s">
        <v>63</v>
      </c>
      <c r="E718" s="3">
        <v>67.0</v>
      </c>
      <c r="F718" s="3" t="s">
        <v>183</v>
      </c>
      <c r="G718" s="3"/>
      <c r="H718" s="3"/>
      <c r="I718" s="3" t="s">
        <v>7768</v>
      </c>
      <c r="J718" s="3" t="s">
        <v>250</v>
      </c>
      <c r="K718" s="3" t="s">
        <v>252</v>
      </c>
      <c r="L718" s="6" t="s">
        <v>821</v>
      </c>
      <c r="M718" s="3" t="s">
        <v>63</v>
      </c>
      <c r="N718" s="6" t="s">
        <v>824</v>
      </c>
      <c r="O718" s="3" t="s">
        <v>63</v>
      </c>
      <c r="P718" s="3" t="s">
        <v>160</v>
      </c>
      <c r="Q718" s="8">
        <v>161193.0</v>
      </c>
      <c r="R718" s="3" t="s">
        <v>93</v>
      </c>
      <c r="S718" s="7">
        <v>39694.0</v>
      </c>
      <c r="T718" s="3" t="s">
        <v>63</v>
      </c>
      <c r="U718" s="6" t="s">
        <v>208</v>
      </c>
      <c r="V718" s="3" t="s">
        <v>4</v>
      </c>
      <c r="W718" s="3" t="s">
        <v>102</v>
      </c>
    </row>
    <row r="719" ht="15.75" customHeight="1">
      <c r="A719" s="6" t="s">
        <v>5449</v>
      </c>
      <c r="B719" s="3" t="s">
        <v>7769</v>
      </c>
      <c r="C719" s="7">
        <v>47303.0</v>
      </c>
      <c r="D719" s="3" t="s">
        <v>1155</v>
      </c>
      <c r="E719" s="3"/>
      <c r="F719" s="3" t="s">
        <v>70</v>
      </c>
      <c r="G719" s="6" t="s">
        <v>7770</v>
      </c>
      <c r="H719" s="3" t="s">
        <v>7771</v>
      </c>
      <c r="I719" s="3" t="s">
        <v>7772</v>
      </c>
      <c r="J719" s="3" t="s">
        <v>114</v>
      </c>
      <c r="K719" s="3" t="s">
        <v>118</v>
      </c>
      <c r="L719" s="3"/>
      <c r="M719" s="3" t="s">
        <v>88</v>
      </c>
      <c r="N719" s="6" t="s">
        <v>5452</v>
      </c>
      <c r="O719" s="3" t="s">
        <v>63</v>
      </c>
      <c r="P719" s="3" t="s">
        <v>396</v>
      </c>
      <c r="Q719" s="8">
        <v>1853878.0</v>
      </c>
      <c r="R719" s="3" t="s">
        <v>93</v>
      </c>
      <c r="S719" s="7">
        <v>43307.0</v>
      </c>
      <c r="T719" s="3" t="s">
        <v>1178</v>
      </c>
      <c r="U719" s="6" t="s">
        <v>262</v>
      </c>
      <c r="V719" s="3" t="s">
        <v>237</v>
      </c>
      <c r="W719" s="3" t="s">
        <v>102</v>
      </c>
    </row>
    <row r="720" ht="15.75" customHeight="1">
      <c r="A720" s="6" t="s">
        <v>2505</v>
      </c>
      <c r="B720" s="3" t="s">
        <v>7125</v>
      </c>
      <c r="C720" s="7">
        <v>35504.0</v>
      </c>
      <c r="D720" s="3" t="s">
        <v>63</v>
      </c>
      <c r="E720" s="3">
        <v>29.0</v>
      </c>
      <c r="F720" s="3" t="s">
        <v>70</v>
      </c>
      <c r="G720" s="6" t="s">
        <v>7773</v>
      </c>
      <c r="H720" s="3" t="s">
        <v>7774</v>
      </c>
      <c r="I720" s="3" t="s">
        <v>7775</v>
      </c>
      <c r="J720" s="3" t="s">
        <v>358</v>
      </c>
      <c r="K720" s="3" t="s">
        <v>360</v>
      </c>
      <c r="L720" s="6" t="s">
        <v>2507</v>
      </c>
      <c r="M720" s="3" t="s">
        <v>63</v>
      </c>
      <c r="N720" s="6" t="s">
        <v>2509</v>
      </c>
      <c r="O720" s="3" t="s">
        <v>63</v>
      </c>
      <c r="P720" s="3" t="s">
        <v>464</v>
      </c>
      <c r="Q720" s="8">
        <v>406225.0</v>
      </c>
      <c r="R720" s="3" t="s">
        <v>93</v>
      </c>
      <c r="S720" s="7">
        <v>45405.0</v>
      </c>
      <c r="T720" s="3" t="s">
        <v>63</v>
      </c>
      <c r="U720" s="6" t="s">
        <v>163</v>
      </c>
      <c r="V720" s="3" t="s">
        <v>4</v>
      </c>
      <c r="W720" s="3" t="s">
        <v>102</v>
      </c>
    </row>
    <row r="721" ht="15.75" customHeight="1">
      <c r="A721" s="6" t="s">
        <v>527</v>
      </c>
      <c r="B721" s="3" t="s">
        <v>3546</v>
      </c>
      <c r="C721" s="7">
        <v>37771.0</v>
      </c>
      <c r="D721" s="3" t="s">
        <v>63</v>
      </c>
      <c r="E721" s="3">
        <v>23.0</v>
      </c>
      <c r="F721" s="3" t="s">
        <v>183</v>
      </c>
      <c r="G721" s="6" t="s">
        <v>7776</v>
      </c>
      <c r="H721" s="3" t="s">
        <v>7777</v>
      </c>
      <c r="I721" s="3" t="s">
        <v>7778</v>
      </c>
      <c r="J721" s="3" t="s">
        <v>227</v>
      </c>
      <c r="K721" s="3" t="s">
        <v>229</v>
      </c>
      <c r="L721" s="6" t="s">
        <v>528</v>
      </c>
      <c r="M721" s="3" t="s">
        <v>63</v>
      </c>
      <c r="N721" s="6" t="s">
        <v>529</v>
      </c>
      <c r="O721" s="3" t="s">
        <v>63</v>
      </c>
      <c r="P721" s="3" t="s">
        <v>90</v>
      </c>
      <c r="Q721" s="8">
        <v>822632.0</v>
      </c>
      <c r="R721" s="3" t="s">
        <v>93</v>
      </c>
      <c r="S721" s="7">
        <v>43171.0</v>
      </c>
      <c r="T721" s="3" t="s">
        <v>63</v>
      </c>
      <c r="U721" s="6" t="s">
        <v>179</v>
      </c>
      <c r="V721" s="3" t="s">
        <v>4</v>
      </c>
      <c r="W721" s="3" t="s">
        <v>102</v>
      </c>
    </row>
    <row r="722" ht="15.75" customHeight="1">
      <c r="A722" s="6" t="s">
        <v>2073</v>
      </c>
      <c r="B722" s="3" t="s">
        <v>4202</v>
      </c>
      <c r="C722" s="7">
        <v>30137.0</v>
      </c>
      <c r="D722" s="3" t="s">
        <v>63</v>
      </c>
      <c r="E722" s="3">
        <v>44.0</v>
      </c>
      <c r="F722" s="3" t="s">
        <v>70</v>
      </c>
      <c r="G722" s="6" t="s">
        <v>7779</v>
      </c>
      <c r="H722" s="3" t="s">
        <v>7780</v>
      </c>
      <c r="I722" s="3" t="s">
        <v>7781</v>
      </c>
      <c r="J722" s="3" t="s">
        <v>153</v>
      </c>
      <c r="K722" s="3" t="s">
        <v>67</v>
      </c>
      <c r="L722" s="6" t="s">
        <v>2075</v>
      </c>
      <c r="M722" s="3" t="s">
        <v>63</v>
      </c>
      <c r="N722" s="6" t="s">
        <v>2076</v>
      </c>
      <c r="O722" s="3" t="s">
        <v>63</v>
      </c>
      <c r="P722" s="3" t="s">
        <v>202</v>
      </c>
      <c r="Q722" s="3"/>
      <c r="R722" s="3" t="s">
        <v>258</v>
      </c>
      <c r="S722" s="7">
        <v>44276.0</v>
      </c>
      <c r="T722" s="3" t="s">
        <v>63</v>
      </c>
      <c r="U722" s="6" t="s">
        <v>284</v>
      </c>
      <c r="V722" s="3" t="s">
        <v>4</v>
      </c>
      <c r="W722" s="3" t="s">
        <v>102</v>
      </c>
    </row>
    <row r="723" ht="15.75" customHeight="1">
      <c r="A723" s="6" t="s">
        <v>5225</v>
      </c>
      <c r="B723" s="3" t="s">
        <v>7782</v>
      </c>
      <c r="C723" s="7">
        <v>21177.0</v>
      </c>
      <c r="D723" s="3" t="s">
        <v>63</v>
      </c>
      <c r="E723" s="3">
        <v>68.0</v>
      </c>
      <c r="F723" s="3" t="s">
        <v>70</v>
      </c>
      <c r="G723" s="6" t="s">
        <v>7783</v>
      </c>
      <c r="H723" s="3" t="s">
        <v>7784</v>
      </c>
      <c r="I723" s="3" t="s">
        <v>7785</v>
      </c>
      <c r="J723" s="3" t="s">
        <v>282</v>
      </c>
      <c r="K723" s="3" t="s">
        <v>229</v>
      </c>
      <c r="L723" s="6" t="s">
        <v>6590</v>
      </c>
      <c r="M723" s="3" t="s">
        <v>63</v>
      </c>
      <c r="N723" s="6" t="s">
        <v>6591</v>
      </c>
      <c r="O723" s="3" t="s">
        <v>63</v>
      </c>
      <c r="P723" s="3" t="s">
        <v>300</v>
      </c>
      <c r="Q723" s="8">
        <v>412330.0</v>
      </c>
      <c r="R723" s="3" t="s">
        <v>93</v>
      </c>
      <c r="S723" s="7">
        <v>38761.0</v>
      </c>
      <c r="T723" s="3" t="s">
        <v>63</v>
      </c>
      <c r="U723" s="6" t="s">
        <v>109</v>
      </c>
      <c r="V723" s="3" t="s">
        <v>4</v>
      </c>
      <c r="W723" s="3" t="s">
        <v>102</v>
      </c>
    </row>
    <row r="724" ht="15.75" customHeight="1">
      <c r="A724" s="6" t="s">
        <v>4232</v>
      </c>
      <c r="B724" s="3" t="s">
        <v>7786</v>
      </c>
      <c r="C724" s="7">
        <v>32349.0</v>
      </c>
      <c r="D724" s="3" t="s">
        <v>63</v>
      </c>
      <c r="E724" s="3">
        <v>38.0</v>
      </c>
      <c r="F724" s="3" t="s">
        <v>183</v>
      </c>
      <c r="G724" s="6" t="s">
        <v>7787</v>
      </c>
      <c r="H724" s="3" t="s">
        <v>7788</v>
      </c>
      <c r="I724" s="3" t="s">
        <v>7789</v>
      </c>
      <c r="J724" s="3" t="s">
        <v>271</v>
      </c>
      <c r="K724" s="3" t="s">
        <v>273</v>
      </c>
      <c r="L724" s="6" t="s">
        <v>6129</v>
      </c>
      <c r="M724" s="3" t="s">
        <v>63</v>
      </c>
      <c r="N724" s="6" t="s">
        <v>6130</v>
      </c>
      <c r="O724" s="3" t="s">
        <v>63</v>
      </c>
      <c r="P724" s="3" t="s">
        <v>160</v>
      </c>
      <c r="Q724" s="3"/>
      <c r="R724" s="3" t="s">
        <v>258</v>
      </c>
      <c r="S724" s="7">
        <v>44611.0</v>
      </c>
      <c r="T724" s="3" t="s">
        <v>63</v>
      </c>
      <c r="U724" s="6" t="s">
        <v>245</v>
      </c>
      <c r="V724" s="3" t="s">
        <v>4</v>
      </c>
      <c r="W724" s="3" t="s">
        <v>102</v>
      </c>
    </row>
    <row r="725" ht="15.75" customHeight="1">
      <c r="A725" s="6" t="s">
        <v>2099</v>
      </c>
      <c r="B725" s="3" t="s">
        <v>7790</v>
      </c>
      <c r="C725" s="7">
        <v>28141.0</v>
      </c>
      <c r="D725" s="3" t="s">
        <v>63</v>
      </c>
      <c r="E725" s="3">
        <v>49.0</v>
      </c>
      <c r="F725" s="3" t="s">
        <v>70</v>
      </c>
      <c r="G725" s="6" t="s">
        <v>7791</v>
      </c>
      <c r="H725" s="3" t="s">
        <v>7792</v>
      </c>
      <c r="I725" s="3" t="s">
        <v>7793</v>
      </c>
      <c r="J725" s="3" t="s">
        <v>358</v>
      </c>
      <c r="K725" s="3" t="s">
        <v>360</v>
      </c>
      <c r="L725" s="6" t="s">
        <v>6557</v>
      </c>
      <c r="M725" s="3" t="s">
        <v>63</v>
      </c>
      <c r="N725" s="6" t="s">
        <v>6558</v>
      </c>
      <c r="O725" s="3" t="s">
        <v>63</v>
      </c>
      <c r="P725" s="3" t="s">
        <v>160</v>
      </c>
      <c r="Q725" s="3"/>
      <c r="R725" s="3" t="s">
        <v>258</v>
      </c>
      <c r="S725" s="7">
        <v>44646.0</v>
      </c>
      <c r="T725" s="3" t="s">
        <v>63</v>
      </c>
      <c r="U725" s="6" t="s">
        <v>401</v>
      </c>
      <c r="V725" s="3" t="s">
        <v>4</v>
      </c>
      <c r="W725" s="3" t="s">
        <v>102</v>
      </c>
    </row>
    <row r="726" ht="15.75" customHeight="1">
      <c r="A726" s="6" t="s">
        <v>2700</v>
      </c>
      <c r="B726" s="3" t="s">
        <v>4394</v>
      </c>
      <c r="C726" s="7">
        <v>38045.0</v>
      </c>
      <c r="D726" s="3" t="s">
        <v>63</v>
      </c>
      <c r="E726" s="3">
        <v>22.0</v>
      </c>
      <c r="F726" s="3" t="s">
        <v>183</v>
      </c>
      <c r="G726" s="6" t="s">
        <v>7794</v>
      </c>
      <c r="H726" s="3" t="s">
        <v>4397</v>
      </c>
      <c r="I726" s="3" t="s">
        <v>4398</v>
      </c>
      <c r="J726" s="3" t="s">
        <v>167</v>
      </c>
      <c r="K726" s="3" t="s">
        <v>169</v>
      </c>
      <c r="L726" s="6" t="s">
        <v>4271</v>
      </c>
      <c r="M726" s="3" t="s">
        <v>63</v>
      </c>
      <c r="N726" s="6" t="s">
        <v>4274</v>
      </c>
      <c r="O726" s="3" t="s">
        <v>63</v>
      </c>
      <c r="P726" s="3" t="s">
        <v>160</v>
      </c>
      <c r="Q726" s="8">
        <v>2455859.0</v>
      </c>
      <c r="R726" s="3" t="s">
        <v>93</v>
      </c>
      <c r="S726" s="7">
        <v>40708.0</v>
      </c>
      <c r="T726" s="3" t="s">
        <v>63</v>
      </c>
      <c r="U726" s="6" t="s">
        <v>352</v>
      </c>
      <c r="V726" s="3" t="s">
        <v>4</v>
      </c>
      <c r="W726" s="3" t="s">
        <v>378</v>
      </c>
    </row>
    <row r="727" ht="15.75" customHeight="1">
      <c r="A727" s="6" t="s">
        <v>1378</v>
      </c>
      <c r="B727" s="3" t="s">
        <v>7795</v>
      </c>
      <c r="C727" s="7">
        <v>21508.0</v>
      </c>
      <c r="D727" s="3" t="s">
        <v>63</v>
      </c>
      <c r="E727" s="3">
        <v>67.0</v>
      </c>
      <c r="F727" s="3" t="s">
        <v>70</v>
      </c>
      <c r="G727" s="6" t="s">
        <v>7796</v>
      </c>
      <c r="H727" s="3" t="s">
        <v>7797</v>
      </c>
      <c r="I727" s="3" t="s">
        <v>7798</v>
      </c>
      <c r="J727" s="3" t="s">
        <v>65</v>
      </c>
      <c r="K727" s="3" t="s">
        <v>67</v>
      </c>
      <c r="L727" s="6" t="s">
        <v>5836</v>
      </c>
      <c r="M727" s="3" t="s">
        <v>63</v>
      </c>
      <c r="N727" s="6" t="s">
        <v>5837</v>
      </c>
      <c r="O727" s="3" t="s">
        <v>63</v>
      </c>
      <c r="P727" s="3" t="s">
        <v>464</v>
      </c>
      <c r="Q727" s="8">
        <v>720057.0</v>
      </c>
      <c r="R727" s="3" t="s">
        <v>93</v>
      </c>
      <c r="S727" s="7">
        <v>44597.0</v>
      </c>
      <c r="T727" s="3" t="s">
        <v>63</v>
      </c>
      <c r="U727" s="6" t="s">
        <v>97</v>
      </c>
      <c r="V727" s="3" t="s">
        <v>4</v>
      </c>
      <c r="W727" s="3" t="s">
        <v>102</v>
      </c>
    </row>
    <row r="728" ht="15.75" customHeight="1">
      <c r="A728" s="6" t="s">
        <v>2619</v>
      </c>
      <c r="B728" s="3" t="s">
        <v>7799</v>
      </c>
      <c r="C728" s="7">
        <v>37436.0</v>
      </c>
      <c r="D728" s="3" t="s">
        <v>63</v>
      </c>
      <c r="E728" s="3">
        <v>24.0</v>
      </c>
      <c r="F728" s="3" t="s">
        <v>70</v>
      </c>
      <c r="G728" s="6" t="s">
        <v>7800</v>
      </c>
      <c r="H728" s="3" t="s">
        <v>7801</v>
      </c>
      <c r="I728" s="3" t="s">
        <v>7802</v>
      </c>
      <c r="J728" s="3" t="s">
        <v>167</v>
      </c>
      <c r="K728" s="3" t="s">
        <v>169</v>
      </c>
      <c r="L728" s="3"/>
      <c r="M728" s="3" t="s">
        <v>88</v>
      </c>
      <c r="N728" s="6" t="s">
        <v>2621</v>
      </c>
      <c r="O728" s="3" t="s">
        <v>63</v>
      </c>
      <c r="P728" s="3" t="s">
        <v>324</v>
      </c>
      <c r="Q728" s="3"/>
      <c r="R728" s="3" t="s">
        <v>258</v>
      </c>
      <c r="S728" s="7">
        <v>39950.0</v>
      </c>
      <c r="T728" s="3" t="s">
        <v>63</v>
      </c>
      <c r="U728" s="6" t="s">
        <v>36</v>
      </c>
      <c r="V728" s="3" t="s">
        <v>4</v>
      </c>
      <c r="W728" s="3" t="s">
        <v>102</v>
      </c>
    </row>
    <row r="729" ht="15.75" customHeight="1">
      <c r="A729" s="6" t="s">
        <v>6615</v>
      </c>
      <c r="B729" s="3" t="s">
        <v>3647</v>
      </c>
      <c r="C729" s="7">
        <v>34589.0</v>
      </c>
      <c r="D729" s="3" t="s">
        <v>63</v>
      </c>
      <c r="E729" s="3">
        <v>31.0</v>
      </c>
      <c r="F729" s="3" t="s">
        <v>70</v>
      </c>
      <c r="G729" s="6" t="s">
        <v>7803</v>
      </c>
      <c r="H729" s="3" t="s">
        <v>7804</v>
      </c>
      <c r="I729" s="3" t="s">
        <v>2740</v>
      </c>
      <c r="J729" s="3" t="s">
        <v>213</v>
      </c>
      <c r="K729" s="3" t="s">
        <v>67</v>
      </c>
      <c r="L729" s="6" t="s">
        <v>7805</v>
      </c>
      <c r="M729" s="3" t="s">
        <v>63</v>
      </c>
      <c r="N729" s="6" t="s">
        <v>7806</v>
      </c>
      <c r="O729" s="3" t="s">
        <v>63</v>
      </c>
      <c r="P729" s="3" t="s">
        <v>202</v>
      </c>
      <c r="Q729" s="8">
        <v>1451666.0</v>
      </c>
      <c r="R729" s="3" t="s">
        <v>93</v>
      </c>
      <c r="S729" s="7">
        <v>43447.0</v>
      </c>
      <c r="T729" s="3" t="s">
        <v>63</v>
      </c>
      <c r="U729" s="6" t="s">
        <v>234</v>
      </c>
      <c r="V729" s="3" t="s">
        <v>4</v>
      </c>
      <c r="W729" s="3" t="s">
        <v>102</v>
      </c>
    </row>
    <row r="730" ht="15.75" customHeight="1">
      <c r="A730" s="6" t="s">
        <v>752</v>
      </c>
      <c r="B730" s="3" t="s">
        <v>7807</v>
      </c>
      <c r="C730" s="7">
        <v>26199.0</v>
      </c>
      <c r="D730" s="3" t="s">
        <v>63</v>
      </c>
      <c r="E730" s="3">
        <v>54.0</v>
      </c>
      <c r="F730" s="3" t="s">
        <v>70</v>
      </c>
      <c r="G730" s="6" t="s">
        <v>7808</v>
      </c>
      <c r="H730" s="3" t="s">
        <v>7809</v>
      </c>
      <c r="I730" s="3" t="s">
        <v>7810</v>
      </c>
      <c r="J730" s="3" t="s">
        <v>119</v>
      </c>
      <c r="K730" s="3" t="s">
        <v>121</v>
      </c>
      <c r="L730" s="6" t="s">
        <v>5577</v>
      </c>
      <c r="M730" s="3" t="s">
        <v>63</v>
      </c>
      <c r="N730" s="6" t="s">
        <v>5579</v>
      </c>
      <c r="O730" s="3" t="s">
        <v>63</v>
      </c>
      <c r="P730" s="3" t="s">
        <v>464</v>
      </c>
      <c r="Q730" s="8">
        <v>798498.0</v>
      </c>
      <c r="R730" s="3" t="s">
        <v>93</v>
      </c>
      <c r="S730" s="7">
        <v>40857.0</v>
      </c>
      <c r="T730" s="3" t="s">
        <v>63</v>
      </c>
      <c r="U730" s="6" t="s">
        <v>92</v>
      </c>
      <c r="V730" s="3" t="s">
        <v>4</v>
      </c>
      <c r="W730" s="3" t="s">
        <v>102</v>
      </c>
    </row>
    <row r="731" ht="15.75" customHeight="1">
      <c r="A731" s="6" t="s">
        <v>1051</v>
      </c>
      <c r="B731" s="3" t="s">
        <v>7811</v>
      </c>
      <c r="C731" s="7">
        <v>20934.0</v>
      </c>
      <c r="D731" s="3" t="s">
        <v>63</v>
      </c>
      <c r="E731" s="3">
        <v>69.0</v>
      </c>
      <c r="F731" s="3" t="s">
        <v>70</v>
      </c>
      <c r="G731" s="6" t="s">
        <v>7812</v>
      </c>
      <c r="H731" s="3" t="s">
        <v>7813</v>
      </c>
      <c r="I731" s="3" t="s">
        <v>7814</v>
      </c>
      <c r="J731" s="3" t="s">
        <v>85</v>
      </c>
      <c r="K731" s="3" t="s">
        <v>67</v>
      </c>
      <c r="L731" s="6" t="s">
        <v>1054</v>
      </c>
      <c r="M731" s="3" t="s">
        <v>63</v>
      </c>
      <c r="N731" s="6" t="s">
        <v>1055</v>
      </c>
      <c r="O731" s="3" t="s">
        <v>63</v>
      </c>
      <c r="P731" s="3" t="s">
        <v>202</v>
      </c>
      <c r="Q731" s="8">
        <v>785156.0</v>
      </c>
      <c r="R731" s="3" t="s">
        <v>93</v>
      </c>
      <c r="S731" s="7">
        <v>45020.0</v>
      </c>
      <c r="T731" s="3" t="s">
        <v>63</v>
      </c>
      <c r="U731" s="6" t="s">
        <v>284</v>
      </c>
      <c r="V731" s="3" t="s">
        <v>4</v>
      </c>
      <c r="W731" s="3" t="s">
        <v>102</v>
      </c>
    </row>
    <row r="732" ht="15.75" customHeight="1">
      <c r="A732" s="6" t="s">
        <v>1098</v>
      </c>
      <c r="B732" s="3" t="s">
        <v>7815</v>
      </c>
      <c r="C732" s="7">
        <v>24520.0</v>
      </c>
      <c r="D732" s="3" t="s">
        <v>63</v>
      </c>
      <c r="E732" s="3">
        <v>59.0</v>
      </c>
      <c r="F732" s="3" t="s">
        <v>70</v>
      </c>
      <c r="G732" s="6" t="s">
        <v>7816</v>
      </c>
      <c r="H732" s="3" t="s">
        <v>7817</v>
      </c>
      <c r="I732" s="3" t="s">
        <v>7818</v>
      </c>
      <c r="J732" s="3" t="s">
        <v>43</v>
      </c>
      <c r="K732" s="3" t="s">
        <v>45</v>
      </c>
      <c r="L732" s="6" t="s">
        <v>1102</v>
      </c>
      <c r="M732" s="3" t="s">
        <v>63</v>
      </c>
      <c r="N732" s="6" t="s">
        <v>1105</v>
      </c>
      <c r="O732" s="3" t="s">
        <v>63</v>
      </c>
      <c r="P732" s="3" t="s">
        <v>324</v>
      </c>
      <c r="Q732" s="8">
        <v>948687.0</v>
      </c>
      <c r="R732" s="3" t="s">
        <v>93</v>
      </c>
      <c r="S732" s="7">
        <v>44950.0</v>
      </c>
      <c r="T732" s="3" t="s">
        <v>63</v>
      </c>
      <c r="U732" s="6" t="s">
        <v>171</v>
      </c>
      <c r="V732" s="3" t="s">
        <v>4</v>
      </c>
      <c r="W732" s="3" t="s">
        <v>102</v>
      </c>
    </row>
    <row r="733" ht="15.75" customHeight="1">
      <c r="A733" s="6" t="s">
        <v>3001</v>
      </c>
      <c r="B733" s="3" t="s">
        <v>7819</v>
      </c>
      <c r="C733" s="7">
        <v>37060.0</v>
      </c>
      <c r="D733" s="3" t="s">
        <v>63</v>
      </c>
      <c r="E733" s="3">
        <v>25.0</v>
      </c>
      <c r="F733" s="3" t="s">
        <v>70</v>
      </c>
      <c r="G733" s="6" t="s">
        <v>7820</v>
      </c>
      <c r="H733" s="3" t="s">
        <v>7821</v>
      </c>
      <c r="I733" s="3" t="s">
        <v>475</v>
      </c>
      <c r="J733" s="3" t="s">
        <v>184</v>
      </c>
      <c r="K733" s="3" t="s">
        <v>187</v>
      </c>
      <c r="L733" s="6" t="s">
        <v>5345</v>
      </c>
      <c r="M733" s="3" t="s">
        <v>63</v>
      </c>
      <c r="N733" s="3"/>
      <c r="O733" s="3" t="s">
        <v>88</v>
      </c>
      <c r="P733" s="3" t="s">
        <v>202</v>
      </c>
      <c r="Q733" s="8">
        <v>1667570.0</v>
      </c>
      <c r="R733" s="3" t="s">
        <v>93</v>
      </c>
      <c r="S733" s="7">
        <v>45736.0</v>
      </c>
      <c r="T733" s="3" t="s">
        <v>63</v>
      </c>
      <c r="U733" s="6" t="s">
        <v>301</v>
      </c>
      <c r="V733" s="3" t="s">
        <v>237</v>
      </c>
      <c r="W733" s="3" t="s">
        <v>102</v>
      </c>
    </row>
    <row r="734" ht="15.75" customHeight="1">
      <c r="A734" s="6" t="s">
        <v>4565</v>
      </c>
      <c r="B734" s="3" t="s">
        <v>7822</v>
      </c>
      <c r="C734" s="7">
        <v>24710.0</v>
      </c>
      <c r="D734" s="3" t="s">
        <v>63</v>
      </c>
      <c r="E734" s="3">
        <v>58.0</v>
      </c>
      <c r="F734" s="3" t="s">
        <v>183</v>
      </c>
      <c r="G734" s="6" t="s">
        <v>7823</v>
      </c>
      <c r="H734" s="3" t="s">
        <v>7824</v>
      </c>
      <c r="I734" s="3" t="s">
        <v>7825</v>
      </c>
      <c r="J734" s="3" t="s">
        <v>349</v>
      </c>
      <c r="K734" s="3" t="s">
        <v>45</v>
      </c>
      <c r="L734" s="6" t="s">
        <v>4568</v>
      </c>
      <c r="M734" s="3" t="s">
        <v>63</v>
      </c>
      <c r="N734" s="6" t="s">
        <v>4569</v>
      </c>
      <c r="O734" s="3" t="s">
        <v>63</v>
      </c>
      <c r="P734" s="3" t="s">
        <v>464</v>
      </c>
      <c r="Q734" s="3"/>
      <c r="R734" s="3" t="s">
        <v>258</v>
      </c>
      <c r="S734" s="7">
        <v>41547.0</v>
      </c>
      <c r="T734" s="3" t="s">
        <v>63</v>
      </c>
      <c r="U734" s="6" t="s">
        <v>245</v>
      </c>
      <c r="V734" s="3" t="s">
        <v>4</v>
      </c>
      <c r="W734" s="3" t="s">
        <v>102</v>
      </c>
    </row>
    <row r="735" ht="15.75" customHeight="1">
      <c r="A735" s="6" t="s">
        <v>879</v>
      </c>
      <c r="B735" s="3" t="s">
        <v>7826</v>
      </c>
      <c r="C735" s="7">
        <v>34646.0</v>
      </c>
      <c r="D735" s="3" t="s">
        <v>63</v>
      </c>
      <c r="E735" s="3">
        <v>31.0</v>
      </c>
      <c r="F735" s="3" t="s">
        <v>70</v>
      </c>
      <c r="G735" s="6" t="s">
        <v>7827</v>
      </c>
      <c r="H735" s="3" t="s">
        <v>7828</v>
      </c>
      <c r="I735" s="3" t="s">
        <v>7376</v>
      </c>
      <c r="J735" s="3" t="s">
        <v>119</v>
      </c>
      <c r="K735" s="3" t="s">
        <v>121</v>
      </c>
      <c r="L735" s="6" t="s">
        <v>7829</v>
      </c>
      <c r="M735" s="3" t="s">
        <v>63</v>
      </c>
      <c r="N735" s="6" t="s">
        <v>7830</v>
      </c>
      <c r="O735" s="3" t="s">
        <v>63</v>
      </c>
      <c r="P735" s="3" t="s">
        <v>202</v>
      </c>
      <c r="Q735" s="8">
        <v>228109.0</v>
      </c>
      <c r="R735" s="3" t="s">
        <v>93</v>
      </c>
      <c r="S735" s="7">
        <v>42891.0</v>
      </c>
      <c r="T735" s="3" t="s">
        <v>63</v>
      </c>
      <c r="U735" s="6" t="s">
        <v>333</v>
      </c>
      <c r="V735" s="3" t="s">
        <v>4</v>
      </c>
      <c r="W735" s="3" t="s">
        <v>102</v>
      </c>
    </row>
    <row r="736" ht="15.75" customHeight="1">
      <c r="A736" s="6" t="s">
        <v>4023</v>
      </c>
      <c r="B736" s="3" t="s">
        <v>7831</v>
      </c>
      <c r="C736" s="7">
        <v>38482.0</v>
      </c>
      <c r="D736" s="3" t="s">
        <v>63</v>
      </c>
      <c r="E736" s="3">
        <v>21.0</v>
      </c>
      <c r="F736" s="3" t="s">
        <v>70</v>
      </c>
      <c r="G736" s="6" t="s">
        <v>7832</v>
      </c>
      <c r="H736" s="3" t="s">
        <v>7833</v>
      </c>
      <c r="I736" s="3" t="s">
        <v>7834</v>
      </c>
      <c r="J736" s="3" t="s">
        <v>119</v>
      </c>
      <c r="K736" s="3" t="s">
        <v>121</v>
      </c>
      <c r="L736" s="3"/>
      <c r="M736" s="3" t="s">
        <v>88</v>
      </c>
      <c r="N736" s="6" t="s">
        <v>4024</v>
      </c>
      <c r="O736" s="3" t="s">
        <v>63</v>
      </c>
      <c r="P736" s="3" t="s">
        <v>127</v>
      </c>
      <c r="Q736" s="8">
        <v>2349801.0</v>
      </c>
      <c r="R736" s="3" t="s">
        <v>93</v>
      </c>
      <c r="S736" s="7">
        <v>42084.0</v>
      </c>
      <c r="T736" s="3" t="s">
        <v>63</v>
      </c>
      <c r="U736" s="6" t="s">
        <v>262</v>
      </c>
      <c r="V736" s="3" t="s">
        <v>4</v>
      </c>
      <c r="W736" s="3" t="s">
        <v>102</v>
      </c>
    </row>
    <row r="737" ht="15.75" customHeight="1">
      <c r="A737" s="6" t="s">
        <v>3632</v>
      </c>
      <c r="B737" s="3" t="s">
        <v>2640</v>
      </c>
      <c r="C737" s="7">
        <v>20638.0</v>
      </c>
      <c r="D737" s="3" t="s">
        <v>63</v>
      </c>
      <c r="E737" s="3">
        <v>70.0</v>
      </c>
      <c r="F737" s="3" t="s">
        <v>183</v>
      </c>
      <c r="G737" s="6" t="s">
        <v>7835</v>
      </c>
      <c r="H737" s="3" t="s">
        <v>7836</v>
      </c>
      <c r="I737" s="3" t="s">
        <v>7837</v>
      </c>
      <c r="J737" s="3" t="s">
        <v>190</v>
      </c>
      <c r="K737" s="3" t="s">
        <v>193</v>
      </c>
      <c r="L737" s="6" t="s">
        <v>4152</v>
      </c>
      <c r="M737" s="3" t="s">
        <v>63</v>
      </c>
      <c r="N737" s="6" t="s">
        <v>4153</v>
      </c>
      <c r="O737" s="3" t="s">
        <v>63</v>
      </c>
      <c r="P737" s="3" t="s">
        <v>160</v>
      </c>
      <c r="Q737" s="3"/>
      <c r="R737" s="3" t="s">
        <v>258</v>
      </c>
      <c r="S737" s="7">
        <v>41428.0</v>
      </c>
      <c r="T737" s="3" t="s">
        <v>63</v>
      </c>
      <c r="U737" s="6" t="s">
        <v>109</v>
      </c>
      <c r="V737" s="3" t="s">
        <v>237</v>
      </c>
      <c r="W737" s="3" t="s">
        <v>102</v>
      </c>
    </row>
    <row r="738" ht="15.75" customHeight="1">
      <c r="A738" s="6" t="s">
        <v>561</v>
      </c>
      <c r="B738" s="3" t="s">
        <v>7838</v>
      </c>
      <c r="C738" s="7">
        <v>37591.0</v>
      </c>
      <c r="D738" s="3" t="s">
        <v>63</v>
      </c>
      <c r="E738" s="3">
        <v>23.0</v>
      </c>
      <c r="F738" s="3" t="s">
        <v>70</v>
      </c>
      <c r="G738" s="6" t="s">
        <v>7839</v>
      </c>
      <c r="H738" s="3" t="s">
        <v>7840</v>
      </c>
      <c r="I738" s="3" t="s">
        <v>7841</v>
      </c>
      <c r="J738" s="3" t="s">
        <v>337</v>
      </c>
      <c r="K738" s="3" t="s">
        <v>137</v>
      </c>
      <c r="L738" s="6" t="s">
        <v>563</v>
      </c>
      <c r="M738" s="3" t="s">
        <v>63</v>
      </c>
      <c r="N738" s="6" t="s">
        <v>566</v>
      </c>
      <c r="O738" s="3" t="s">
        <v>63</v>
      </c>
      <c r="P738" s="3" t="s">
        <v>396</v>
      </c>
      <c r="Q738" s="3"/>
      <c r="R738" s="3" t="s">
        <v>258</v>
      </c>
      <c r="S738" s="7">
        <v>42848.0</v>
      </c>
      <c r="T738" s="3" t="s">
        <v>63</v>
      </c>
      <c r="U738" s="6" t="s">
        <v>60</v>
      </c>
      <c r="V738" s="3" t="s">
        <v>4</v>
      </c>
      <c r="W738" s="3" t="s">
        <v>102</v>
      </c>
    </row>
    <row r="739" ht="15.75" customHeight="1">
      <c r="A739" s="6" t="s">
        <v>711</v>
      </c>
      <c r="B739" s="3" t="s">
        <v>7842</v>
      </c>
      <c r="C739" s="7">
        <v>23128.0</v>
      </c>
      <c r="D739" s="3" t="s">
        <v>63</v>
      </c>
      <c r="E739" s="3">
        <v>63.0</v>
      </c>
      <c r="F739" s="3" t="s">
        <v>70</v>
      </c>
      <c r="G739" s="6" t="s">
        <v>7843</v>
      </c>
      <c r="H739" s="3" t="s">
        <v>7844</v>
      </c>
      <c r="I739" s="3" t="s">
        <v>7845</v>
      </c>
      <c r="J739" s="3" t="s">
        <v>190</v>
      </c>
      <c r="K739" s="3" t="s">
        <v>193</v>
      </c>
      <c r="L739" s="6" t="s">
        <v>713</v>
      </c>
      <c r="M739" s="3" t="s">
        <v>63</v>
      </c>
      <c r="N739" s="6" t="s">
        <v>714</v>
      </c>
      <c r="O739" s="3" t="s">
        <v>63</v>
      </c>
      <c r="P739" s="3" t="s">
        <v>396</v>
      </c>
      <c r="Q739" s="3"/>
      <c r="R739" s="3" t="s">
        <v>258</v>
      </c>
      <c r="S739" s="7">
        <v>41065.0</v>
      </c>
      <c r="T739" s="3" t="s">
        <v>63</v>
      </c>
      <c r="U739" s="6" t="s">
        <v>163</v>
      </c>
      <c r="V739" s="3" t="s">
        <v>4</v>
      </c>
      <c r="W739" s="3" t="s">
        <v>102</v>
      </c>
    </row>
    <row r="740" ht="15.75" customHeight="1">
      <c r="A740" s="6" t="s">
        <v>731</v>
      </c>
      <c r="B740" s="3" t="s">
        <v>7846</v>
      </c>
      <c r="C740" s="7">
        <v>32985.0</v>
      </c>
      <c r="D740" s="3" t="s">
        <v>63</v>
      </c>
      <c r="E740" s="3">
        <v>36.0</v>
      </c>
      <c r="F740" s="3" t="s">
        <v>183</v>
      </c>
      <c r="G740" s="6" t="s">
        <v>7847</v>
      </c>
      <c r="H740" s="3" t="s">
        <v>7848</v>
      </c>
      <c r="I740" s="3" t="s">
        <v>7849</v>
      </c>
      <c r="J740" s="3" t="s">
        <v>305</v>
      </c>
      <c r="K740" s="3" t="s">
        <v>193</v>
      </c>
      <c r="L740" s="3"/>
      <c r="M740" s="3" t="s">
        <v>88</v>
      </c>
      <c r="N740" s="6" t="s">
        <v>2141</v>
      </c>
      <c r="O740" s="3" t="s">
        <v>63</v>
      </c>
      <c r="P740" s="3" t="s">
        <v>372</v>
      </c>
      <c r="Q740" s="8">
        <v>1910541.0</v>
      </c>
      <c r="R740" s="3" t="s">
        <v>93</v>
      </c>
      <c r="S740" s="7">
        <v>39107.0</v>
      </c>
      <c r="T740" s="3" t="s">
        <v>63</v>
      </c>
      <c r="U740" s="6" t="s">
        <v>234</v>
      </c>
      <c r="V740" s="3" t="s">
        <v>4</v>
      </c>
      <c r="W740" s="3" t="s">
        <v>378</v>
      </c>
    </row>
    <row r="741" ht="15.75" customHeight="1">
      <c r="A741" s="6" t="s">
        <v>2696</v>
      </c>
      <c r="B741" s="3" t="s">
        <v>5813</v>
      </c>
      <c r="C741" s="7">
        <v>23230.0</v>
      </c>
      <c r="D741" s="3" t="s">
        <v>63</v>
      </c>
      <c r="E741" s="3">
        <v>63.0</v>
      </c>
      <c r="F741" s="3" t="s">
        <v>183</v>
      </c>
      <c r="G741" s="6" t="s">
        <v>7850</v>
      </c>
      <c r="H741" s="3" t="s">
        <v>7851</v>
      </c>
      <c r="I741" s="3" t="s">
        <v>7852</v>
      </c>
      <c r="J741" s="3" t="s">
        <v>119</v>
      </c>
      <c r="K741" s="3" t="s">
        <v>121</v>
      </c>
      <c r="L741" s="6" t="s">
        <v>2697</v>
      </c>
      <c r="M741" s="3" t="s">
        <v>63</v>
      </c>
      <c r="N741" s="6" t="s">
        <v>2699</v>
      </c>
      <c r="O741" s="3" t="s">
        <v>63</v>
      </c>
      <c r="P741" s="3" t="s">
        <v>324</v>
      </c>
      <c r="Q741" s="8">
        <v>2181112.0</v>
      </c>
      <c r="R741" s="3" t="s">
        <v>93</v>
      </c>
      <c r="S741" s="7">
        <v>38701.0</v>
      </c>
      <c r="T741" s="3" t="s">
        <v>63</v>
      </c>
      <c r="U741" s="6" t="s">
        <v>92</v>
      </c>
      <c r="V741" s="3" t="s">
        <v>4</v>
      </c>
      <c r="W741" s="3" t="s">
        <v>102</v>
      </c>
    </row>
    <row r="742" ht="15.75" customHeight="1">
      <c r="A742" s="6" t="s">
        <v>3389</v>
      </c>
      <c r="B742" s="3" t="s">
        <v>7853</v>
      </c>
      <c r="C742" s="7">
        <v>27222.0</v>
      </c>
      <c r="D742" s="3" t="s">
        <v>63</v>
      </c>
      <c r="E742" s="3">
        <v>52.0</v>
      </c>
      <c r="F742" s="3" t="s">
        <v>183</v>
      </c>
      <c r="G742" s="6" t="s">
        <v>7854</v>
      </c>
      <c r="H742" s="3" t="s">
        <v>7855</v>
      </c>
      <c r="I742" s="3" t="s">
        <v>7856</v>
      </c>
      <c r="J742" s="3" t="s">
        <v>114</v>
      </c>
      <c r="K742" s="3" t="s">
        <v>118</v>
      </c>
      <c r="L742" s="6" t="s">
        <v>3390</v>
      </c>
      <c r="M742" s="3" t="s">
        <v>63</v>
      </c>
      <c r="N742" s="6" t="s">
        <v>3391</v>
      </c>
      <c r="O742" s="3" t="s">
        <v>63</v>
      </c>
      <c r="P742" s="3" t="s">
        <v>90</v>
      </c>
      <c r="Q742" s="8">
        <v>2487705.0</v>
      </c>
      <c r="R742" s="3" t="s">
        <v>93</v>
      </c>
      <c r="S742" s="7">
        <v>44611.0</v>
      </c>
      <c r="T742" s="3" t="s">
        <v>63</v>
      </c>
      <c r="U742" s="6" t="s">
        <v>171</v>
      </c>
      <c r="V742" s="3" t="s">
        <v>4</v>
      </c>
      <c r="W742" s="3" t="s">
        <v>102</v>
      </c>
    </row>
    <row r="743" ht="15.75" customHeight="1">
      <c r="A743" s="6" t="s">
        <v>642</v>
      </c>
      <c r="B743" s="3" t="s">
        <v>7857</v>
      </c>
      <c r="C743" s="7">
        <v>24672.0</v>
      </c>
      <c r="D743" s="3" t="s">
        <v>63</v>
      </c>
      <c r="E743" s="3">
        <v>59.0</v>
      </c>
      <c r="F743" s="3" t="s">
        <v>70</v>
      </c>
      <c r="G743" s="6" t="s">
        <v>7858</v>
      </c>
      <c r="H743" s="3" t="s">
        <v>7859</v>
      </c>
      <c r="I743" s="3" t="s">
        <v>7860</v>
      </c>
      <c r="J743" s="3" t="s">
        <v>225</v>
      </c>
      <c r="K743" s="3" t="s">
        <v>101</v>
      </c>
      <c r="L743" s="6" t="s">
        <v>2553</v>
      </c>
      <c r="M743" s="3" t="s">
        <v>63</v>
      </c>
      <c r="N743" s="3"/>
      <c r="O743" s="3" t="s">
        <v>88</v>
      </c>
      <c r="P743" s="3" t="s">
        <v>160</v>
      </c>
      <c r="Q743" s="3"/>
      <c r="R743" s="3" t="s">
        <v>258</v>
      </c>
      <c r="S743" s="7">
        <v>39182.0</v>
      </c>
      <c r="T743" s="3" t="s">
        <v>63</v>
      </c>
      <c r="U743" s="6" t="s">
        <v>284</v>
      </c>
      <c r="V743" s="3" t="s">
        <v>4</v>
      </c>
      <c r="W743" s="3" t="s">
        <v>102</v>
      </c>
    </row>
    <row r="744" ht="15.75" customHeight="1">
      <c r="A744" s="6" t="s">
        <v>6422</v>
      </c>
      <c r="B744" s="3" t="s">
        <v>7861</v>
      </c>
      <c r="C744" s="7">
        <v>38090.0</v>
      </c>
      <c r="D744" s="3" t="s">
        <v>63</v>
      </c>
      <c r="E744" s="3">
        <v>22.0</v>
      </c>
      <c r="F744" s="3" t="s">
        <v>70</v>
      </c>
      <c r="G744" s="6" t="s">
        <v>7862</v>
      </c>
      <c r="H744" s="3" t="s">
        <v>7863</v>
      </c>
      <c r="I744" s="3" t="s">
        <v>7864</v>
      </c>
      <c r="J744" s="3" t="s">
        <v>151</v>
      </c>
      <c r="K744" s="3" t="s">
        <v>121</v>
      </c>
      <c r="L744" s="6" t="s">
        <v>6424</v>
      </c>
      <c r="M744" s="3" t="s">
        <v>63</v>
      </c>
      <c r="N744" s="6" t="s">
        <v>6426</v>
      </c>
      <c r="O744" s="3" t="s">
        <v>63</v>
      </c>
      <c r="P744" s="3" t="s">
        <v>324</v>
      </c>
      <c r="Q744" s="8">
        <v>422306.0</v>
      </c>
      <c r="R744" s="3" t="s">
        <v>93</v>
      </c>
      <c r="S744" s="7">
        <v>40227.0</v>
      </c>
      <c r="T744" s="3" t="s">
        <v>63</v>
      </c>
      <c r="U744" s="6" t="s">
        <v>266</v>
      </c>
      <c r="V744" s="3" t="s">
        <v>4</v>
      </c>
      <c r="W744" s="3" t="s">
        <v>102</v>
      </c>
    </row>
    <row r="745" ht="15.75" customHeight="1">
      <c r="A745" s="6" t="s">
        <v>2978</v>
      </c>
      <c r="B745" s="3" t="s">
        <v>7865</v>
      </c>
      <c r="C745" s="7">
        <v>34128.0</v>
      </c>
      <c r="D745" s="3" t="s">
        <v>63</v>
      </c>
      <c r="E745" s="3">
        <v>33.0</v>
      </c>
      <c r="F745" s="3" t="s">
        <v>70</v>
      </c>
      <c r="G745" s="6" t="s">
        <v>7866</v>
      </c>
      <c r="H745" s="3" t="s">
        <v>7867</v>
      </c>
      <c r="I745" s="3" t="s">
        <v>1188</v>
      </c>
      <c r="J745" s="3" t="s">
        <v>251</v>
      </c>
      <c r="K745" s="3" t="s">
        <v>251</v>
      </c>
      <c r="L745" s="3"/>
      <c r="M745" s="3" t="s">
        <v>88</v>
      </c>
      <c r="N745" s="3"/>
      <c r="O745" s="3" t="s">
        <v>88</v>
      </c>
      <c r="P745" s="3" t="s">
        <v>396</v>
      </c>
      <c r="Q745" s="3"/>
      <c r="R745" s="3" t="s">
        <v>258</v>
      </c>
      <c r="S745" s="7">
        <v>43450.0</v>
      </c>
      <c r="T745" s="3" t="s">
        <v>63</v>
      </c>
      <c r="U745" s="6" t="s">
        <v>352</v>
      </c>
      <c r="V745" s="3" t="s">
        <v>4</v>
      </c>
      <c r="W745" s="3" t="s">
        <v>102</v>
      </c>
    </row>
    <row r="746" ht="15.75" customHeight="1">
      <c r="A746" s="6" t="s">
        <v>1338</v>
      </c>
      <c r="B746" s="3" t="s">
        <v>7868</v>
      </c>
      <c r="C746" s="7">
        <v>22868.0</v>
      </c>
      <c r="D746" s="3" t="s">
        <v>63</v>
      </c>
      <c r="E746" s="3">
        <v>63.0</v>
      </c>
      <c r="F746" s="3" t="s">
        <v>70</v>
      </c>
      <c r="G746" s="6" t="s">
        <v>7869</v>
      </c>
      <c r="H746" s="3" t="s">
        <v>7870</v>
      </c>
      <c r="I746" s="3" t="s">
        <v>7871</v>
      </c>
      <c r="J746" s="3" t="s">
        <v>184</v>
      </c>
      <c r="K746" s="3" t="s">
        <v>187</v>
      </c>
      <c r="L746" s="6" t="s">
        <v>1340</v>
      </c>
      <c r="M746" s="3" t="s">
        <v>63</v>
      </c>
      <c r="N746" s="3"/>
      <c r="O746" s="3" t="s">
        <v>88</v>
      </c>
      <c r="P746" s="3" t="s">
        <v>464</v>
      </c>
      <c r="Q746" s="8">
        <v>2098854.0</v>
      </c>
      <c r="R746" s="3" t="s">
        <v>93</v>
      </c>
      <c r="S746" s="7">
        <v>44481.0</v>
      </c>
      <c r="T746" s="3" t="s">
        <v>63</v>
      </c>
      <c r="U746" s="6" t="s">
        <v>311</v>
      </c>
      <c r="V746" s="3" t="s">
        <v>4</v>
      </c>
      <c r="W746" s="3" t="s">
        <v>102</v>
      </c>
    </row>
    <row r="747" ht="15.75" customHeight="1">
      <c r="A747" s="6" t="s">
        <v>4021</v>
      </c>
      <c r="B747" s="3" t="s">
        <v>7872</v>
      </c>
      <c r="C747" s="7">
        <v>34691.0</v>
      </c>
      <c r="D747" s="3" t="s">
        <v>63</v>
      </c>
      <c r="E747" s="3">
        <v>31.0</v>
      </c>
      <c r="F747" s="3" t="s">
        <v>70</v>
      </c>
      <c r="G747" s="6" t="s">
        <v>7873</v>
      </c>
      <c r="H747" s="3" t="s">
        <v>7874</v>
      </c>
      <c r="I747" s="3" t="s">
        <v>7875</v>
      </c>
      <c r="J747" s="3" t="s">
        <v>167</v>
      </c>
      <c r="K747" s="3" t="s">
        <v>169</v>
      </c>
      <c r="L747" s="6" t="s">
        <v>5333</v>
      </c>
      <c r="M747" s="3" t="s">
        <v>63</v>
      </c>
      <c r="N747" s="6" t="s">
        <v>5335</v>
      </c>
      <c r="O747" s="3" t="s">
        <v>63</v>
      </c>
      <c r="P747" s="3" t="s">
        <v>127</v>
      </c>
      <c r="Q747" s="8">
        <v>1173288.0</v>
      </c>
      <c r="R747" s="3" t="s">
        <v>93</v>
      </c>
      <c r="S747" s="7">
        <v>39545.0</v>
      </c>
      <c r="T747" s="3" t="s">
        <v>63</v>
      </c>
      <c r="U747" s="6" t="s">
        <v>197</v>
      </c>
      <c r="V747" s="3" t="s">
        <v>4</v>
      </c>
      <c r="W747" s="3" t="s">
        <v>102</v>
      </c>
    </row>
    <row r="748" ht="15.75" customHeight="1">
      <c r="A748" s="6" t="s">
        <v>3993</v>
      </c>
      <c r="B748" s="3" t="s">
        <v>7876</v>
      </c>
      <c r="C748" s="7">
        <v>32676.0</v>
      </c>
      <c r="D748" s="3" t="s">
        <v>63</v>
      </c>
      <c r="E748" s="3">
        <v>37.0</v>
      </c>
      <c r="F748" s="3" t="s">
        <v>183</v>
      </c>
      <c r="G748" s="6" t="s">
        <v>7877</v>
      </c>
      <c r="H748" s="3" t="s">
        <v>7878</v>
      </c>
      <c r="I748" s="3" t="s">
        <v>7879</v>
      </c>
      <c r="J748" s="3" t="s">
        <v>201</v>
      </c>
      <c r="K748" s="3" t="s">
        <v>203</v>
      </c>
      <c r="L748" s="6" t="s">
        <v>6156</v>
      </c>
      <c r="M748" s="3" t="s">
        <v>63</v>
      </c>
      <c r="N748" s="6" t="s">
        <v>6157</v>
      </c>
      <c r="O748" s="3" t="s">
        <v>63</v>
      </c>
      <c r="P748" s="3" t="s">
        <v>300</v>
      </c>
      <c r="Q748" s="3"/>
      <c r="R748" s="3" t="s">
        <v>258</v>
      </c>
      <c r="S748" s="7">
        <v>45703.0</v>
      </c>
      <c r="T748" s="3" t="s">
        <v>63</v>
      </c>
      <c r="U748" s="6" t="s">
        <v>245</v>
      </c>
      <c r="V748" s="3" t="s">
        <v>4</v>
      </c>
      <c r="W748" s="3" t="s">
        <v>102</v>
      </c>
    </row>
    <row r="749" ht="15.75" customHeight="1">
      <c r="A749" s="6" t="s">
        <v>2805</v>
      </c>
      <c r="B749" s="3" t="s">
        <v>7880</v>
      </c>
      <c r="C749" s="7">
        <v>36607.0</v>
      </c>
      <c r="D749" s="3" t="s">
        <v>63</v>
      </c>
      <c r="E749" s="3">
        <v>26.0</v>
      </c>
      <c r="F749" s="3" t="s">
        <v>183</v>
      </c>
      <c r="G749" s="6" t="s">
        <v>7881</v>
      </c>
      <c r="H749" s="3" t="s">
        <v>7882</v>
      </c>
      <c r="I749" s="3" t="s">
        <v>7883</v>
      </c>
      <c r="J749" s="3" t="s">
        <v>190</v>
      </c>
      <c r="K749" s="3" t="s">
        <v>193</v>
      </c>
      <c r="L749" s="6" t="s">
        <v>4390</v>
      </c>
      <c r="M749" s="3" t="s">
        <v>63</v>
      </c>
      <c r="N749" s="6" t="s">
        <v>4391</v>
      </c>
      <c r="O749" s="3" t="s">
        <v>63</v>
      </c>
      <c r="P749" s="3" t="s">
        <v>127</v>
      </c>
      <c r="Q749" s="3"/>
      <c r="R749" s="3" t="s">
        <v>258</v>
      </c>
      <c r="S749" s="7">
        <v>43422.0</v>
      </c>
      <c r="T749" s="3" t="s">
        <v>63</v>
      </c>
      <c r="U749" s="6" t="s">
        <v>284</v>
      </c>
      <c r="V749" s="3" t="s">
        <v>4</v>
      </c>
      <c r="W749" s="3" t="s">
        <v>102</v>
      </c>
    </row>
    <row r="750" ht="15.75" customHeight="1">
      <c r="A750" s="6" t="s">
        <v>797</v>
      </c>
      <c r="B750" s="3" t="s">
        <v>7884</v>
      </c>
      <c r="C750" s="7">
        <v>37466.0</v>
      </c>
      <c r="D750" s="3" t="s">
        <v>63</v>
      </c>
      <c r="E750" s="3">
        <v>24.0</v>
      </c>
      <c r="F750" s="3" t="s">
        <v>183</v>
      </c>
      <c r="G750" s="6" t="s">
        <v>7885</v>
      </c>
      <c r="H750" s="3" t="s">
        <v>7886</v>
      </c>
      <c r="I750" s="3" t="s">
        <v>7887</v>
      </c>
      <c r="J750" s="3" t="s">
        <v>201</v>
      </c>
      <c r="K750" s="3" t="s">
        <v>203</v>
      </c>
      <c r="L750" s="6" t="s">
        <v>3423</v>
      </c>
      <c r="M750" s="3" t="s">
        <v>63</v>
      </c>
      <c r="N750" s="6" t="s">
        <v>3425</v>
      </c>
      <c r="O750" s="3" t="s">
        <v>63</v>
      </c>
      <c r="P750" s="3" t="s">
        <v>90</v>
      </c>
      <c r="Q750" s="3"/>
      <c r="R750" s="3" t="s">
        <v>258</v>
      </c>
      <c r="S750" s="7">
        <v>42381.0</v>
      </c>
      <c r="T750" s="3" t="s">
        <v>63</v>
      </c>
      <c r="U750" s="6" t="s">
        <v>397</v>
      </c>
      <c r="V750" s="3" t="s">
        <v>4</v>
      </c>
      <c r="W750" s="3" t="s">
        <v>102</v>
      </c>
    </row>
    <row r="751" ht="15.75" customHeight="1">
      <c r="A751" s="6" t="s">
        <v>5560</v>
      </c>
      <c r="B751" s="3" t="s">
        <v>7888</v>
      </c>
      <c r="C751" s="7">
        <v>29663.0</v>
      </c>
      <c r="D751" s="3" t="s">
        <v>63</v>
      </c>
      <c r="E751" s="3">
        <v>45.0</v>
      </c>
      <c r="F751" s="3" t="s">
        <v>183</v>
      </c>
      <c r="G751" s="6" t="s">
        <v>7889</v>
      </c>
      <c r="H751" s="3" t="s">
        <v>7890</v>
      </c>
      <c r="I751" s="3" t="s">
        <v>7891</v>
      </c>
      <c r="J751" s="3" t="s">
        <v>201</v>
      </c>
      <c r="K751" s="3" t="s">
        <v>203</v>
      </c>
      <c r="L751" s="6" t="s">
        <v>5561</v>
      </c>
      <c r="M751" s="3" t="s">
        <v>63</v>
      </c>
      <c r="N751" s="3"/>
      <c r="O751" s="3" t="s">
        <v>88</v>
      </c>
      <c r="P751" s="3" t="s">
        <v>372</v>
      </c>
      <c r="Q751" s="8">
        <v>355946.0</v>
      </c>
      <c r="R751" s="3" t="s">
        <v>93</v>
      </c>
      <c r="S751" s="7">
        <v>44766.0</v>
      </c>
      <c r="T751" s="3" t="s">
        <v>63</v>
      </c>
      <c r="U751" s="6" t="s">
        <v>197</v>
      </c>
      <c r="V751" s="3" t="s">
        <v>4</v>
      </c>
      <c r="W751" s="3" t="s">
        <v>102</v>
      </c>
    </row>
    <row r="752" ht="15.75" customHeight="1">
      <c r="A752" s="6" t="s">
        <v>1117</v>
      </c>
      <c r="B752" s="3" t="s">
        <v>254</v>
      </c>
      <c r="C752" s="7">
        <v>29167.0</v>
      </c>
      <c r="D752" s="3" t="s">
        <v>63</v>
      </c>
      <c r="E752" s="3">
        <v>46.0</v>
      </c>
      <c r="F752" s="3" t="s">
        <v>70</v>
      </c>
      <c r="G752" s="6" t="s">
        <v>7892</v>
      </c>
      <c r="H752" s="3" t="s">
        <v>7893</v>
      </c>
      <c r="I752" s="3" t="s">
        <v>7894</v>
      </c>
      <c r="J752" s="3" t="s">
        <v>190</v>
      </c>
      <c r="K752" s="3" t="s">
        <v>193</v>
      </c>
      <c r="L752" s="6" t="s">
        <v>5677</v>
      </c>
      <c r="M752" s="3" t="s">
        <v>63</v>
      </c>
      <c r="N752" s="6" t="s">
        <v>5678</v>
      </c>
      <c r="O752" s="3" t="s">
        <v>63</v>
      </c>
      <c r="P752" s="3" t="s">
        <v>396</v>
      </c>
      <c r="Q752" s="3"/>
      <c r="R752" s="3" t="s">
        <v>258</v>
      </c>
      <c r="S752" s="7">
        <v>41533.0</v>
      </c>
      <c r="T752" s="3" t="s">
        <v>63</v>
      </c>
      <c r="U752" s="6" t="s">
        <v>288</v>
      </c>
      <c r="V752" s="3" t="s">
        <v>4</v>
      </c>
      <c r="W752" s="3" t="s">
        <v>102</v>
      </c>
    </row>
    <row r="753" ht="15.75" customHeight="1">
      <c r="A753" s="6" t="s">
        <v>3221</v>
      </c>
      <c r="B753" s="3" t="s">
        <v>7895</v>
      </c>
      <c r="C753" s="7">
        <v>25374.0</v>
      </c>
      <c r="D753" s="3" t="s">
        <v>63</v>
      </c>
      <c r="E753" s="3">
        <v>57.0</v>
      </c>
      <c r="F753" s="3" t="s">
        <v>183</v>
      </c>
      <c r="G753" s="6" t="s">
        <v>7896</v>
      </c>
      <c r="H753" s="3"/>
      <c r="I753" s="3" t="s">
        <v>7897</v>
      </c>
      <c r="J753" s="3" t="s">
        <v>114</v>
      </c>
      <c r="K753" s="3" t="s">
        <v>118</v>
      </c>
      <c r="L753" s="3"/>
      <c r="M753" s="3" t="s">
        <v>88</v>
      </c>
      <c r="N753" s="6" t="s">
        <v>6273</v>
      </c>
      <c r="O753" s="3" t="s">
        <v>63</v>
      </c>
      <c r="P753" s="3" t="s">
        <v>464</v>
      </c>
      <c r="Q753" s="8">
        <v>1510497.0</v>
      </c>
      <c r="R753" s="3" t="s">
        <v>93</v>
      </c>
      <c r="S753" s="7">
        <v>42151.0</v>
      </c>
      <c r="T753" s="3" t="s">
        <v>63</v>
      </c>
      <c r="U753" s="6" t="s">
        <v>171</v>
      </c>
      <c r="V753" s="3" t="s">
        <v>4</v>
      </c>
      <c r="W753" s="3" t="s">
        <v>102</v>
      </c>
    </row>
    <row r="754" ht="15.75" customHeight="1">
      <c r="A754" s="6" t="s">
        <v>7898</v>
      </c>
      <c r="B754" s="3" t="s">
        <v>7899</v>
      </c>
      <c r="C754" s="7">
        <v>24552.0</v>
      </c>
      <c r="D754" s="3" t="s">
        <v>63</v>
      </c>
      <c r="E754" s="3">
        <v>59.0</v>
      </c>
      <c r="F754" s="3" t="s">
        <v>70</v>
      </c>
      <c r="G754" s="6" t="s">
        <v>7900</v>
      </c>
      <c r="H754" s="3" t="s">
        <v>7901</v>
      </c>
      <c r="I754" s="3" t="s">
        <v>7902</v>
      </c>
      <c r="J754" s="3" t="s">
        <v>349</v>
      </c>
      <c r="K754" s="3" t="s">
        <v>45</v>
      </c>
      <c r="L754" s="6" t="s">
        <v>7903</v>
      </c>
      <c r="M754" s="3" t="s">
        <v>63</v>
      </c>
      <c r="N754" s="6" t="s">
        <v>7904</v>
      </c>
      <c r="O754" s="3" t="s">
        <v>63</v>
      </c>
      <c r="P754" s="3" t="s">
        <v>372</v>
      </c>
      <c r="Q754" s="3"/>
      <c r="R754" s="3" t="s">
        <v>258</v>
      </c>
      <c r="S754" s="7">
        <v>43043.0</v>
      </c>
      <c r="T754" s="3" t="s">
        <v>63</v>
      </c>
      <c r="U754" s="6" t="s">
        <v>311</v>
      </c>
      <c r="V754" s="3" t="s">
        <v>4</v>
      </c>
      <c r="W754" s="3" t="s">
        <v>102</v>
      </c>
    </row>
    <row r="755" ht="15.75" customHeight="1">
      <c r="A755" s="6" t="s">
        <v>3848</v>
      </c>
      <c r="B755" s="3" t="s">
        <v>7905</v>
      </c>
      <c r="C755" s="7">
        <v>32283.0</v>
      </c>
      <c r="D755" s="3" t="s">
        <v>63</v>
      </c>
      <c r="E755" s="3">
        <v>38.0</v>
      </c>
      <c r="F755" s="3" t="s">
        <v>183</v>
      </c>
      <c r="G755" s="6" t="s">
        <v>7906</v>
      </c>
      <c r="H755" s="3" t="s">
        <v>7907</v>
      </c>
      <c r="I755" s="3" t="s">
        <v>7908</v>
      </c>
      <c r="J755" s="3" t="s">
        <v>184</v>
      </c>
      <c r="K755" s="3" t="s">
        <v>187</v>
      </c>
      <c r="L755" s="6" t="s">
        <v>3851</v>
      </c>
      <c r="M755" s="3" t="s">
        <v>63</v>
      </c>
      <c r="N755" s="6" t="s">
        <v>3852</v>
      </c>
      <c r="O755" s="3" t="s">
        <v>63</v>
      </c>
      <c r="P755" s="3" t="s">
        <v>324</v>
      </c>
      <c r="Q755" s="8">
        <v>388668.0</v>
      </c>
      <c r="R755" s="3" t="s">
        <v>93</v>
      </c>
      <c r="S755" s="7">
        <v>41853.0</v>
      </c>
      <c r="T755" s="3" t="s">
        <v>63</v>
      </c>
      <c r="U755" s="6" t="s">
        <v>109</v>
      </c>
      <c r="V755" s="3" t="s">
        <v>4</v>
      </c>
      <c r="W755" s="3" t="s">
        <v>102</v>
      </c>
    </row>
    <row r="756" ht="15.75" customHeight="1">
      <c r="A756" s="6" t="s">
        <v>3416</v>
      </c>
      <c r="B756" s="3" t="s">
        <v>712</v>
      </c>
      <c r="C756" s="7">
        <v>46525.0</v>
      </c>
      <c r="D756" s="3" t="s">
        <v>1155</v>
      </c>
      <c r="E756" s="3"/>
      <c r="F756" s="3" t="s">
        <v>183</v>
      </c>
      <c r="G756" s="6" t="s">
        <v>7909</v>
      </c>
      <c r="H756" s="3" t="s">
        <v>7910</v>
      </c>
      <c r="I756" s="3" t="s">
        <v>7911</v>
      </c>
      <c r="J756" s="3" t="s">
        <v>213</v>
      </c>
      <c r="K756" s="3" t="s">
        <v>67</v>
      </c>
      <c r="L756" s="6" t="s">
        <v>6092</v>
      </c>
      <c r="M756" s="3" t="s">
        <v>63</v>
      </c>
      <c r="N756" s="6" t="s">
        <v>6093</v>
      </c>
      <c r="O756" s="3" t="s">
        <v>620</v>
      </c>
      <c r="P756" s="3" t="s">
        <v>300</v>
      </c>
      <c r="Q756" s="8">
        <v>1505565.0</v>
      </c>
      <c r="R756" s="3" t="s">
        <v>93</v>
      </c>
      <c r="S756" s="7">
        <v>43882.0</v>
      </c>
      <c r="T756" s="3" t="s">
        <v>1178</v>
      </c>
      <c r="U756" s="6" t="s">
        <v>245</v>
      </c>
      <c r="V756" s="3" t="s">
        <v>4</v>
      </c>
      <c r="W756" s="3" t="s">
        <v>102</v>
      </c>
    </row>
    <row r="757" ht="15.75" customHeight="1">
      <c r="A757" s="6" t="s">
        <v>3776</v>
      </c>
      <c r="B757" s="3" t="s">
        <v>7912</v>
      </c>
      <c r="C757" s="7">
        <v>37858.0</v>
      </c>
      <c r="D757" s="3" t="s">
        <v>63</v>
      </c>
      <c r="E757" s="3">
        <v>22.0</v>
      </c>
      <c r="F757" s="3" t="s">
        <v>70</v>
      </c>
      <c r="G757" s="6" t="s">
        <v>7913</v>
      </c>
      <c r="H757" s="3" t="s">
        <v>7914</v>
      </c>
      <c r="I757" s="3" t="s">
        <v>7915</v>
      </c>
      <c r="J757" s="3" t="s">
        <v>227</v>
      </c>
      <c r="K757" s="3" t="s">
        <v>229</v>
      </c>
      <c r="L757" s="6" t="s">
        <v>3777</v>
      </c>
      <c r="M757" s="3" t="s">
        <v>63</v>
      </c>
      <c r="N757" s="6" t="s">
        <v>3778</v>
      </c>
      <c r="O757" s="3" t="s">
        <v>63</v>
      </c>
      <c r="P757" s="3" t="s">
        <v>324</v>
      </c>
      <c r="Q757" s="8">
        <v>1192437.0</v>
      </c>
      <c r="R757" s="3" t="s">
        <v>93</v>
      </c>
      <c r="S757" s="7">
        <v>38405.0</v>
      </c>
      <c r="T757" s="3" t="s">
        <v>63</v>
      </c>
      <c r="U757" s="6" t="s">
        <v>80</v>
      </c>
      <c r="V757" s="3" t="s">
        <v>4</v>
      </c>
      <c r="W757" s="3" t="s">
        <v>102</v>
      </c>
    </row>
    <row r="758" ht="15.75" customHeight="1">
      <c r="A758" s="6" t="s">
        <v>857</v>
      </c>
      <c r="B758" s="3" t="s">
        <v>6691</v>
      </c>
      <c r="C758" s="7">
        <v>28534.0</v>
      </c>
      <c r="D758" s="3" t="s">
        <v>63</v>
      </c>
      <c r="E758" s="3">
        <v>48.0</v>
      </c>
      <c r="F758" s="3" t="s">
        <v>183</v>
      </c>
      <c r="G758" s="3"/>
      <c r="H758" s="3" t="s">
        <v>7916</v>
      </c>
      <c r="I758" s="3" t="s">
        <v>7917</v>
      </c>
      <c r="J758" s="3" t="s">
        <v>349</v>
      </c>
      <c r="K758" s="3" t="s">
        <v>45</v>
      </c>
      <c r="L758" s="3"/>
      <c r="M758" s="3" t="s">
        <v>88</v>
      </c>
      <c r="N758" s="6" t="s">
        <v>2033</v>
      </c>
      <c r="O758" s="3" t="s">
        <v>63</v>
      </c>
      <c r="P758" s="3" t="s">
        <v>160</v>
      </c>
      <c r="Q758" s="8">
        <v>914570.0</v>
      </c>
      <c r="R758" s="3" t="s">
        <v>93</v>
      </c>
      <c r="S758" s="7">
        <v>39259.0</v>
      </c>
      <c r="T758" s="3" t="s">
        <v>63</v>
      </c>
      <c r="U758" s="6" t="s">
        <v>333</v>
      </c>
      <c r="V758" s="3" t="s">
        <v>4</v>
      </c>
      <c r="W758" s="3" t="s">
        <v>102</v>
      </c>
    </row>
    <row r="759" ht="15.75" customHeight="1">
      <c r="A759" s="6" t="s">
        <v>1454</v>
      </c>
      <c r="B759" s="3" t="s">
        <v>5592</v>
      </c>
      <c r="C759" s="7">
        <v>25168.0</v>
      </c>
      <c r="D759" s="3" t="s">
        <v>63</v>
      </c>
      <c r="E759" s="3">
        <v>57.0</v>
      </c>
      <c r="F759" s="3" t="s">
        <v>70</v>
      </c>
      <c r="G759" s="6" t="s">
        <v>7918</v>
      </c>
      <c r="H759" s="3" t="s">
        <v>7919</v>
      </c>
      <c r="I759" s="3" t="s">
        <v>7920</v>
      </c>
      <c r="J759" s="3" t="s">
        <v>250</v>
      </c>
      <c r="K759" s="3" t="s">
        <v>252</v>
      </c>
      <c r="L759" s="6" t="s">
        <v>3157</v>
      </c>
      <c r="M759" s="3" t="s">
        <v>63</v>
      </c>
      <c r="N759" s="6" t="s">
        <v>3161</v>
      </c>
      <c r="O759" s="3" t="s">
        <v>63</v>
      </c>
      <c r="P759" s="3" t="s">
        <v>324</v>
      </c>
      <c r="Q759" s="8">
        <v>532980.0</v>
      </c>
      <c r="R759" s="3" t="s">
        <v>93</v>
      </c>
      <c r="S759" s="7">
        <v>42069.0</v>
      </c>
      <c r="T759" s="3" t="s">
        <v>63</v>
      </c>
      <c r="U759" s="6" t="s">
        <v>146</v>
      </c>
      <c r="V759" s="3" t="s">
        <v>4</v>
      </c>
      <c r="W759" s="3" t="s">
        <v>102</v>
      </c>
    </row>
    <row r="760" ht="15.75" customHeight="1">
      <c r="A760" s="6" t="s">
        <v>1442</v>
      </c>
      <c r="B760" s="3" t="s">
        <v>7921</v>
      </c>
      <c r="C760" s="7">
        <v>31526.0</v>
      </c>
      <c r="D760" s="3" t="s">
        <v>63</v>
      </c>
      <c r="E760" s="3">
        <v>40.0</v>
      </c>
      <c r="F760" s="3" t="s">
        <v>70</v>
      </c>
      <c r="G760" s="6" t="s">
        <v>1049</v>
      </c>
      <c r="H760" s="3" t="s">
        <v>7922</v>
      </c>
      <c r="I760" s="3" t="s">
        <v>7923</v>
      </c>
      <c r="J760" s="3" t="s">
        <v>114</v>
      </c>
      <c r="K760" s="3" t="s">
        <v>118</v>
      </c>
      <c r="L760" s="6" t="s">
        <v>1445</v>
      </c>
      <c r="M760" s="3" t="s">
        <v>63</v>
      </c>
      <c r="N760" s="6" t="s">
        <v>1448</v>
      </c>
      <c r="O760" s="3" t="s">
        <v>63</v>
      </c>
      <c r="P760" s="3" t="s">
        <v>396</v>
      </c>
      <c r="Q760" s="3"/>
      <c r="R760" s="3" t="s">
        <v>258</v>
      </c>
      <c r="S760" s="7">
        <v>38969.0</v>
      </c>
      <c r="T760" s="3" t="s">
        <v>63</v>
      </c>
      <c r="U760" s="6" t="s">
        <v>288</v>
      </c>
      <c r="V760" s="3" t="s">
        <v>4</v>
      </c>
      <c r="W760" s="3" t="s">
        <v>102</v>
      </c>
    </row>
    <row r="761" ht="15.75" customHeight="1">
      <c r="A761" s="6" t="s">
        <v>4334</v>
      </c>
      <c r="B761" s="3" t="s">
        <v>7924</v>
      </c>
      <c r="C761" s="7">
        <v>20791.0</v>
      </c>
      <c r="D761" s="3" t="s">
        <v>63</v>
      </c>
      <c r="E761" s="3">
        <v>69.0</v>
      </c>
      <c r="F761" s="3" t="s">
        <v>183</v>
      </c>
      <c r="G761" s="6" t="s">
        <v>7925</v>
      </c>
      <c r="H761" s="3" t="s">
        <v>7926</v>
      </c>
      <c r="I761" s="3" t="s">
        <v>7927</v>
      </c>
      <c r="J761" s="3" t="s">
        <v>305</v>
      </c>
      <c r="K761" s="3" t="s">
        <v>193</v>
      </c>
      <c r="L761" s="6" t="s">
        <v>6525</v>
      </c>
      <c r="M761" s="3" t="s">
        <v>63</v>
      </c>
      <c r="N761" s="6" t="s">
        <v>6527</v>
      </c>
      <c r="O761" s="3" t="s">
        <v>63</v>
      </c>
      <c r="P761" s="3" t="s">
        <v>300</v>
      </c>
      <c r="Q761" s="3"/>
      <c r="R761" s="3" t="s">
        <v>258</v>
      </c>
      <c r="S761" s="7">
        <v>40878.0</v>
      </c>
      <c r="T761" s="3" t="s">
        <v>63</v>
      </c>
      <c r="U761" s="6" t="s">
        <v>136</v>
      </c>
      <c r="V761" s="3" t="s">
        <v>4</v>
      </c>
      <c r="W761" s="3" t="s">
        <v>102</v>
      </c>
    </row>
    <row r="762" ht="15.75" customHeight="1">
      <c r="A762" s="6" t="s">
        <v>989</v>
      </c>
      <c r="B762" s="3" t="s">
        <v>7928</v>
      </c>
      <c r="C762" s="7">
        <v>26918.0</v>
      </c>
      <c r="D762" s="3" t="s">
        <v>63</v>
      </c>
      <c r="E762" s="3">
        <v>52.0</v>
      </c>
      <c r="F762" s="3" t="s">
        <v>70</v>
      </c>
      <c r="G762" s="6" t="s">
        <v>7929</v>
      </c>
      <c r="H762" s="3" t="s">
        <v>7930</v>
      </c>
      <c r="I762" s="3" t="s">
        <v>7931</v>
      </c>
      <c r="J762" s="3" t="s">
        <v>227</v>
      </c>
      <c r="K762" s="3" t="s">
        <v>229</v>
      </c>
      <c r="L762" s="6" t="s">
        <v>992</v>
      </c>
      <c r="M762" s="3" t="s">
        <v>63</v>
      </c>
      <c r="N762" s="6" t="s">
        <v>995</v>
      </c>
      <c r="O762" s="3" t="s">
        <v>63</v>
      </c>
      <c r="P762" s="3" t="s">
        <v>202</v>
      </c>
      <c r="Q762" s="8">
        <v>1655822.0</v>
      </c>
      <c r="R762" s="3" t="s">
        <v>93</v>
      </c>
      <c r="S762" s="7">
        <v>42773.0</v>
      </c>
      <c r="T762" s="3" t="s">
        <v>63</v>
      </c>
      <c r="U762" s="6" t="s">
        <v>234</v>
      </c>
      <c r="V762" s="3" t="s">
        <v>4</v>
      </c>
      <c r="W762" s="3" t="s">
        <v>102</v>
      </c>
    </row>
    <row r="763" ht="15.75" customHeight="1">
      <c r="A763" s="6" t="s">
        <v>1020</v>
      </c>
      <c r="B763" s="3" t="s">
        <v>6687</v>
      </c>
      <c r="C763" s="7">
        <v>38034.0</v>
      </c>
      <c r="D763" s="3" t="s">
        <v>63</v>
      </c>
      <c r="E763" s="3">
        <v>22.0</v>
      </c>
      <c r="F763" s="3" t="s">
        <v>183</v>
      </c>
      <c r="G763" s="6" t="s">
        <v>7932</v>
      </c>
      <c r="H763" s="3" t="s">
        <v>7933</v>
      </c>
      <c r="I763" s="3" t="s">
        <v>7934</v>
      </c>
      <c r="J763" s="3" t="s">
        <v>213</v>
      </c>
      <c r="K763" s="3" t="s">
        <v>67</v>
      </c>
      <c r="L763" s="6" t="s">
        <v>1023</v>
      </c>
      <c r="M763" s="3" t="s">
        <v>63</v>
      </c>
      <c r="N763" s="3"/>
      <c r="O763" s="3" t="s">
        <v>88</v>
      </c>
      <c r="P763" s="3" t="s">
        <v>300</v>
      </c>
      <c r="Q763" s="8">
        <v>1003344.0</v>
      </c>
      <c r="R763" s="3" t="s">
        <v>93</v>
      </c>
      <c r="S763" s="7">
        <v>44600.0</v>
      </c>
      <c r="T763" s="3" t="s">
        <v>63</v>
      </c>
      <c r="U763" s="6" t="s">
        <v>179</v>
      </c>
      <c r="V763" s="3" t="s">
        <v>4</v>
      </c>
      <c r="W763" s="3" t="s">
        <v>102</v>
      </c>
    </row>
    <row r="764" ht="15.75" customHeight="1">
      <c r="A764" s="6" t="s">
        <v>1530</v>
      </c>
      <c r="B764" s="3" t="s">
        <v>7758</v>
      </c>
      <c r="C764" s="7">
        <v>24123.0</v>
      </c>
      <c r="D764" s="3" t="s">
        <v>63</v>
      </c>
      <c r="E764" s="3">
        <v>60.0</v>
      </c>
      <c r="F764" s="3" t="s">
        <v>183</v>
      </c>
      <c r="G764" s="6" t="s">
        <v>7935</v>
      </c>
      <c r="H764" s="3" t="s">
        <v>7760</v>
      </c>
      <c r="I764" s="3" t="s">
        <v>6715</v>
      </c>
      <c r="J764" s="3" t="s">
        <v>114</v>
      </c>
      <c r="K764" s="3" t="s">
        <v>118</v>
      </c>
      <c r="L764" s="6" t="s">
        <v>5429</v>
      </c>
      <c r="M764" s="3" t="s">
        <v>63</v>
      </c>
      <c r="N764" s="6" t="s">
        <v>5431</v>
      </c>
      <c r="O764" s="3" t="s">
        <v>63</v>
      </c>
      <c r="P764" s="3" t="s">
        <v>300</v>
      </c>
      <c r="Q764" s="8">
        <v>2081908.0</v>
      </c>
      <c r="R764" s="3" t="s">
        <v>93</v>
      </c>
      <c r="S764" s="7">
        <v>39538.0</v>
      </c>
      <c r="T764" s="3" t="s">
        <v>63</v>
      </c>
      <c r="U764" s="6" t="s">
        <v>385</v>
      </c>
      <c r="V764" s="3" t="s">
        <v>237</v>
      </c>
      <c r="W764" s="3" t="s">
        <v>378</v>
      </c>
    </row>
    <row r="765" ht="15.75" customHeight="1">
      <c r="A765" s="6" t="s">
        <v>4515</v>
      </c>
      <c r="B765" s="3" t="s">
        <v>7936</v>
      </c>
      <c r="C765" s="7">
        <v>30069.0</v>
      </c>
      <c r="D765" s="3" t="s">
        <v>63</v>
      </c>
      <c r="E765" s="3">
        <v>44.0</v>
      </c>
      <c r="F765" s="3" t="s">
        <v>183</v>
      </c>
      <c r="G765" s="6" t="s">
        <v>7937</v>
      </c>
      <c r="H765" s="3" t="s">
        <v>7938</v>
      </c>
      <c r="I765" s="3" t="s">
        <v>7939</v>
      </c>
      <c r="J765" s="3" t="s">
        <v>79</v>
      </c>
      <c r="K765" s="3" t="s">
        <v>81</v>
      </c>
      <c r="L765" s="6" t="s">
        <v>5554</v>
      </c>
      <c r="M765" s="3" t="s">
        <v>63</v>
      </c>
      <c r="N765" s="6" t="s">
        <v>5555</v>
      </c>
      <c r="O765" s="3" t="s">
        <v>63</v>
      </c>
      <c r="P765" s="3" t="s">
        <v>372</v>
      </c>
      <c r="Q765" s="8">
        <v>2055868.0</v>
      </c>
      <c r="R765" s="3" t="s">
        <v>93</v>
      </c>
      <c r="S765" s="7">
        <v>42875.0</v>
      </c>
      <c r="T765" s="3" t="s">
        <v>63</v>
      </c>
      <c r="U765" s="6" t="s">
        <v>234</v>
      </c>
      <c r="V765" s="3" t="s">
        <v>237</v>
      </c>
      <c r="W765" s="3" t="s">
        <v>102</v>
      </c>
    </row>
    <row r="766" ht="15.75" customHeight="1">
      <c r="A766" s="6" t="s">
        <v>2066</v>
      </c>
      <c r="B766" s="3" t="s">
        <v>5628</v>
      </c>
      <c r="C766" s="7">
        <v>23327.0</v>
      </c>
      <c r="D766" s="3" t="s">
        <v>63</v>
      </c>
      <c r="E766" s="3">
        <v>62.0</v>
      </c>
      <c r="F766" s="3" t="s">
        <v>70</v>
      </c>
      <c r="G766" s="6" t="s">
        <v>7940</v>
      </c>
      <c r="H766" s="3" t="s">
        <v>7941</v>
      </c>
      <c r="I766" s="3" t="s">
        <v>7942</v>
      </c>
      <c r="J766" s="3" t="s">
        <v>43</v>
      </c>
      <c r="K766" s="3" t="s">
        <v>45</v>
      </c>
      <c r="L766" s="6" t="s">
        <v>5253</v>
      </c>
      <c r="M766" s="3" t="s">
        <v>63</v>
      </c>
      <c r="N766" s="6" t="s">
        <v>5254</v>
      </c>
      <c r="O766" s="3" t="s">
        <v>63</v>
      </c>
      <c r="P766" s="3" t="s">
        <v>160</v>
      </c>
      <c r="Q766" s="3"/>
      <c r="R766" s="3" t="s">
        <v>258</v>
      </c>
      <c r="S766" s="7">
        <v>43119.0</v>
      </c>
      <c r="T766" s="3" t="s">
        <v>63</v>
      </c>
      <c r="U766" s="6" t="s">
        <v>401</v>
      </c>
      <c r="V766" s="3" t="s">
        <v>4</v>
      </c>
      <c r="W766" s="3" t="s">
        <v>102</v>
      </c>
    </row>
    <row r="767" ht="15.75" customHeight="1">
      <c r="A767" s="6" t="s">
        <v>482</v>
      </c>
      <c r="B767" s="3" t="s">
        <v>7943</v>
      </c>
      <c r="C767" s="7">
        <v>38521.0</v>
      </c>
      <c r="D767" s="3" t="s">
        <v>63</v>
      </c>
      <c r="E767" s="3">
        <v>21.0</v>
      </c>
      <c r="F767" s="3" t="s">
        <v>183</v>
      </c>
      <c r="G767" s="6" t="s">
        <v>7944</v>
      </c>
      <c r="H767" s="3" t="s">
        <v>7945</v>
      </c>
      <c r="I767" s="3" t="s">
        <v>7946</v>
      </c>
      <c r="J767" s="3" t="s">
        <v>282</v>
      </c>
      <c r="K767" s="3" t="s">
        <v>229</v>
      </c>
      <c r="L767" s="6" t="s">
        <v>484</v>
      </c>
      <c r="M767" s="3" t="s">
        <v>63</v>
      </c>
      <c r="N767" s="6" t="s">
        <v>486</v>
      </c>
      <c r="O767" s="3" t="s">
        <v>63</v>
      </c>
      <c r="P767" s="3" t="s">
        <v>202</v>
      </c>
      <c r="Q767" s="3"/>
      <c r="R767" s="3" t="s">
        <v>258</v>
      </c>
      <c r="S767" s="7">
        <v>42763.0</v>
      </c>
      <c r="T767" s="3" t="s">
        <v>63</v>
      </c>
      <c r="U767" s="6" t="s">
        <v>333</v>
      </c>
      <c r="V767" s="3" t="s">
        <v>4</v>
      </c>
      <c r="W767" s="3" t="s">
        <v>102</v>
      </c>
    </row>
    <row r="768" ht="15.75" customHeight="1">
      <c r="A768" s="6" t="s">
        <v>1815</v>
      </c>
      <c r="B768" s="3" t="s">
        <v>7947</v>
      </c>
      <c r="C768" s="7">
        <v>20430.0</v>
      </c>
      <c r="D768" s="3" t="s">
        <v>63</v>
      </c>
      <c r="E768" s="3">
        <v>70.0</v>
      </c>
      <c r="F768" s="3" t="s">
        <v>70</v>
      </c>
      <c r="G768" s="6" t="s">
        <v>7948</v>
      </c>
      <c r="H768" s="3" t="s">
        <v>7949</v>
      </c>
      <c r="I768" s="3" t="s">
        <v>7950</v>
      </c>
      <c r="J768" s="3" t="s">
        <v>271</v>
      </c>
      <c r="K768" s="3" t="s">
        <v>273</v>
      </c>
      <c r="L768" s="6" t="s">
        <v>1817</v>
      </c>
      <c r="M768" s="3" t="s">
        <v>63</v>
      </c>
      <c r="N768" s="6" t="s">
        <v>1819</v>
      </c>
      <c r="O768" s="3" t="s">
        <v>63</v>
      </c>
      <c r="P768" s="3" t="s">
        <v>202</v>
      </c>
      <c r="Q768" s="3"/>
      <c r="R768" s="3" t="s">
        <v>258</v>
      </c>
      <c r="S768" s="7">
        <v>44449.0</v>
      </c>
      <c r="T768" s="3" t="s">
        <v>63</v>
      </c>
      <c r="U768" s="6" t="s">
        <v>109</v>
      </c>
      <c r="V768" s="3" t="s">
        <v>4</v>
      </c>
      <c r="W768" s="3" t="s">
        <v>102</v>
      </c>
    </row>
    <row r="769" ht="15.75" customHeight="1">
      <c r="A769" s="6" t="s">
        <v>470</v>
      </c>
      <c r="B769" s="3" t="s">
        <v>7479</v>
      </c>
      <c r="C769" s="7">
        <v>33759.0</v>
      </c>
      <c r="D769" s="3" t="s">
        <v>63</v>
      </c>
      <c r="E769" s="3">
        <v>34.0</v>
      </c>
      <c r="F769" s="3" t="s">
        <v>183</v>
      </c>
      <c r="G769" s="6" t="s">
        <v>7951</v>
      </c>
      <c r="H769" s="3" t="s">
        <v>7952</v>
      </c>
      <c r="I769" s="3" t="s">
        <v>7953</v>
      </c>
      <c r="J769" s="3" t="s">
        <v>151</v>
      </c>
      <c r="K769" s="3" t="s">
        <v>121</v>
      </c>
      <c r="L769" s="6" t="s">
        <v>471</v>
      </c>
      <c r="M769" s="3" t="s">
        <v>63</v>
      </c>
      <c r="N769" s="3"/>
      <c r="O769" s="3" t="s">
        <v>88</v>
      </c>
      <c r="P769" s="3" t="s">
        <v>396</v>
      </c>
      <c r="Q769" s="3"/>
      <c r="R769" s="3" t="s">
        <v>258</v>
      </c>
      <c r="S769" s="7">
        <v>43258.0</v>
      </c>
      <c r="T769" s="3" t="s">
        <v>63</v>
      </c>
      <c r="U769" s="6" t="s">
        <v>288</v>
      </c>
      <c r="V769" s="3" t="s">
        <v>4</v>
      </c>
      <c r="W769" s="3" t="s">
        <v>102</v>
      </c>
    </row>
    <row r="770" ht="15.75" customHeight="1">
      <c r="A770" s="6" t="s">
        <v>4190</v>
      </c>
      <c r="B770" s="3" t="s">
        <v>7954</v>
      </c>
      <c r="C770" s="7">
        <v>27618.0</v>
      </c>
      <c r="D770" s="3" t="s">
        <v>63</v>
      </c>
      <c r="E770" s="3">
        <v>50.0</v>
      </c>
      <c r="F770" s="3" t="s">
        <v>70</v>
      </c>
      <c r="G770" s="6" t="s">
        <v>7955</v>
      </c>
      <c r="H770" s="3" t="s">
        <v>7956</v>
      </c>
      <c r="I770" s="3" t="s">
        <v>7957</v>
      </c>
      <c r="J770" s="3" t="s">
        <v>250</v>
      </c>
      <c r="K770" s="3" t="s">
        <v>252</v>
      </c>
      <c r="L770" s="6" t="s">
        <v>5702</v>
      </c>
      <c r="M770" s="3" t="s">
        <v>63</v>
      </c>
      <c r="N770" s="6" t="s">
        <v>5703</v>
      </c>
      <c r="O770" s="3" t="s">
        <v>63</v>
      </c>
      <c r="P770" s="3" t="s">
        <v>324</v>
      </c>
      <c r="Q770" s="8">
        <v>1638800.0</v>
      </c>
      <c r="R770" s="3" t="s">
        <v>93</v>
      </c>
      <c r="S770" s="7">
        <v>45783.0</v>
      </c>
      <c r="T770" s="3" t="s">
        <v>63</v>
      </c>
      <c r="U770" s="6" t="s">
        <v>323</v>
      </c>
      <c r="V770" s="3" t="s">
        <v>4</v>
      </c>
      <c r="W770" s="3" t="s">
        <v>102</v>
      </c>
    </row>
    <row r="771" ht="15.75" customHeight="1">
      <c r="A771" s="6" t="s">
        <v>4927</v>
      </c>
      <c r="B771" s="3" t="s">
        <v>7958</v>
      </c>
      <c r="C771" s="7">
        <v>31040.0</v>
      </c>
      <c r="D771" s="3" t="s">
        <v>63</v>
      </c>
      <c r="E771" s="3">
        <v>41.0</v>
      </c>
      <c r="F771" s="3" t="s">
        <v>70</v>
      </c>
      <c r="G771" s="6" t="s">
        <v>7959</v>
      </c>
      <c r="H771" s="3" t="s">
        <v>7960</v>
      </c>
      <c r="I771" s="3" t="s">
        <v>7961</v>
      </c>
      <c r="J771" s="3" t="s">
        <v>79</v>
      </c>
      <c r="K771" s="3" t="s">
        <v>81</v>
      </c>
      <c r="L771" s="6" t="s">
        <v>6362</v>
      </c>
      <c r="M771" s="3" t="s">
        <v>63</v>
      </c>
      <c r="N771" s="6" t="s">
        <v>6364</v>
      </c>
      <c r="O771" s="3" t="s">
        <v>63</v>
      </c>
      <c r="P771" s="3" t="s">
        <v>396</v>
      </c>
      <c r="Q771" s="3"/>
      <c r="R771" s="3" t="s">
        <v>258</v>
      </c>
      <c r="S771" s="7">
        <v>40579.0</v>
      </c>
      <c r="T771" s="3" t="s">
        <v>63</v>
      </c>
      <c r="U771" s="6" t="s">
        <v>311</v>
      </c>
      <c r="V771" s="3" t="s">
        <v>237</v>
      </c>
      <c r="W771" s="3" t="s">
        <v>102</v>
      </c>
    </row>
    <row r="772" ht="15.75" customHeight="1">
      <c r="A772" s="6" t="s">
        <v>2776</v>
      </c>
      <c r="B772" s="3" t="s">
        <v>7962</v>
      </c>
      <c r="C772" s="7">
        <v>20914.0</v>
      </c>
      <c r="D772" s="3" t="s">
        <v>63</v>
      </c>
      <c r="E772" s="3">
        <v>69.0</v>
      </c>
      <c r="F772" s="3" t="s">
        <v>70</v>
      </c>
      <c r="G772" s="6" t="s">
        <v>7963</v>
      </c>
      <c r="H772" s="3" t="s">
        <v>7964</v>
      </c>
      <c r="I772" s="3" t="s">
        <v>7965</v>
      </c>
      <c r="J772" s="3" t="s">
        <v>43</v>
      </c>
      <c r="K772" s="3" t="s">
        <v>45</v>
      </c>
      <c r="L772" s="6" t="s">
        <v>2779</v>
      </c>
      <c r="M772" s="3" t="s">
        <v>63</v>
      </c>
      <c r="N772" s="6" t="s">
        <v>2780</v>
      </c>
      <c r="O772" s="3" t="s">
        <v>63</v>
      </c>
      <c r="P772" s="3" t="s">
        <v>90</v>
      </c>
      <c r="Q772" s="3"/>
      <c r="R772" s="3" t="s">
        <v>258</v>
      </c>
      <c r="S772" s="7">
        <v>43089.0</v>
      </c>
      <c r="T772" s="3" t="s">
        <v>63</v>
      </c>
      <c r="U772" s="6" t="s">
        <v>323</v>
      </c>
      <c r="V772" s="3" t="s">
        <v>4</v>
      </c>
      <c r="W772" s="3" t="s">
        <v>102</v>
      </c>
    </row>
    <row r="773" ht="15.75" customHeight="1">
      <c r="A773" s="6" t="s">
        <v>5373</v>
      </c>
      <c r="B773" s="3" t="s">
        <v>7966</v>
      </c>
      <c r="C773" s="7">
        <v>20269.0</v>
      </c>
      <c r="D773" s="3" t="s">
        <v>63</v>
      </c>
      <c r="E773" s="3">
        <v>71.0</v>
      </c>
      <c r="F773" s="3" t="s">
        <v>183</v>
      </c>
      <c r="G773" s="6" t="s">
        <v>7967</v>
      </c>
      <c r="H773" s="3" t="s">
        <v>7968</v>
      </c>
      <c r="I773" s="3" t="s">
        <v>7644</v>
      </c>
      <c r="J773" s="3" t="s">
        <v>337</v>
      </c>
      <c r="K773" s="3" t="s">
        <v>137</v>
      </c>
      <c r="L773" s="6" t="s">
        <v>5374</v>
      </c>
      <c r="M773" s="3" t="s">
        <v>63</v>
      </c>
      <c r="N773" s="6" t="s">
        <v>5375</v>
      </c>
      <c r="O773" s="3" t="s">
        <v>63</v>
      </c>
      <c r="P773" s="3" t="s">
        <v>324</v>
      </c>
      <c r="Q773" s="3"/>
      <c r="R773" s="3" t="s">
        <v>258</v>
      </c>
      <c r="S773" s="7">
        <v>40446.0</v>
      </c>
      <c r="T773" s="3" t="s">
        <v>63</v>
      </c>
      <c r="U773" s="6" t="s">
        <v>311</v>
      </c>
      <c r="V773" s="3" t="s">
        <v>237</v>
      </c>
      <c r="W773" s="3" t="s">
        <v>102</v>
      </c>
    </row>
    <row r="774" ht="15.75" customHeight="1">
      <c r="A774" s="6" t="s">
        <v>6314</v>
      </c>
      <c r="B774" s="3" t="s">
        <v>7969</v>
      </c>
      <c r="C774" s="7">
        <v>21646.0</v>
      </c>
      <c r="D774" s="3" t="s">
        <v>63</v>
      </c>
      <c r="E774" s="3">
        <v>67.0</v>
      </c>
      <c r="F774" s="3" t="s">
        <v>183</v>
      </c>
      <c r="G774" s="6" t="s">
        <v>7970</v>
      </c>
      <c r="H774" s="3" t="s">
        <v>7971</v>
      </c>
      <c r="I774" s="3" t="s">
        <v>7972</v>
      </c>
      <c r="J774" s="3" t="s">
        <v>114</v>
      </c>
      <c r="K774" s="3" t="s">
        <v>118</v>
      </c>
      <c r="L774" s="6" t="s">
        <v>6315</v>
      </c>
      <c r="M774" s="3" t="s">
        <v>63</v>
      </c>
      <c r="N774" s="6" t="s">
        <v>6316</v>
      </c>
      <c r="O774" s="3" t="s">
        <v>63</v>
      </c>
      <c r="P774" s="3" t="s">
        <v>396</v>
      </c>
      <c r="Q774" s="8">
        <v>1959171.0</v>
      </c>
      <c r="R774" s="3" t="s">
        <v>93</v>
      </c>
      <c r="S774" s="7">
        <v>41715.0</v>
      </c>
      <c r="T774" s="3" t="s">
        <v>63</v>
      </c>
      <c r="U774" s="6" t="s">
        <v>208</v>
      </c>
      <c r="V774" s="3" t="s">
        <v>4</v>
      </c>
      <c r="W774" s="3" t="s">
        <v>102</v>
      </c>
    </row>
    <row r="775" ht="15.75" customHeight="1">
      <c r="A775" s="6" t="s">
        <v>1076</v>
      </c>
      <c r="B775" s="3" t="s">
        <v>356</v>
      </c>
      <c r="C775" s="7">
        <v>20353.0</v>
      </c>
      <c r="D775" s="3" t="s">
        <v>63</v>
      </c>
      <c r="E775" s="3">
        <v>70.0</v>
      </c>
      <c r="F775" s="3" t="s">
        <v>70</v>
      </c>
      <c r="G775" s="6" t="s">
        <v>7973</v>
      </c>
      <c r="H775" s="3" t="s">
        <v>363</v>
      </c>
      <c r="I775" s="3" t="s">
        <v>366</v>
      </c>
      <c r="J775" s="3" t="s">
        <v>79</v>
      </c>
      <c r="K775" s="3" t="s">
        <v>81</v>
      </c>
      <c r="L775" s="6" t="s">
        <v>368</v>
      </c>
      <c r="M775" s="3" t="s">
        <v>63</v>
      </c>
      <c r="N775" s="6" t="s">
        <v>370</v>
      </c>
      <c r="O775" s="3" t="s">
        <v>63</v>
      </c>
      <c r="P775" s="3" t="s">
        <v>372</v>
      </c>
      <c r="Q775" s="3"/>
      <c r="R775" s="3" t="s">
        <v>258</v>
      </c>
      <c r="S775" s="7">
        <v>38687.0</v>
      </c>
      <c r="T775" s="3" t="s">
        <v>63</v>
      </c>
      <c r="U775" s="6" t="s">
        <v>60</v>
      </c>
      <c r="V775" s="3" t="s">
        <v>4</v>
      </c>
      <c r="W775" s="3" t="s">
        <v>378</v>
      </c>
    </row>
    <row r="776" ht="15.75" customHeight="1">
      <c r="A776" s="6" t="s">
        <v>1916</v>
      </c>
      <c r="B776" s="3" t="s">
        <v>7974</v>
      </c>
      <c r="C776" s="7">
        <v>33167.0</v>
      </c>
      <c r="D776" s="3" t="s">
        <v>63</v>
      </c>
      <c r="E776" s="3">
        <v>35.0</v>
      </c>
      <c r="F776" s="3" t="s">
        <v>70</v>
      </c>
      <c r="G776" s="6" t="s">
        <v>7975</v>
      </c>
      <c r="H776" s="3" t="s">
        <v>7976</v>
      </c>
      <c r="I776" s="3" t="s">
        <v>7977</v>
      </c>
      <c r="J776" s="3" t="s">
        <v>151</v>
      </c>
      <c r="K776" s="3" t="s">
        <v>121</v>
      </c>
      <c r="L776" s="6" t="s">
        <v>6151</v>
      </c>
      <c r="M776" s="3" t="s">
        <v>63</v>
      </c>
      <c r="N776" s="6" t="s">
        <v>6152</v>
      </c>
      <c r="O776" s="3" t="s">
        <v>63</v>
      </c>
      <c r="P776" s="3" t="s">
        <v>90</v>
      </c>
      <c r="Q776" s="8">
        <v>640493.0</v>
      </c>
      <c r="R776" s="3" t="s">
        <v>93</v>
      </c>
      <c r="S776" s="7">
        <v>41457.0</v>
      </c>
      <c r="T776" s="3" t="s">
        <v>63</v>
      </c>
      <c r="U776" s="6" t="s">
        <v>277</v>
      </c>
      <c r="V776" s="3" t="s">
        <v>237</v>
      </c>
      <c r="W776" s="3" t="s">
        <v>102</v>
      </c>
    </row>
    <row r="777" ht="15.75" customHeight="1">
      <c r="A777" s="6" t="s">
        <v>4646</v>
      </c>
      <c r="B777" s="3" t="s">
        <v>2862</v>
      </c>
      <c r="C777" s="7">
        <v>24695.0</v>
      </c>
      <c r="D777" s="3" t="s">
        <v>63</v>
      </c>
      <c r="E777" s="3">
        <v>58.0</v>
      </c>
      <c r="F777" s="3" t="s">
        <v>70</v>
      </c>
      <c r="G777" s="6" t="s">
        <v>7978</v>
      </c>
      <c r="H777" s="3" t="s">
        <v>7979</v>
      </c>
      <c r="I777" s="3" t="s">
        <v>4047</v>
      </c>
      <c r="J777" s="3" t="s">
        <v>282</v>
      </c>
      <c r="K777" s="3" t="s">
        <v>229</v>
      </c>
      <c r="L777" s="6" t="s">
        <v>4648</v>
      </c>
      <c r="M777" s="3" t="s">
        <v>63</v>
      </c>
      <c r="N777" s="6" t="s">
        <v>4652</v>
      </c>
      <c r="O777" s="3" t="s">
        <v>63</v>
      </c>
      <c r="P777" s="3" t="s">
        <v>396</v>
      </c>
      <c r="Q777" s="3"/>
      <c r="R777" s="3" t="s">
        <v>258</v>
      </c>
      <c r="S777" s="7">
        <v>41605.0</v>
      </c>
      <c r="T777" s="3" t="s">
        <v>63</v>
      </c>
      <c r="U777" s="6" t="s">
        <v>245</v>
      </c>
      <c r="V777" s="3" t="s">
        <v>4</v>
      </c>
      <c r="W777" s="3" t="s">
        <v>102</v>
      </c>
    </row>
    <row r="778" ht="15.75" customHeight="1">
      <c r="A778" s="6" t="s">
        <v>1724</v>
      </c>
      <c r="B778" s="3" t="s">
        <v>7980</v>
      </c>
      <c r="C778" s="7">
        <v>28064.0</v>
      </c>
      <c r="D778" s="3" t="s">
        <v>63</v>
      </c>
      <c r="E778" s="3">
        <v>49.0</v>
      </c>
      <c r="F778" s="3" t="s">
        <v>183</v>
      </c>
      <c r="G778" s="6" t="s">
        <v>7981</v>
      </c>
      <c r="H778" s="3" t="s">
        <v>7982</v>
      </c>
      <c r="I778" s="3" t="s">
        <v>7983</v>
      </c>
      <c r="J778" s="3" t="s">
        <v>79</v>
      </c>
      <c r="K778" s="3" t="s">
        <v>81</v>
      </c>
      <c r="L778" s="3"/>
      <c r="M778" s="3" t="s">
        <v>88</v>
      </c>
      <c r="N778" s="3"/>
      <c r="O778" s="3" t="s">
        <v>88</v>
      </c>
      <c r="P778" s="3" t="s">
        <v>464</v>
      </c>
      <c r="Q778" s="8">
        <v>1612465.0</v>
      </c>
      <c r="R778" s="3" t="s">
        <v>93</v>
      </c>
      <c r="S778" s="7">
        <v>43008.0</v>
      </c>
      <c r="T778" s="3" t="s">
        <v>63</v>
      </c>
      <c r="U778" s="6" t="s">
        <v>146</v>
      </c>
      <c r="V778" s="3" t="s">
        <v>4</v>
      </c>
      <c r="W778" s="3" t="s">
        <v>102</v>
      </c>
    </row>
    <row r="779" ht="15.75" customHeight="1">
      <c r="A779" s="6" t="s">
        <v>3881</v>
      </c>
      <c r="B779" s="3" t="s">
        <v>7984</v>
      </c>
      <c r="C779" s="7">
        <v>29549.0</v>
      </c>
      <c r="D779" s="3" t="s">
        <v>63</v>
      </c>
      <c r="E779" s="3">
        <v>45.0</v>
      </c>
      <c r="F779" s="3" t="s">
        <v>70</v>
      </c>
      <c r="G779" s="6" t="s">
        <v>1049</v>
      </c>
      <c r="H779" s="3" t="s">
        <v>7985</v>
      </c>
      <c r="I779" s="3" t="s">
        <v>7302</v>
      </c>
      <c r="J779" s="3" t="s">
        <v>337</v>
      </c>
      <c r="K779" s="3" t="s">
        <v>137</v>
      </c>
      <c r="L779" s="6" t="s">
        <v>3899</v>
      </c>
      <c r="M779" s="3" t="s">
        <v>63</v>
      </c>
      <c r="N779" s="6" t="s">
        <v>3903</v>
      </c>
      <c r="O779" s="3" t="s">
        <v>63</v>
      </c>
      <c r="P779" s="3" t="s">
        <v>396</v>
      </c>
      <c r="Q779" s="3"/>
      <c r="R779" s="3" t="s">
        <v>258</v>
      </c>
      <c r="S779" s="7">
        <v>40505.0</v>
      </c>
      <c r="T779" s="3" t="s">
        <v>63</v>
      </c>
      <c r="U779" s="6" t="s">
        <v>311</v>
      </c>
      <c r="V779" s="3" t="s">
        <v>4</v>
      </c>
      <c r="W779" s="3" t="s">
        <v>102</v>
      </c>
    </row>
    <row r="780" ht="15.75" customHeight="1">
      <c r="A780" s="6" t="s">
        <v>4383</v>
      </c>
      <c r="B780" s="3" t="s">
        <v>7986</v>
      </c>
      <c r="C780" s="7">
        <v>36676.0</v>
      </c>
      <c r="D780" s="3" t="s">
        <v>63</v>
      </c>
      <c r="E780" s="3">
        <v>26.0</v>
      </c>
      <c r="F780" s="3" t="s">
        <v>70</v>
      </c>
      <c r="G780" s="6" t="s">
        <v>7987</v>
      </c>
      <c r="H780" s="3" t="s">
        <v>7988</v>
      </c>
      <c r="I780" s="3" t="s">
        <v>7989</v>
      </c>
      <c r="J780" s="3" t="s">
        <v>213</v>
      </c>
      <c r="K780" s="3" t="s">
        <v>67</v>
      </c>
      <c r="L780" s="6" t="s">
        <v>4385</v>
      </c>
      <c r="M780" s="3" t="s">
        <v>63</v>
      </c>
      <c r="N780" s="6" t="s">
        <v>4386</v>
      </c>
      <c r="O780" s="3" t="s">
        <v>63</v>
      </c>
      <c r="P780" s="3" t="s">
        <v>372</v>
      </c>
      <c r="Q780" s="3"/>
      <c r="R780" s="3" t="s">
        <v>258</v>
      </c>
      <c r="S780" s="7">
        <v>41919.0</v>
      </c>
      <c r="T780" s="3" t="s">
        <v>63</v>
      </c>
      <c r="U780" s="6" t="s">
        <v>397</v>
      </c>
      <c r="V780" s="3" t="s">
        <v>4</v>
      </c>
      <c r="W780" s="3" t="s">
        <v>102</v>
      </c>
    </row>
    <row r="781" ht="15.75" customHeight="1">
      <c r="A781" s="6" t="s">
        <v>1517</v>
      </c>
      <c r="B781" s="3" t="s">
        <v>7990</v>
      </c>
      <c r="C781" s="7">
        <v>27404.0</v>
      </c>
      <c r="D781" s="3" t="s">
        <v>63</v>
      </c>
      <c r="E781" s="3">
        <v>51.0</v>
      </c>
      <c r="F781" s="3" t="s">
        <v>70</v>
      </c>
      <c r="G781" s="6" t="s">
        <v>7991</v>
      </c>
      <c r="H781" s="3" t="s">
        <v>7992</v>
      </c>
      <c r="I781" s="3" t="s">
        <v>7993</v>
      </c>
      <c r="J781" s="3" t="s">
        <v>282</v>
      </c>
      <c r="K781" s="3" t="s">
        <v>229</v>
      </c>
      <c r="L781" s="6" t="s">
        <v>1518</v>
      </c>
      <c r="M781" s="3" t="s">
        <v>63</v>
      </c>
      <c r="N781" s="6" t="s">
        <v>1520</v>
      </c>
      <c r="O781" s="3" t="s">
        <v>63</v>
      </c>
      <c r="P781" s="3" t="s">
        <v>372</v>
      </c>
      <c r="Q781" s="3"/>
      <c r="R781" s="3" t="s">
        <v>258</v>
      </c>
      <c r="S781" s="7">
        <v>40860.0</v>
      </c>
      <c r="T781" s="3" t="s">
        <v>63</v>
      </c>
      <c r="U781" s="6" t="s">
        <v>333</v>
      </c>
      <c r="V781" s="3" t="s">
        <v>4</v>
      </c>
      <c r="W781" s="3" t="s">
        <v>102</v>
      </c>
    </row>
    <row r="782" ht="15.75" customHeight="1">
      <c r="A782" s="6" t="s">
        <v>2279</v>
      </c>
      <c r="B782" s="3" t="s">
        <v>7994</v>
      </c>
      <c r="C782" s="7">
        <v>21107.0</v>
      </c>
      <c r="D782" s="3" t="s">
        <v>63</v>
      </c>
      <c r="E782" s="3">
        <v>68.0</v>
      </c>
      <c r="F782" s="3" t="s">
        <v>183</v>
      </c>
      <c r="G782" s="6" t="s">
        <v>7995</v>
      </c>
      <c r="H782" s="3" t="s">
        <v>7996</v>
      </c>
      <c r="I782" s="3" t="s">
        <v>7997</v>
      </c>
      <c r="J782" s="3" t="s">
        <v>251</v>
      </c>
      <c r="K782" s="3" t="s">
        <v>251</v>
      </c>
      <c r="L782" s="6" t="s">
        <v>2282</v>
      </c>
      <c r="M782" s="3" t="s">
        <v>63</v>
      </c>
      <c r="N782" s="6" t="s">
        <v>2285</v>
      </c>
      <c r="O782" s="3" t="s">
        <v>63</v>
      </c>
      <c r="P782" s="3" t="s">
        <v>396</v>
      </c>
      <c r="Q782" s="8">
        <v>2127935.0</v>
      </c>
      <c r="R782" s="3" t="s">
        <v>93</v>
      </c>
      <c r="S782" s="7">
        <v>43980.0</v>
      </c>
      <c r="T782" s="3" t="s">
        <v>63</v>
      </c>
      <c r="U782" s="6" t="s">
        <v>97</v>
      </c>
      <c r="V782" s="3" t="s">
        <v>4</v>
      </c>
      <c r="W782" s="3" t="s">
        <v>102</v>
      </c>
    </row>
    <row r="783" ht="15.75" customHeight="1">
      <c r="A783" s="6" t="s">
        <v>5366</v>
      </c>
      <c r="B783" s="3" t="s">
        <v>4509</v>
      </c>
      <c r="C783" s="7">
        <v>34743.0</v>
      </c>
      <c r="D783" s="3" t="s">
        <v>63</v>
      </c>
      <c r="E783" s="3">
        <v>31.0</v>
      </c>
      <c r="F783" s="3" t="s">
        <v>70</v>
      </c>
      <c r="G783" s="6" t="s">
        <v>7998</v>
      </c>
      <c r="H783" s="3" t="s">
        <v>7999</v>
      </c>
      <c r="I783" s="3" t="s">
        <v>8000</v>
      </c>
      <c r="J783" s="3" t="s">
        <v>337</v>
      </c>
      <c r="K783" s="3" t="s">
        <v>137</v>
      </c>
      <c r="L783" s="6" t="s">
        <v>5367</v>
      </c>
      <c r="M783" s="3" t="s">
        <v>63</v>
      </c>
      <c r="N783" s="6" t="s">
        <v>5368</v>
      </c>
      <c r="O783" s="3" t="s">
        <v>63</v>
      </c>
      <c r="P783" s="3" t="s">
        <v>127</v>
      </c>
      <c r="Q783" s="3"/>
      <c r="R783" s="3" t="s">
        <v>258</v>
      </c>
      <c r="S783" s="7">
        <v>42361.0</v>
      </c>
      <c r="T783" s="3" t="s">
        <v>63</v>
      </c>
      <c r="U783" s="6" t="s">
        <v>80</v>
      </c>
      <c r="V783" s="3" t="s">
        <v>4</v>
      </c>
      <c r="W783" s="3" t="s">
        <v>102</v>
      </c>
    </row>
    <row r="784" ht="15.75" customHeight="1">
      <c r="A784" s="6" t="s">
        <v>5671</v>
      </c>
      <c r="B784" s="3" t="s">
        <v>8001</v>
      </c>
      <c r="C784" s="7">
        <v>20653.0</v>
      </c>
      <c r="D784" s="3" t="s">
        <v>63</v>
      </c>
      <c r="E784" s="3">
        <v>70.0</v>
      </c>
      <c r="F784" s="3" t="s">
        <v>70</v>
      </c>
      <c r="G784" s="6" t="s">
        <v>8002</v>
      </c>
      <c r="H784" s="3" t="s">
        <v>8003</v>
      </c>
      <c r="I784" s="3" t="s">
        <v>6846</v>
      </c>
      <c r="J784" s="3" t="s">
        <v>184</v>
      </c>
      <c r="K784" s="3" t="s">
        <v>187</v>
      </c>
      <c r="L784" s="6" t="s">
        <v>5672</v>
      </c>
      <c r="M784" s="3" t="s">
        <v>63</v>
      </c>
      <c r="N784" s="6" t="s">
        <v>5673</v>
      </c>
      <c r="O784" s="3" t="s">
        <v>63</v>
      </c>
      <c r="P784" s="3" t="s">
        <v>372</v>
      </c>
      <c r="Q784" s="3"/>
      <c r="R784" s="3" t="s">
        <v>258</v>
      </c>
      <c r="S784" s="7">
        <v>43433.0</v>
      </c>
      <c r="T784" s="3" t="s">
        <v>63</v>
      </c>
      <c r="U784" s="6" t="s">
        <v>92</v>
      </c>
      <c r="V784" s="3" t="s">
        <v>4</v>
      </c>
      <c r="W784" s="3" t="s">
        <v>102</v>
      </c>
    </row>
    <row r="785" ht="15.75" customHeight="1">
      <c r="A785" s="6" t="s">
        <v>4371</v>
      </c>
      <c r="B785" s="3" t="s">
        <v>7528</v>
      </c>
      <c r="C785" s="7">
        <v>27383.0</v>
      </c>
      <c r="D785" s="3" t="s">
        <v>63</v>
      </c>
      <c r="E785" s="3">
        <v>51.0</v>
      </c>
      <c r="F785" s="3" t="s">
        <v>70</v>
      </c>
      <c r="G785" s="6" t="s">
        <v>8004</v>
      </c>
      <c r="H785" s="3" t="s">
        <v>8005</v>
      </c>
      <c r="I785" s="3" t="s">
        <v>8006</v>
      </c>
      <c r="J785" s="3" t="s">
        <v>134</v>
      </c>
      <c r="K785" s="3" t="s">
        <v>137</v>
      </c>
      <c r="L785" s="6" t="s">
        <v>4693</v>
      </c>
      <c r="M785" s="3" t="s">
        <v>63</v>
      </c>
      <c r="N785" s="3"/>
      <c r="O785" s="3" t="s">
        <v>88</v>
      </c>
      <c r="P785" s="3" t="s">
        <v>372</v>
      </c>
      <c r="Q785" s="3"/>
      <c r="R785" s="3" t="s">
        <v>258</v>
      </c>
      <c r="S785" s="7">
        <v>45449.0</v>
      </c>
      <c r="T785" s="3" t="s">
        <v>63</v>
      </c>
      <c r="U785" s="6" t="s">
        <v>262</v>
      </c>
      <c r="V785" s="3" t="s">
        <v>237</v>
      </c>
      <c r="W785" s="3" t="s">
        <v>102</v>
      </c>
    </row>
    <row r="786" ht="15.75" customHeight="1">
      <c r="A786" s="6" t="s">
        <v>1982</v>
      </c>
      <c r="B786" s="3" t="s">
        <v>91</v>
      </c>
      <c r="C786" s="7">
        <v>34534.0</v>
      </c>
      <c r="D786" s="3" t="s">
        <v>63</v>
      </c>
      <c r="E786" s="3">
        <v>32.0</v>
      </c>
      <c r="F786" s="3" t="s">
        <v>183</v>
      </c>
      <c r="G786" s="6" t="s">
        <v>8007</v>
      </c>
      <c r="H786" s="3" t="s">
        <v>8008</v>
      </c>
      <c r="I786" s="3" t="s">
        <v>8009</v>
      </c>
      <c r="J786" s="3" t="s">
        <v>43</v>
      </c>
      <c r="K786" s="3" t="s">
        <v>45</v>
      </c>
      <c r="L786" s="6" t="s">
        <v>4175</v>
      </c>
      <c r="M786" s="3" t="s">
        <v>63</v>
      </c>
      <c r="N786" s="6" t="s">
        <v>4176</v>
      </c>
      <c r="O786" s="3" t="s">
        <v>63</v>
      </c>
      <c r="P786" s="3" t="s">
        <v>202</v>
      </c>
      <c r="Q786" s="8">
        <v>2097279.0</v>
      </c>
      <c r="R786" s="3" t="s">
        <v>93</v>
      </c>
      <c r="S786" s="7">
        <v>43671.0</v>
      </c>
      <c r="T786" s="3" t="s">
        <v>63</v>
      </c>
      <c r="U786" s="6" t="s">
        <v>92</v>
      </c>
      <c r="V786" s="3" t="s">
        <v>4</v>
      </c>
      <c r="W786" s="3" t="s">
        <v>102</v>
      </c>
    </row>
    <row r="787" ht="15.75" customHeight="1">
      <c r="A787" s="6" t="s">
        <v>491</v>
      </c>
      <c r="B787" s="3" t="s">
        <v>8010</v>
      </c>
      <c r="C787" s="7">
        <v>25140.0</v>
      </c>
      <c r="D787" s="3" t="s">
        <v>63</v>
      </c>
      <c r="E787" s="3">
        <v>57.0</v>
      </c>
      <c r="F787" s="3" t="s">
        <v>70</v>
      </c>
      <c r="G787" s="6" t="s">
        <v>8011</v>
      </c>
      <c r="H787" s="3" t="s">
        <v>8012</v>
      </c>
      <c r="I787" s="3" t="s">
        <v>7231</v>
      </c>
      <c r="J787" s="3" t="s">
        <v>98</v>
      </c>
      <c r="K787" s="3" t="s">
        <v>101</v>
      </c>
      <c r="L787" s="6" t="s">
        <v>493</v>
      </c>
      <c r="M787" s="3" t="s">
        <v>63</v>
      </c>
      <c r="N787" s="6" t="s">
        <v>495</v>
      </c>
      <c r="O787" s="3" t="s">
        <v>63</v>
      </c>
      <c r="P787" s="3" t="s">
        <v>300</v>
      </c>
      <c r="Q787" s="8">
        <v>1947884.0</v>
      </c>
      <c r="R787" s="3" t="s">
        <v>93</v>
      </c>
      <c r="S787" s="7">
        <v>41321.0</v>
      </c>
      <c r="T787" s="3" t="s">
        <v>63</v>
      </c>
      <c r="U787" s="6" t="s">
        <v>288</v>
      </c>
      <c r="V787" s="3" t="s">
        <v>237</v>
      </c>
      <c r="W787" s="3" t="s">
        <v>102</v>
      </c>
    </row>
    <row r="788" ht="15.75" customHeight="1">
      <c r="A788" s="6" t="s">
        <v>2584</v>
      </c>
      <c r="B788" s="3" t="s">
        <v>8013</v>
      </c>
      <c r="C788" s="7">
        <v>36176.0</v>
      </c>
      <c r="D788" s="3" t="s">
        <v>63</v>
      </c>
      <c r="E788" s="3">
        <v>27.0</v>
      </c>
      <c r="F788" s="3" t="s">
        <v>183</v>
      </c>
      <c r="G788" s="6" t="s">
        <v>8014</v>
      </c>
      <c r="H788" s="3" t="s">
        <v>8015</v>
      </c>
      <c r="I788" s="3" t="s">
        <v>8016</v>
      </c>
      <c r="J788" s="3" t="s">
        <v>167</v>
      </c>
      <c r="K788" s="3" t="s">
        <v>169</v>
      </c>
      <c r="L788" s="6" t="s">
        <v>2585</v>
      </c>
      <c r="M788" s="3" t="s">
        <v>63</v>
      </c>
      <c r="N788" s="6" t="s">
        <v>2586</v>
      </c>
      <c r="O788" s="3" t="s">
        <v>63</v>
      </c>
      <c r="P788" s="3" t="s">
        <v>202</v>
      </c>
      <c r="Q788" s="8">
        <v>1435997.0</v>
      </c>
      <c r="R788" s="3" t="s">
        <v>93</v>
      </c>
      <c r="S788" s="7">
        <v>41125.0</v>
      </c>
      <c r="T788" s="3" t="s">
        <v>63</v>
      </c>
      <c r="U788" s="6" t="s">
        <v>401</v>
      </c>
      <c r="V788" s="3" t="s">
        <v>4</v>
      </c>
      <c r="W788" s="3" t="s">
        <v>102</v>
      </c>
    </row>
    <row r="789" ht="15.75" customHeight="1">
      <c r="A789" s="6" t="s">
        <v>2059</v>
      </c>
      <c r="B789" s="3" t="s">
        <v>8017</v>
      </c>
      <c r="C789" s="7">
        <v>20190.0</v>
      </c>
      <c r="D789" s="3" t="s">
        <v>63</v>
      </c>
      <c r="E789" s="3">
        <v>71.0</v>
      </c>
      <c r="F789" s="3" t="s">
        <v>183</v>
      </c>
      <c r="G789" s="6" t="s">
        <v>8018</v>
      </c>
      <c r="H789" s="3" t="s">
        <v>8019</v>
      </c>
      <c r="I789" s="3" t="s">
        <v>8020</v>
      </c>
      <c r="J789" s="3" t="s">
        <v>250</v>
      </c>
      <c r="K789" s="3" t="s">
        <v>252</v>
      </c>
      <c r="L789" s="6" t="s">
        <v>2060</v>
      </c>
      <c r="M789" s="3" t="s">
        <v>63</v>
      </c>
      <c r="N789" s="6" t="s">
        <v>2061</v>
      </c>
      <c r="O789" s="3" t="s">
        <v>63</v>
      </c>
      <c r="P789" s="3" t="s">
        <v>372</v>
      </c>
      <c r="Q789" s="8">
        <v>430341.0</v>
      </c>
      <c r="R789" s="3" t="s">
        <v>93</v>
      </c>
      <c r="S789" s="7">
        <v>39939.0</v>
      </c>
      <c r="T789" s="3" t="s">
        <v>63</v>
      </c>
      <c r="U789" s="6" t="s">
        <v>171</v>
      </c>
      <c r="V789" s="3" t="s">
        <v>4</v>
      </c>
      <c r="W789" s="3" t="s">
        <v>102</v>
      </c>
    </row>
    <row r="790" ht="15.75" customHeight="1">
      <c r="A790" s="6" t="s">
        <v>2996</v>
      </c>
      <c r="B790" s="3" t="s">
        <v>8021</v>
      </c>
      <c r="C790" s="7">
        <v>38560.0</v>
      </c>
      <c r="D790" s="3" t="s">
        <v>63</v>
      </c>
      <c r="E790" s="3">
        <v>21.0</v>
      </c>
      <c r="F790" s="3" t="s">
        <v>70</v>
      </c>
      <c r="G790" s="6" t="s">
        <v>8022</v>
      </c>
      <c r="H790" s="3" t="s">
        <v>8023</v>
      </c>
      <c r="I790" s="3" t="s">
        <v>8024</v>
      </c>
      <c r="J790" s="3" t="s">
        <v>327</v>
      </c>
      <c r="K790" s="3" t="s">
        <v>169</v>
      </c>
      <c r="L790" s="3"/>
      <c r="M790" s="3" t="s">
        <v>88</v>
      </c>
      <c r="N790" s="6" t="s">
        <v>2999</v>
      </c>
      <c r="O790" s="3" t="s">
        <v>63</v>
      </c>
      <c r="P790" s="3" t="s">
        <v>300</v>
      </c>
      <c r="Q790" s="3"/>
      <c r="R790" s="3" t="s">
        <v>258</v>
      </c>
      <c r="S790" s="7">
        <v>39136.0</v>
      </c>
      <c r="T790" s="3" t="s">
        <v>63</v>
      </c>
      <c r="U790" s="6" t="s">
        <v>146</v>
      </c>
      <c r="V790" s="3" t="s">
        <v>4</v>
      </c>
      <c r="W790" s="3" t="s">
        <v>102</v>
      </c>
    </row>
    <row r="791" ht="15.75" customHeight="1">
      <c r="A791" s="6" t="s">
        <v>1755</v>
      </c>
      <c r="B791" s="3" t="s">
        <v>8025</v>
      </c>
      <c r="C791" s="7">
        <v>28025.0</v>
      </c>
      <c r="D791" s="3" t="s">
        <v>63</v>
      </c>
      <c r="E791" s="3">
        <v>49.0</v>
      </c>
      <c r="F791" s="3" t="s">
        <v>183</v>
      </c>
      <c r="G791" s="6" t="s">
        <v>8026</v>
      </c>
      <c r="H791" s="3" t="s">
        <v>8027</v>
      </c>
      <c r="I791" s="3" t="s">
        <v>8028</v>
      </c>
      <c r="J791" s="3" t="s">
        <v>349</v>
      </c>
      <c r="K791" s="3" t="s">
        <v>45</v>
      </c>
      <c r="L791" s="6" t="s">
        <v>6550</v>
      </c>
      <c r="M791" s="3" t="s">
        <v>63</v>
      </c>
      <c r="N791" s="6" t="s">
        <v>6551</v>
      </c>
      <c r="O791" s="3" t="s">
        <v>63</v>
      </c>
      <c r="P791" s="3" t="s">
        <v>160</v>
      </c>
      <c r="Q791" s="3"/>
      <c r="R791" s="3" t="s">
        <v>258</v>
      </c>
      <c r="S791" s="7">
        <v>43977.0</v>
      </c>
      <c r="T791" s="3" t="s">
        <v>63</v>
      </c>
      <c r="U791" s="6" t="s">
        <v>146</v>
      </c>
      <c r="V791" s="3" t="s">
        <v>237</v>
      </c>
      <c r="W791" s="3" t="s">
        <v>102</v>
      </c>
    </row>
    <row r="792" ht="15.75" customHeight="1">
      <c r="A792" s="6" t="s">
        <v>776</v>
      </c>
      <c r="B792" s="3" t="s">
        <v>8029</v>
      </c>
      <c r="C792" s="7">
        <v>38048.0</v>
      </c>
      <c r="D792" s="3" t="s">
        <v>63</v>
      </c>
      <c r="E792" s="3">
        <v>22.0</v>
      </c>
      <c r="F792" s="3" t="s">
        <v>70</v>
      </c>
      <c r="G792" s="6" t="s">
        <v>8030</v>
      </c>
      <c r="H792" s="3" t="s">
        <v>8031</v>
      </c>
      <c r="I792" s="3" t="s">
        <v>8032</v>
      </c>
      <c r="J792" s="3" t="s">
        <v>305</v>
      </c>
      <c r="K792" s="3" t="s">
        <v>193</v>
      </c>
      <c r="L792" s="6" t="s">
        <v>8033</v>
      </c>
      <c r="M792" s="3" t="s">
        <v>63</v>
      </c>
      <c r="N792" s="3"/>
      <c r="O792" s="3" t="s">
        <v>88</v>
      </c>
      <c r="P792" s="3" t="s">
        <v>372</v>
      </c>
      <c r="Q792" s="8">
        <v>1944564.0</v>
      </c>
      <c r="R792" s="3" t="s">
        <v>93</v>
      </c>
      <c r="S792" s="7">
        <v>43183.0</v>
      </c>
      <c r="T792" s="3" t="s">
        <v>63</v>
      </c>
      <c r="U792" s="6" t="s">
        <v>277</v>
      </c>
      <c r="V792" s="3" t="s">
        <v>4</v>
      </c>
      <c r="W792" s="3" t="s">
        <v>102</v>
      </c>
    </row>
    <row r="793" ht="15.75" customHeight="1">
      <c r="A793" s="6" t="s">
        <v>6376</v>
      </c>
      <c r="B793" s="3" t="s">
        <v>2035</v>
      </c>
      <c r="C793" s="7">
        <v>34987.0</v>
      </c>
      <c r="D793" s="3" t="s">
        <v>63</v>
      </c>
      <c r="E793" s="3">
        <v>30.0</v>
      </c>
      <c r="F793" s="3" t="s">
        <v>70</v>
      </c>
      <c r="G793" s="6" t="s">
        <v>8034</v>
      </c>
      <c r="H793" s="3" t="s">
        <v>8035</v>
      </c>
      <c r="I793" s="3" t="s">
        <v>8036</v>
      </c>
      <c r="J793" s="3" t="s">
        <v>282</v>
      </c>
      <c r="K793" s="3" t="s">
        <v>229</v>
      </c>
      <c r="L793" s="3"/>
      <c r="M793" s="3" t="s">
        <v>88</v>
      </c>
      <c r="N793" s="6" t="s">
        <v>6378</v>
      </c>
      <c r="O793" s="3" t="s">
        <v>63</v>
      </c>
      <c r="P793" s="3" t="s">
        <v>324</v>
      </c>
      <c r="Q793" s="8">
        <v>1889015.0</v>
      </c>
      <c r="R793" s="3" t="s">
        <v>93</v>
      </c>
      <c r="S793" s="7">
        <v>44253.0</v>
      </c>
      <c r="T793" s="3" t="s">
        <v>63</v>
      </c>
      <c r="U793" s="6" t="s">
        <v>266</v>
      </c>
      <c r="V793" s="3" t="s">
        <v>4</v>
      </c>
      <c r="W793" s="3" t="s">
        <v>102</v>
      </c>
    </row>
    <row r="794" ht="15.75" customHeight="1">
      <c r="A794" s="6" t="s">
        <v>2272</v>
      </c>
      <c r="B794" s="3" t="s">
        <v>7397</v>
      </c>
      <c r="C794" s="7">
        <v>35968.0</v>
      </c>
      <c r="D794" s="3" t="s">
        <v>63</v>
      </c>
      <c r="E794" s="3">
        <v>28.0</v>
      </c>
      <c r="F794" s="3" t="s">
        <v>183</v>
      </c>
      <c r="G794" s="6" t="s">
        <v>8037</v>
      </c>
      <c r="H794" s="3" t="s">
        <v>8038</v>
      </c>
      <c r="I794" s="3" t="s">
        <v>8039</v>
      </c>
      <c r="J794" s="3" t="s">
        <v>379</v>
      </c>
      <c r="K794" s="3" t="s">
        <v>229</v>
      </c>
      <c r="L794" s="6" t="s">
        <v>8040</v>
      </c>
      <c r="M794" s="3" t="s">
        <v>63</v>
      </c>
      <c r="N794" s="6" t="s">
        <v>8041</v>
      </c>
      <c r="O794" s="3" t="s">
        <v>63</v>
      </c>
      <c r="P794" s="3" t="s">
        <v>396</v>
      </c>
      <c r="Q794" s="3"/>
      <c r="R794" s="3" t="s">
        <v>258</v>
      </c>
      <c r="S794" s="7">
        <v>45683.0</v>
      </c>
      <c r="T794" s="3" t="s">
        <v>63</v>
      </c>
      <c r="U794" s="6" t="s">
        <v>171</v>
      </c>
      <c r="V794" s="3" t="s">
        <v>4</v>
      </c>
      <c r="W794" s="3" t="s">
        <v>102</v>
      </c>
    </row>
    <row r="795" ht="15.75" customHeight="1">
      <c r="A795" s="6" t="s">
        <v>1097</v>
      </c>
      <c r="B795" s="3" t="s">
        <v>8042</v>
      </c>
      <c r="C795" s="7">
        <v>32495.0</v>
      </c>
      <c r="D795" s="3" t="s">
        <v>63</v>
      </c>
      <c r="E795" s="3">
        <v>37.0</v>
      </c>
      <c r="F795" s="3" t="s">
        <v>183</v>
      </c>
      <c r="G795" s="6" t="s">
        <v>8043</v>
      </c>
      <c r="H795" s="3" t="s">
        <v>8044</v>
      </c>
      <c r="I795" s="3" t="s">
        <v>8045</v>
      </c>
      <c r="J795" s="3" t="s">
        <v>79</v>
      </c>
      <c r="K795" s="3" t="s">
        <v>81</v>
      </c>
      <c r="L795" s="6" t="s">
        <v>6069</v>
      </c>
      <c r="M795" s="3" t="s">
        <v>63</v>
      </c>
      <c r="N795" s="6" t="s">
        <v>6070</v>
      </c>
      <c r="O795" s="3" t="s">
        <v>63</v>
      </c>
      <c r="P795" s="3" t="s">
        <v>372</v>
      </c>
      <c r="Q795" s="3"/>
      <c r="R795" s="3" t="s">
        <v>258</v>
      </c>
      <c r="S795" s="7">
        <v>45187.0</v>
      </c>
      <c r="T795" s="3" t="s">
        <v>63</v>
      </c>
      <c r="U795" s="6" t="s">
        <v>311</v>
      </c>
      <c r="V795" s="3" t="s">
        <v>237</v>
      </c>
      <c r="W795" s="3" t="s">
        <v>102</v>
      </c>
    </row>
    <row r="796" ht="15.75" customHeight="1">
      <c r="A796" s="6" t="s">
        <v>3053</v>
      </c>
      <c r="B796" s="3" t="s">
        <v>8046</v>
      </c>
      <c r="C796" s="7">
        <v>24951.0</v>
      </c>
      <c r="D796" s="3" t="s">
        <v>63</v>
      </c>
      <c r="E796" s="3">
        <v>58.0</v>
      </c>
      <c r="F796" s="3" t="s">
        <v>183</v>
      </c>
      <c r="G796" s="6" t="s">
        <v>8047</v>
      </c>
      <c r="H796" s="3" t="s">
        <v>8048</v>
      </c>
      <c r="I796" s="3" t="s">
        <v>8049</v>
      </c>
      <c r="J796" s="3" t="s">
        <v>337</v>
      </c>
      <c r="K796" s="3" t="s">
        <v>137</v>
      </c>
      <c r="L796" s="6" t="s">
        <v>3054</v>
      </c>
      <c r="M796" s="3" t="s">
        <v>63</v>
      </c>
      <c r="N796" s="6" t="s">
        <v>3055</v>
      </c>
      <c r="O796" s="3" t="s">
        <v>63</v>
      </c>
      <c r="P796" s="3" t="s">
        <v>396</v>
      </c>
      <c r="Q796" s="3"/>
      <c r="R796" s="3" t="s">
        <v>258</v>
      </c>
      <c r="S796" s="7">
        <v>44889.0</v>
      </c>
      <c r="T796" s="3" t="s">
        <v>63</v>
      </c>
      <c r="U796" s="6" t="s">
        <v>171</v>
      </c>
      <c r="V796" s="3" t="s">
        <v>4</v>
      </c>
      <c r="W796" s="3" t="s">
        <v>102</v>
      </c>
    </row>
    <row r="797" ht="15.75" customHeight="1">
      <c r="A797" s="6" t="s">
        <v>2197</v>
      </c>
      <c r="B797" s="3" t="s">
        <v>8050</v>
      </c>
      <c r="C797" s="7">
        <v>47154.0</v>
      </c>
      <c r="D797" s="3" t="s">
        <v>1155</v>
      </c>
      <c r="E797" s="3"/>
      <c r="F797" s="3" t="s">
        <v>70</v>
      </c>
      <c r="G797" s="6" t="s">
        <v>8051</v>
      </c>
      <c r="H797" s="3" t="s">
        <v>8052</v>
      </c>
      <c r="I797" s="3" t="s">
        <v>8053</v>
      </c>
      <c r="J797" s="3" t="s">
        <v>213</v>
      </c>
      <c r="K797" s="3" t="s">
        <v>67</v>
      </c>
      <c r="L797" s="6" t="s">
        <v>4796</v>
      </c>
      <c r="M797" s="3" t="s">
        <v>63</v>
      </c>
      <c r="N797" s="3"/>
      <c r="O797" s="3" t="s">
        <v>88</v>
      </c>
      <c r="P797" s="3" t="s">
        <v>324</v>
      </c>
      <c r="Q797" s="8">
        <v>2350805.0</v>
      </c>
      <c r="R797" s="3" t="s">
        <v>93</v>
      </c>
      <c r="S797" s="7">
        <v>41914.0</v>
      </c>
      <c r="T797" s="3" t="s">
        <v>1178</v>
      </c>
      <c r="U797" s="6" t="s">
        <v>397</v>
      </c>
      <c r="V797" s="3" t="s">
        <v>4</v>
      </c>
      <c r="W797" s="3" t="s">
        <v>102</v>
      </c>
    </row>
    <row r="798" ht="15.75" customHeight="1">
      <c r="A798" s="6" t="s">
        <v>3138</v>
      </c>
      <c r="B798" s="3" t="s">
        <v>8054</v>
      </c>
      <c r="C798" s="7">
        <v>29240.0</v>
      </c>
      <c r="D798" s="3" t="s">
        <v>63</v>
      </c>
      <c r="E798" s="3">
        <v>46.0</v>
      </c>
      <c r="F798" s="3" t="s">
        <v>183</v>
      </c>
      <c r="G798" s="6" t="s">
        <v>8055</v>
      </c>
      <c r="H798" s="3"/>
      <c r="I798" s="3" t="s">
        <v>8056</v>
      </c>
      <c r="J798" s="3" t="s">
        <v>379</v>
      </c>
      <c r="K798" s="3" t="s">
        <v>229</v>
      </c>
      <c r="L798" s="6" t="s">
        <v>8057</v>
      </c>
      <c r="M798" s="3" t="s">
        <v>63</v>
      </c>
      <c r="N798" s="6" t="s">
        <v>8058</v>
      </c>
      <c r="O798" s="3" t="s">
        <v>63</v>
      </c>
      <c r="P798" s="3" t="s">
        <v>396</v>
      </c>
      <c r="Q798" s="3"/>
      <c r="R798" s="3" t="s">
        <v>258</v>
      </c>
      <c r="S798" s="7">
        <v>40013.0</v>
      </c>
      <c r="T798" s="3" t="s">
        <v>63</v>
      </c>
      <c r="U798" s="6" t="s">
        <v>163</v>
      </c>
      <c r="V798" s="3" t="s">
        <v>237</v>
      </c>
      <c r="W798" s="3" t="s">
        <v>102</v>
      </c>
    </row>
    <row r="799" ht="15.75" customHeight="1">
      <c r="A799" s="6" t="s">
        <v>3451</v>
      </c>
      <c r="B799" s="3" t="s">
        <v>8059</v>
      </c>
      <c r="C799" s="7">
        <v>30470.0</v>
      </c>
      <c r="D799" s="3" t="s">
        <v>63</v>
      </c>
      <c r="E799" s="3">
        <v>43.0</v>
      </c>
      <c r="F799" s="3" t="s">
        <v>70</v>
      </c>
      <c r="G799" s="6" t="s">
        <v>8060</v>
      </c>
      <c r="H799" s="3" t="s">
        <v>8061</v>
      </c>
      <c r="I799" s="3" t="s">
        <v>8062</v>
      </c>
      <c r="J799" s="3" t="s">
        <v>213</v>
      </c>
      <c r="K799" s="3" t="s">
        <v>67</v>
      </c>
      <c r="L799" s="6" t="s">
        <v>5385</v>
      </c>
      <c r="M799" s="3" t="s">
        <v>63</v>
      </c>
      <c r="N799" s="6" t="s">
        <v>5386</v>
      </c>
      <c r="O799" s="3" t="s">
        <v>63</v>
      </c>
      <c r="P799" s="3" t="s">
        <v>127</v>
      </c>
      <c r="Q799" s="8">
        <v>856264.0</v>
      </c>
      <c r="R799" s="3" t="s">
        <v>93</v>
      </c>
      <c r="S799" s="7">
        <v>40405.0</v>
      </c>
      <c r="T799" s="3" t="s">
        <v>63</v>
      </c>
      <c r="U799" s="6" t="s">
        <v>234</v>
      </c>
      <c r="V799" s="3" t="s">
        <v>4</v>
      </c>
      <c r="W799" s="3" t="s">
        <v>102</v>
      </c>
    </row>
    <row r="800" ht="15.75" customHeight="1">
      <c r="A800" s="6" t="s">
        <v>888</v>
      </c>
      <c r="B800" s="3" t="s">
        <v>8063</v>
      </c>
      <c r="C800" s="7">
        <v>32779.0</v>
      </c>
      <c r="D800" s="3" t="s">
        <v>63</v>
      </c>
      <c r="E800" s="3">
        <v>36.0</v>
      </c>
      <c r="F800" s="3" t="s">
        <v>183</v>
      </c>
      <c r="G800" s="3"/>
      <c r="H800" s="3" t="s">
        <v>8064</v>
      </c>
      <c r="I800" s="3" t="s">
        <v>4095</v>
      </c>
      <c r="J800" s="3" t="s">
        <v>227</v>
      </c>
      <c r="K800" s="3" t="s">
        <v>229</v>
      </c>
      <c r="L800" s="6" t="s">
        <v>5150</v>
      </c>
      <c r="M800" s="3" t="s">
        <v>63</v>
      </c>
      <c r="N800" s="6" t="s">
        <v>5151</v>
      </c>
      <c r="O800" s="3" t="s">
        <v>63</v>
      </c>
      <c r="P800" s="3" t="s">
        <v>127</v>
      </c>
      <c r="Q800" s="3"/>
      <c r="R800" s="3" t="s">
        <v>258</v>
      </c>
      <c r="S800" s="7">
        <v>42866.0</v>
      </c>
      <c r="T800" s="3" t="s">
        <v>63</v>
      </c>
      <c r="U800" s="6" t="s">
        <v>92</v>
      </c>
      <c r="V800" s="3" t="s">
        <v>4</v>
      </c>
      <c r="W800" s="3" t="s">
        <v>102</v>
      </c>
    </row>
    <row r="801" ht="15.75" customHeight="1">
      <c r="A801" s="6" t="s">
        <v>4922</v>
      </c>
      <c r="B801" s="3" t="s">
        <v>8065</v>
      </c>
      <c r="C801" s="7">
        <v>30020.0</v>
      </c>
      <c r="D801" s="3" t="s">
        <v>63</v>
      </c>
      <c r="E801" s="3">
        <v>44.0</v>
      </c>
      <c r="F801" s="3" t="s">
        <v>70</v>
      </c>
      <c r="G801" s="6" t="s">
        <v>8066</v>
      </c>
      <c r="H801" s="3" t="s">
        <v>8067</v>
      </c>
      <c r="I801" s="3" t="s">
        <v>8068</v>
      </c>
      <c r="J801" s="3" t="s">
        <v>282</v>
      </c>
      <c r="K801" s="3" t="s">
        <v>229</v>
      </c>
      <c r="L801" s="6" t="s">
        <v>4924</v>
      </c>
      <c r="M801" s="3" t="s">
        <v>63</v>
      </c>
      <c r="N801" s="6" t="s">
        <v>4925</v>
      </c>
      <c r="O801" s="3" t="s">
        <v>63</v>
      </c>
      <c r="P801" s="3" t="s">
        <v>396</v>
      </c>
      <c r="Q801" s="8">
        <v>835825.0</v>
      </c>
      <c r="R801" s="3" t="s">
        <v>93</v>
      </c>
      <c r="S801" s="7">
        <v>44488.0</v>
      </c>
      <c r="T801" s="3" t="s">
        <v>63</v>
      </c>
      <c r="U801" s="6" t="s">
        <v>197</v>
      </c>
      <c r="V801" s="3" t="s">
        <v>237</v>
      </c>
      <c r="W801" s="3" t="s">
        <v>102</v>
      </c>
    </row>
    <row r="802" ht="15.75" customHeight="1">
      <c r="A802" s="6" t="s">
        <v>6324</v>
      </c>
      <c r="B802" s="3" t="s">
        <v>1851</v>
      </c>
      <c r="C802" s="7">
        <v>36249.0</v>
      </c>
      <c r="D802" s="3" t="s">
        <v>63</v>
      </c>
      <c r="E802" s="3">
        <v>27.0</v>
      </c>
      <c r="F802" s="3" t="s">
        <v>70</v>
      </c>
      <c r="G802" s="6" t="s">
        <v>8069</v>
      </c>
      <c r="H802" s="3" t="s">
        <v>8070</v>
      </c>
      <c r="I802" s="3" t="s">
        <v>8071</v>
      </c>
      <c r="J802" s="3" t="s">
        <v>119</v>
      </c>
      <c r="K802" s="3" t="s">
        <v>121</v>
      </c>
      <c r="L802" s="6" t="s">
        <v>6326</v>
      </c>
      <c r="M802" s="3" t="s">
        <v>63</v>
      </c>
      <c r="N802" s="6" t="s">
        <v>6327</v>
      </c>
      <c r="O802" s="3" t="s">
        <v>63</v>
      </c>
      <c r="P802" s="3" t="s">
        <v>464</v>
      </c>
      <c r="Q802" s="8">
        <v>1425479.0</v>
      </c>
      <c r="R802" s="3" t="s">
        <v>93</v>
      </c>
      <c r="S802" s="7">
        <v>41385.0</v>
      </c>
      <c r="T802" s="3" t="s">
        <v>63</v>
      </c>
      <c r="U802" s="6" t="s">
        <v>397</v>
      </c>
      <c r="V802" s="3" t="s">
        <v>4</v>
      </c>
      <c r="W802" s="3" t="s">
        <v>102</v>
      </c>
    </row>
    <row r="803" ht="15.75" customHeight="1">
      <c r="A803" s="6" t="s">
        <v>5293</v>
      </c>
      <c r="B803" s="3" t="s">
        <v>8072</v>
      </c>
      <c r="C803" s="7">
        <v>31152.0</v>
      </c>
      <c r="D803" s="3" t="s">
        <v>63</v>
      </c>
      <c r="E803" s="3">
        <v>41.0</v>
      </c>
      <c r="F803" s="3" t="s">
        <v>70</v>
      </c>
      <c r="G803" s="6" t="s">
        <v>8073</v>
      </c>
      <c r="H803" s="3" t="s">
        <v>8074</v>
      </c>
      <c r="I803" s="3" t="s">
        <v>8075</v>
      </c>
      <c r="J803" s="3" t="s">
        <v>119</v>
      </c>
      <c r="K803" s="3" t="s">
        <v>121</v>
      </c>
      <c r="L803" s="6" t="s">
        <v>5294</v>
      </c>
      <c r="M803" s="3" t="s">
        <v>63</v>
      </c>
      <c r="N803" s="6" t="s">
        <v>5295</v>
      </c>
      <c r="O803" s="3" t="s">
        <v>63</v>
      </c>
      <c r="P803" s="3" t="s">
        <v>300</v>
      </c>
      <c r="Q803" s="3"/>
      <c r="R803" s="3" t="s">
        <v>258</v>
      </c>
      <c r="S803" s="7">
        <v>45734.0</v>
      </c>
      <c r="T803" s="3" t="s">
        <v>63</v>
      </c>
      <c r="U803" s="6" t="s">
        <v>288</v>
      </c>
      <c r="V803" s="3" t="s">
        <v>4</v>
      </c>
      <c r="W803" s="3" t="s">
        <v>102</v>
      </c>
    </row>
    <row r="804" ht="15.75" customHeight="1">
      <c r="A804" s="6" t="s">
        <v>1177</v>
      </c>
      <c r="B804" s="3" t="s">
        <v>8076</v>
      </c>
      <c r="C804" s="7">
        <v>29943.0</v>
      </c>
      <c r="D804" s="3" t="s">
        <v>63</v>
      </c>
      <c r="E804" s="3">
        <v>44.0</v>
      </c>
      <c r="F804" s="3" t="s">
        <v>70</v>
      </c>
      <c r="G804" s="6" t="s">
        <v>8077</v>
      </c>
      <c r="H804" s="3" t="s">
        <v>8078</v>
      </c>
      <c r="I804" s="3" t="s">
        <v>8079</v>
      </c>
      <c r="J804" s="3" t="s">
        <v>337</v>
      </c>
      <c r="K804" s="3" t="s">
        <v>137</v>
      </c>
      <c r="L804" s="6" t="s">
        <v>2378</v>
      </c>
      <c r="M804" s="3" t="s">
        <v>63</v>
      </c>
      <c r="N804" s="6" t="s">
        <v>2379</v>
      </c>
      <c r="O804" s="3" t="s">
        <v>63</v>
      </c>
      <c r="P804" s="3" t="s">
        <v>127</v>
      </c>
      <c r="Q804" s="8">
        <v>1322329.0</v>
      </c>
      <c r="R804" s="3" t="s">
        <v>93</v>
      </c>
      <c r="S804" s="7">
        <v>45985.0</v>
      </c>
      <c r="T804" s="3" t="s">
        <v>63</v>
      </c>
      <c r="U804" s="6" t="s">
        <v>80</v>
      </c>
      <c r="V804" s="3" t="s">
        <v>4</v>
      </c>
      <c r="W804" s="3" t="s">
        <v>102</v>
      </c>
    </row>
    <row r="805" ht="15.75" customHeight="1">
      <c r="A805" s="6" t="s">
        <v>1371</v>
      </c>
      <c r="B805" s="3" t="s">
        <v>8080</v>
      </c>
      <c r="C805" s="7">
        <v>24958.0</v>
      </c>
      <c r="D805" s="3" t="s">
        <v>63</v>
      </c>
      <c r="E805" s="3">
        <v>58.0</v>
      </c>
      <c r="F805" s="3" t="s">
        <v>70</v>
      </c>
      <c r="G805" s="6" t="s">
        <v>8081</v>
      </c>
      <c r="H805" s="3" t="s">
        <v>8082</v>
      </c>
      <c r="I805" s="3" t="s">
        <v>8083</v>
      </c>
      <c r="J805" s="3" t="s">
        <v>201</v>
      </c>
      <c r="K805" s="3" t="s">
        <v>203</v>
      </c>
      <c r="L805" s="3"/>
      <c r="M805" s="3" t="s">
        <v>88</v>
      </c>
      <c r="N805" s="6" t="s">
        <v>6467</v>
      </c>
      <c r="O805" s="3" t="s">
        <v>63</v>
      </c>
      <c r="P805" s="3" t="s">
        <v>372</v>
      </c>
      <c r="Q805" s="8">
        <v>809383.0</v>
      </c>
      <c r="R805" s="3" t="s">
        <v>93</v>
      </c>
      <c r="S805" s="7">
        <v>40438.0</v>
      </c>
      <c r="T805" s="3" t="s">
        <v>63</v>
      </c>
      <c r="U805" s="6" t="s">
        <v>80</v>
      </c>
      <c r="V805" s="3" t="s">
        <v>4</v>
      </c>
      <c r="W805" s="3" t="s">
        <v>102</v>
      </c>
    </row>
    <row r="806" ht="15.75" customHeight="1">
      <c r="A806" s="6" t="s">
        <v>2315</v>
      </c>
      <c r="B806" s="3" t="s">
        <v>8084</v>
      </c>
      <c r="C806" s="7">
        <v>33814.0</v>
      </c>
      <c r="D806" s="3" t="s">
        <v>63</v>
      </c>
      <c r="E806" s="3">
        <v>34.0</v>
      </c>
      <c r="F806" s="3" t="s">
        <v>70</v>
      </c>
      <c r="G806" s="6" t="s">
        <v>8085</v>
      </c>
      <c r="H806" s="3" t="s">
        <v>8086</v>
      </c>
      <c r="I806" s="3" t="s">
        <v>8087</v>
      </c>
      <c r="J806" s="3" t="s">
        <v>201</v>
      </c>
      <c r="K806" s="3" t="s">
        <v>203</v>
      </c>
      <c r="L806" s="6" t="s">
        <v>5157</v>
      </c>
      <c r="M806" s="3" t="s">
        <v>63</v>
      </c>
      <c r="N806" s="6" t="s">
        <v>5158</v>
      </c>
      <c r="O806" s="3" t="s">
        <v>63</v>
      </c>
      <c r="P806" s="3" t="s">
        <v>90</v>
      </c>
      <c r="Q806" s="8">
        <v>399868.0</v>
      </c>
      <c r="R806" s="3" t="s">
        <v>93</v>
      </c>
      <c r="S806" s="7">
        <v>44257.0</v>
      </c>
      <c r="T806" s="3" t="s">
        <v>63</v>
      </c>
      <c r="U806" s="6" t="s">
        <v>311</v>
      </c>
      <c r="V806" s="3" t="s">
        <v>4</v>
      </c>
      <c r="W806" s="3" t="s">
        <v>102</v>
      </c>
    </row>
    <row r="807" ht="15.75" customHeight="1">
      <c r="A807" s="6" t="s">
        <v>3021</v>
      </c>
      <c r="B807" s="3" t="s">
        <v>8088</v>
      </c>
      <c r="C807" s="7">
        <v>38413.0</v>
      </c>
      <c r="D807" s="3" t="s">
        <v>63</v>
      </c>
      <c r="E807" s="3">
        <v>21.0</v>
      </c>
      <c r="F807" s="3" t="s">
        <v>70</v>
      </c>
      <c r="G807" s="6" t="s">
        <v>8089</v>
      </c>
      <c r="H807" s="3" t="s">
        <v>8090</v>
      </c>
      <c r="I807" s="3" t="s">
        <v>8091</v>
      </c>
      <c r="J807" s="3" t="s">
        <v>134</v>
      </c>
      <c r="K807" s="3" t="s">
        <v>137</v>
      </c>
      <c r="L807" s="6" t="s">
        <v>3023</v>
      </c>
      <c r="M807" s="3" t="s">
        <v>63</v>
      </c>
      <c r="N807" s="6" t="s">
        <v>3026</v>
      </c>
      <c r="O807" s="3" t="s">
        <v>63</v>
      </c>
      <c r="P807" s="3" t="s">
        <v>127</v>
      </c>
      <c r="Q807" s="3"/>
      <c r="R807" s="3" t="s">
        <v>258</v>
      </c>
      <c r="S807" s="7">
        <v>38711.0</v>
      </c>
      <c r="T807" s="3" t="s">
        <v>63</v>
      </c>
      <c r="U807" s="6" t="s">
        <v>129</v>
      </c>
      <c r="V807" s="3" t="s">
        <v>4</v>
      </c>
      <c r="W807" s="3" t="s">
        <v>102</v>
      </c>
    </row>
    <row r="808" ht="15.75" customHeight="1">
      <c r="A808" s="6" t="s">
        <v>2394</v>
      </c>
      <c r="B808" s="3" t="s">
        <v>8092</v>
      </c>
      <c r="C808" s="7">
        <v>32191.0</v>
      </c>
      <c r="D808" s="3" t="s">
        <v>63</v>
      </c>
      <c r="E808" s="3">
        <v>38.0</v>
      </c>
      <c r="F808" s="3" t="s">
        <v>70</v>
      </c>
      <c r="G808" s="6" t="s">
        <v>8093</v>
      </c>
      <c r="H808" s="3" t="s">
        <v>8094</v>
      </c>
      <c r="I808" s="3" t="s">
        <v>8095</v>
      </c>
      <c r="J808" s="3" t="s">
        <v>153</v>
      </c>
      <c r="K808" s="3" t="s">
        <v>67</v>
      </c>
      <c r="L808" s="6" t="s">
        <v>2395</v>
      </c>
      <c r="M808" s="3" t="s">
        <v>63</v>
      </c>
      <c r="N808" s="6" t="s">
        <v>2396</v>
      </c>
      <c r="O808" s="3" t="s">
        <v>63</v>
      </c>
      <c r="P808" s="3" t="s">
        <v>324</v>
      </c>
      <c r="Q808" s="3"/>
      <c r="R808" s="3" t="s">
        <v>258</v>
      </c>
      <c r="S808" s="7">
        <v>44854.0</v>
      </c>
      <c r="T808" s="3" t="s">
        <v>63</v>
      </c>
      <c r="U808" s="6" t="s">
        <v>301</v>
      </c>
      <c r="V808" s="3" t="s">
        <v>237</v>
      </c>
      <c r="W808" s="3" t="s">
        <v>102</v>
      </c>
    </row>
    <row r="809" ht="15.75" customHeight="1">
      <c r="A809" s="6" t="s">
        <v>2402</v>
      </c>
      <c r="B809" s="3" t="s">
        <v>3025</v>
      </c>
      <c r="C809" s="7">
        <v>46944.0</v>
      </c>
      <c r="D809" s="3" t="s">
        <v>1155</v>
      </c>
      <c r="E809" s="3"/>
      <c r="F809" s="3" t="s">
        <v>70</v>
      </c>
      <c r="G809" s="6" t="s">
        <v>8096</v>
      </c>
      <c r="H809" s="3" t="s">
        <v>3029</v>
      </c>
      <c r="I809" s="3" t="s">
        <v>3030</v>
      </c>
      <c r="J809" s="3" t="s">
        <v>98</v>
      </c>
      <c r="K809" s="3" t="s">
        <v>101</v>
      </c>
      <c r="L809" s="6" t="s">
        <v>1173</v>
      </c>
      <c r="M809" s="3" t="s">
        <v>63</v>
      </c>
      <c r="N809" s="6" t="s">
        <v>1174</v>
      </c>
      <c r="O809" s="3" t="s">
        <v>63</v>
      </c>
      <c r="P809" s="3" t="s">
        <v>202</v>
      </c>
      <c r="Q809" s="3"/>
      <c r="R809" s="3" t="s">
        <v>258</v>
      </c>
      <c r="S809" s="7">
        <v>45282.0</v>
      </c>
      <c r="T809" s="3" t="s">
        <v>1178</v>
      </c>
      <c r="U809" s="6" t="s">
        <v>234</v>
      </c>
      <c r="V809" s="3" t="s">
        <v>4</v>
      </c>
      <c r="W809" s="3" t="s">
        <v>378</v>
      </c>
    </row>
    <row r="810" ht="15.75" customHeight="1">
      <c r="A810" s="6" t="s">
        <v>1479</v>
      </c>
      <c r="B810" s="3" t="s">
        <v>8097</v>
      </c>
      <c r="C810" s="7">
        <v>37880.0</v>
      </c>
      <c r="D810" s="3" t="s">
        <v>63</v>
      </c>
      <c r="E810" s="3">
        <v>22.0</v>
      </c>
      <c r="F810" s="3" t="s">
        <v>183</v>
      </c>
      <c r="G810" s="6" t="s">
        <v>8098</v>
      </c>
      <c r="H810" s="3" t="s">
        <v>8099</v>
      </c>
      <c r="I810" s="3" t="s">
        <v>8100</v>
      </c>
      <c r="J810" s="3" t="s">
        <v>225</v>
      </c>
      <c r="K810" s="3" t="s">
        <v>101</v>
      </c>
      <c r="L810" s="6" t="s">
        <v>5822</v>
      </c>
      <c r="M810" s="3" t="s">
        <v>63</v>
      </c>
      <c r="N810" s="6" t="s">
        <v>5823</v>
      </c>
      <c r="O810" s="3" t="s">
        <v>63</v>
      </c>
      <c r="P810" s="3" t="s">
        <v>300</v>
      </c>
      <c r="Q810" s="8">
        <v>476957.0</v>
      </c>
      <c r="R810" s="3" t="s">
        <v>93</v>
      </c>
      <c r="S810" s="7">
        <v>43063.0</v>
      </c>
      <c r="T810" s="3" t="s">
        <v>63</v>
      </c>
      <c r="U810" s="6" t="s">
        <v>301</v>
      </c>
      <c r="V810" s="3" t="s">
        <v>4</v>
      </c>
      <c r="W810" s="3" t="s">
        <v>102</v>
      </c>
    </row>
    <row r="811" ht="15.75" customHeight="1">
      <c r="A811" s="6" t="s">
        <v>5676</v>
      </c>
      <c r="B811" s="3" t="s">
        <v>8101</v>
      </c>
      <c r="C811" s="7">
        <v>20415.0</v>
      </c>
      <c r="D811" s="3" t="s">
        <v>63</v>
      </c>
      <c r="E811" s="3">
        <v>70.0</v>
      </c>
      <c r="F811" s="3" t="s">
        <v>183</v>
      </c>
      <c r="G811" s="6" t="s">
        <v>8102</v>
      </c>
      <c r="H811" s="3" t="s">
        <v>8103</v>
      </c>
      <c r="I811" s="3" t="s">
        <v>8104</v>
      </c>
      <c r="J811" s="3" t="s">
        <v>271</v>
      </c>
      <c r="K811" s="3" t="s">
        <v>273</v>
      </c>
      <c r="L811" s="6" t="s">
        <v>8105</v>
      </c>
      <c r="M811" s="3" t="s">
        <v>63</v>
      </c>
      <c r="N811" s="6" t="s">
        <v>8106</v>
      </c>
      <c r="O811" s="3" t="s">
        <v>63</v>
      </c>
      <c r="P811" s="3" t="s">
        <v>202</v>
      </c>
      <c r="Q811" s="8">
        <v>2372656.0</v>
      </c>
      <c r="R811" s="3" t="s">
        <v>93</v>
      </c>
      <c r="S811" s="7">
        <v>44879.0</v>
      </c>
      <c r="T811" s="3" t="s">
        <v>63</v>
      </c>
      <c r="U811" s="6" t="s">
        <v>333</v>
      </c>
      <c r="V811" s="3" t="s">
        <v>4</v>
      </c>
      <c r="W811" s="3" t="s">
        <v>102</v>
      </c>
    </row>
    <row r="812" ht="15.75" customHeight="1">
      <c r="A812" s="6" t="s">
        <v>4101</v>
      </c>
      <c r="B812" s="3" t="s">
        <v>8107</v>
      </c>
      <c r="C812" s="7">
        <v>20957.0</v>
      </c>
      <c r="D812" s="3" t="s">
        <v>63</v>
      </c>
      <c r="E812" s="3">
        <v>69.0</v>
      </c>
      <c r="F812" s="3" t="s">
        <v>183</v>
      </c>
      <c r="G812" s="6" t="s">
        <v>8108</v>
      </c>
      <c r="H812" s="3" t="s">
        <v>8109</v>
      </c>
      <c r="I812" s="3" t="s">
        <v>8110</v>
      </c>
      <c r="J812" s="3" t="s">
        <v>337</v>
      </c>
      <c r="K812" s="3" t="s">
        <v>137</v>
      </c>
      <c r="L812" s="6" t="s">
        <v>5126</v>
      </c>
      <c r="M812" s="3" t="s">
        <v>63</v>
      </c>
      <c r="N812" s="6" t="s">
        <v>5128</v>
      </c>
      <c r="O812" s="3" t="s">
        <v>63</v>
      </c>
      <c r="P812" s="3" t="s">
        <v>202</v>
      </c>
      <c r="Q812" s="3"/>
      <c r="R812" s="3" t="s">
        <v>258</v>
      </c>
      <c r="S812" s="7">
        <v>40209.0</v>
      </c>
      <c r="T812" s="3" t="s">
        <v>63</v>
      </c>
      <c r="U812" s="6" t="s">
        <v>245</v>
      </c>
      <c r="V812" s="3" t="s">
        <v>237</v>
      </c>
      <c r="W812" s="3" t="s">
        <v>102</v>
      </c>
    </row>
    <row r="813" ht="15.75" customHeight="1">
      <c r="A813" s="6" t="s">
        <v>5063</v>
      </c>
      <c r="B813" s="3" t="s">
        <v>8111</v>
      </c>
      <c r="C813" s="7">
        <v>20736.0</v>
      </c>
      <c r="D813" s="3" t="s">
        <v>63</v>
      </c>
      <c r="E813" s="3">
        <v>69.0</v>
      </c>
      <c r="F813" s="3" t="s">
        <v>183</v>
      </c>
      <c r="G813" s="6" t="s">
        <v>8112</v>
      </c>
      <c r="H813" s="3" t="s">
        <v>8113</v>
      </c>
      <c r="I813" s="3" t="s">
        <v>8114</v>
      </c>
      <c r="J813" s="3" t="s">
        <v>153</v>
      </c>
      <c r="K813" s="3" t="s">
        <v>67</v>
      </c>
      <c r="L813" s="6" t="s">
        <v>5065</v>
      </c>
      <c r="M813" s="3" t="s">
        <v>63</v>
      </c>
      <c r="N813" s="6" t="s">
        <v>5066</v>
      </c>
      <c r="O813" s="3" t="s">
        <v>63</v>
      </c>
      <c r="P813" s="3" t="s">
        <v>202</v>
      </c>
      <c r="Q813" s="8">
        <v>1391607.0</v>
      </c>
      <c r="R813" s="3" t="s">
        <v>93</v>
      </c>
      <c r="S813" s="7">
        <v>42156.0</v>
      </c>
      <c r="T813" s="3" t="s">
        <v>63</v>
      </c>
      <c r="U813" s="6" t="s">
        <v>92</v>
      </c>
      <c r="V813" s="3" t="s">
        <v>237</v>
      </c>
      <c r="W813" s="3" t="s">
        <v>102</v>
      </c>
    </row>
    <row r="814" ht="15.75" customHeight="1">
      <c r="A814" s="6" t="s">
        <v>918</v>
      </c>
      <c r="B814" s="3" t="s">
        <v>7460</v>
      </c>
      <c r="C814" s="7">
        <v>25953.0</v>
      </c>
      <c r="D814" s="3" t="s">
        <v>63</v>
      </c>
      <c r="E814" s="3">
        <v>55.0</v>
      </c>
      <c r="F814" s="3" t="s">
        <v>183</v>
      </c>
      <c r="G814" s="6" t="s">
        <v>8115</v>
      </c>
      <c r="H814" s="3" t="s">
        <v>7462</v>
      </c>
      <c r="I814" s="3" t="s">
        <v>7463</v>
      </c>
      <c r="J814" s="3" t="s">
        <v>184</v>
      </c>
      <c r="K814" s="3" t="s">
        <v>187</v>
      </c>
      <c r="L814" s="6" t="s">
        <v>919</v>
      </c>
      <c r="M814" s="3" t="s">
        <v>620</v>
      </c>
      <c r="N814" s="6" t="s">
        <v>920</v>
      </c>
      <c r="O814" s="3" t="s">
        <v>63</v>
      </c>
      <c r="P814" s="3" t="s">
        <v>300</v>
      </c>
      <c r="Q814" s="3"/>
      <c r="R814" s="3" t="s">
        <v>258</v>
      </c>
      <c r="S814" s="7">
        <v>42596.0</v>
      </c>
      <c r="T814" s="3" t="s">
        <v>63</v>
      </c>
      <c r="U814" s="6" t="s">
        <v>277</v>
      </c>
      <c r="V814" s="3" t="s">
        <v>237</v>
      </c>
      <c r="W814" s="3" t="s">
        <v>378</v>
      </c>
    </row>
    <row r="815" ht="15.75" customHeight="1">
      <c r="A815" s="6" t="s">
        <v>1207</v>
      </c>
      <c r="B815" s="3" t="s">
        <v>8116</v>
      </c>
      <c r="C815" s="7">
        <v>32362.0</v>
      </c>
      <c r="D815" s="3" t="s">
        <v>63</v>
      </c>
      <c r="E815" s="3">
        <v>37.0</v>
      </c>
      <c r="F815" s="3" t="s">
        <v>183</v>
      </c>
      <c r="G815" s="6" t="s">
        <v>8117</v>
      </c>
      <c r="H815" s="3" t="s">
        <v>8118</v>
      </c>
      <c r="I815" s="3" t="s">
        <v>8119</v>
      </c>
      <c r="J815" s="3" t="s">
        <v>327</v>
      </c>
      <c r="K815" s="3" t="s">
        <v>169</v>
      </c>
      <c r="L815" s="6" t="s">
        <v>1209</v>
      </c>
      <c r="M815" s="3" t="s">
        <v>63</v>
      </c>
      <c r="N815" s="6" t="s">
        <v>1210</v>
      </c>
      <c r="O815" s="3" t="s">
        <v>63</v>
      </c>
      <c r="P815" s="3" t="s">
        <v>396</v>
      </c>
      <c r="Q815" s="3"/>
      <c r="R815" s="3" t="s">
        <v>258</v>
      </c>
      <c r="S815" s="7">
        <v>39601.0</v>
      </c>
      <c r="T815" s="3" t="s">
        <v>63</v>
      </c>
      <c r="U815" s="6" t="s">
        <v>92</v>
      </c>
      <c r="V815" s="3" t="s">
        <v>4</v>
      </c>
      <c r="W815" s="3" t="s">
        <v>102</v>
      </c>
    </row>
    <row r="816" ht="15.75" customHeight="1">
      <c r="A816" s="6" t="s">
        <v>2280</v>
      </c>
      <c r="B816" s="3" t="s">
        <v>8120</v>
      </c>
      <c r="C816" s="7">
        <v>21272.0</v>
      </c>
      <c r="D816" s="3" t="s">
        <v>63</v>
      </c>
      <c r="E816" s="3">
        <v>68.0</v>
      </c>
      <c r="F816" s="3" t="s">
        <v>183</v>
      </c>
      <c r="G816" s="6" t="s">
        <v>8121</v>
      </c>
      <c r="H816" s="3" t="s">
        <v>8122</v>
      </c>
      <c r="I816" s="3" t="s">
        <v>8123</v>
      </c>
      <c r="J816" s="3" t="s">
        <v>114</v>
      </c>
      <c r="K816" s="3" t="s">
        <v>118</v>
      </c>
      <c r="L816" s="6" t="s">
        <v>3413</v>
      </c>
      <c r="M816" s="3" t="s">
        <v>63</v>
      </c>
      <c r="N816" s="6" t="s">
        <v>3415</v>
      </c>
      <c r="O816" s="3" t="s">
        <v>63</v>
      </c>
      <c r="P816" s="3" t="s">
        <v>127</v>
      </c>
      <c r="Q816" s="3"/>
      <c r="R816" s="3" t="s">
        <v>258</v>
      </c>
      <c r="S816" s="7">
        <v>45561.0</v>
      </c>
      <c r="T816" s="3" t="s">
        <v>63</v>
      </c>
      <c r="U816" s="6" t="s">
        <v>146</v>
      </c>
      <c r="V816" s="3" t="s">
        <v>4</v>
      </c>
      <c r="W816" s="3" t="s">
        <v>102</v>
      </c>
    </row>
    <row r="817" ht="15.75" customHeight="1">
      <c r="A817" s="6" t="s">
        <v>2382</v>
      </c>
      <c r="B817" s="3" t="s">
        <v>8124</v>
      </c>
      <c r="C817" s="7">
        <v>28198.0</v>
      </c>
      <c r="D817" s="3" t="s">
        <v>63</v>
      </c>
      <c r="E817" s="3">
        <v>49.0</v>
      </c>
      <c r="F817" s="3" t="s">
        <v>183</v>
      </c>
      <c r="G817" s="6" t="s">
        <v>8125</v>
      </c>
      <c r="H817" s="3" t="s">
        <v>8126</v>
      </c>
      <c r="I817" s="3" t="s">
        <v>8127</v>
      </c>
      <c r="J817" s="3" t="s">
        <v>227</v>
      </c>
      <c r="K817" s="3" t="s">
        <v>229</v>
      </c>
      <c r="L817" s="6" t="s">
        <v>2383</v>
      </c>
      <c r="M817" s="3" t="s">
        <v>63</v>
      </c>
      <c r="N817" s="6" t="s">
        <v>2385</v>
      </c>
      <c r="O817" s="3" t="s">
        <v>63</v>
      </c>
      <c r="P817" s="3" t="s">
        <v>160</v>
      </c>
      <c r="Q817" s="3"/>
      <c r="R817" s="3" t="s">
        <v>258</v>
      </c>
      <c r="S817" s="7">
        <v>43323.0</v>
      </c>
      <c r="T817" s="3" t="s">
        <v>63</v>
      </c>
      <c r="U817" s="6" t="s">
        <v>333</v>
      </c>
      <c r="V817" s="3" t="s">
        <v>4</v>
      </c>
      <c r="W817" s="3" t="s">
        <v>102</v>
      </c>
    </row>
    <row r="818" ht="15.75" customHeight="1">
      <c r="A818" s="6" t="s">
        <v>1346</v>
      </c>
      <c r="B818" s="3" t="s">
        <v>8128</v>
      </c>
      <c r="C818" s="7">
        <v>33093.0</v>
      </c>
      <c r="D818" s="3" t="s">
        <v>63</v>
      </c>
      <c r="E818" s="3">
        <v>35.0</v>
      </c>
      <c r="F818" s="3" t="s">
        <v>70</v>
      </c>
      <c r="G818" s="6" t="s">
        <v>8129</v>
      </c>
      <c r="H818" s="3" t="s">
        <v>8130</v>
      </c>
      <c r="I818" s="3" t="s">
        <v>8131</v>
      </c>
      <c r="J818" s="3" t="s">
        <v>327</v>
      </c>
      <c r="K818" s="3" t="s">
        <v>169</v>
      </c>
      <c r="L818" s="3"/>
      <c r="M818" s="3" t="s">
        <v>88</v>
      </c>
      <c r="N818" s="6" t="s">
        <v>1347</v>
      </c>
      <c r="O818" s="3" t="s">
        <v>63</v>
      </c>
      <c r="P818" s="3" t="s">
        <v>300</v>
      </c>
      <c r="Q818" s="8">
        <v>2363359.0</v>
      </c>
      <c r="R818" s="3" t="s">
        <v>93</v>
      </c>
      <c r="S818" s="7">
        <v>39568.0</v>
      </c>
      <c r="T818" s="3" t="s">
        <v>63</v>
      </c>
      <c r="U818" s="6" t="s">
        <v>234</v>
      </c>
      <c r="V818" s="3" t="s">
        <v>4</v>
      </c>
      <c r="W818" s="3" t="s">
        <v>102</v>
      </c>
    </row>
    <row r="819" ht="15.75" customHeight="1">
      <c r="A819" s="6" t="s">
        <v>897</v>
      </c>
      <c r="B819" s="3" t="s">
        <v>8132</v>
      </c>
      <c r="C819" s="7">
        <v>26851.0</v>
      </c>
      <c r="D819" s="3" t="s">
        <v>63</v>
      </c>
      <c r="E819" s="3">
        <v>53.0</v>
      </c>
      <c r="F819" s="3" t="s">
        <v>183</v>
      </c>
      <c r="G819" s="6" t="s">
        <v>8133</v>
      </c>
      <c r="H819" s="3" t="s">
        <v>8134</v>
      </c>
      <c r="I819" s="3" t="s">
        <v>8135</v>
      </c>
      <c r="J819" s="3" t="s">
        <v>358</v>
      </c>
      <c r="K819" s="3" t="s">
        <v>360</v>
      </c>
      <c r="L819" s="6" t="s">
        <v>901</v>
      </c>
      <c r="M819" s="3" t="s">
        <v>63</v>
      </c>
      <c r="N819" s="6" t="s">
        <v>902</v>
      </c>
      <c r="O819" s="3" t="s">
        <v>63</v>
      </c>
      <c r="P819" s="3" t="s">
        <v>372</v>
      </c>
      <c r="Q819" s="8">
        <v>1967044.0</v>
      </c>
      <c r="R819" s="3" t="s">
        <v>93</v>
      </c>
      <c r="S819" s="7">
        <v>39076.0</v>
      </c>
      <c r="T819" s="3" t="s">
        <v>63</v>
      </c>
      <c r="U819" s="6" t="s">
        <v>146</v>
      </c>
      <c r="V819" s="3" t="s">
        <v>237</v>
      </c>
      <c r="W819" s="3" t="s">
        <v>102</v>
      </c>
    </row>
    <row r="820" ht="15.75" customHeight="1">
      <c r="A820" s="6" t="s">
        <v>3671</v>
      </c>
      <c r="B820" s="3" t="s">
        <v>8136</v>
      </c>
      <c r="C820" s="7">
        <v>24922.0</v>
      </c>
      <c r="D820" s="3" t="s">
        <v>63</v>
      </c>
      <c r="E820" s="3">
        <v>58.0</v>
      </c>
      <c r="F820" s="3" t="s">
        <v>70</v>
      </c>
      <c r="G820" s="6" t="s">
        <v>8137</v>
      </c>
      <c r="H820" s="3" t="s">
        <v>8138</v>
      </c>
      <c r="I820" s="3" t="s">
        <v>8139</v>
      </c>
      <c r="J820" s="3" t="s">
        <v>250</v>
      </c>
      <c r="K820" s="3" t="s">
        <v>252</v>
      </c>
      <c r="L820" s="6" t="s">
        <v>8140</v>
      </c>
      <c r="M820" s="3" t="s">
        <v>63</v>
      </c>
      <c r="N820" s="6" t="s">
        <v>8141</v>
      </c>
      <c r="O820" s="3" t="s">
        <v>63</v>
      </c>
      <c r="P820" s="3" t="s">
        <v>202</v>
      </c>
      <c r="Q820" s="3"/>
      <c r="R820" s="3" t="s">
        <v>258</v>
      </c>
      <c r="S820" s="7">
        <v>40083.0</v>
      </c>
      <c r="T820" s="3" t="s">
        <v>63</v>
      </c>
      <c r="U820" s="6" t="s">
        <v>245</v>
      </c>
      <c r="V820" s="3" t="s">
        <v>4</v>
      </c>
      <c r="W820" s="3" t="s">
        <v>102</v>
      </c>
    </row>
    <row r="821" ht="15.75" customHeight="1">
      <c r="A821" s="6" t="s">
        <v>6282</v>
      </c>
      <c r="B821" s="3" t="s">
        <v>8142</v>
      </c>
      <c r="C821" s="7">
        <v>21685.0</v>
      </c>
      <c r="D821" s="3" t="s">
        <v>63</v>
      </c>
      <c r="E821" s="3">
        <v>67.0</v>
      </c>
      <c r="F821" s="3" t="s">
        <v>70</v>
      </c>
      <c r="G821" s="6" t="s">
        <v>8143</v>
      </c>
      <c r="H821" s="3" t="s">
        <v>8144</v>
      </c>
      <c r="I821" s="3" t="s">
        <v>8145</v>
      </c>
      <c r="J821" s="3" t="s">
        <v>349</v>
      </c>
      <c r="K821" s="3" t="s">
        <v>45</v>
      </c>
      <c r="L821" s="3"/>
      <c r="M821" s="3" t="s">
        <v>88</v>
      </c>
      <c r="N821" s="6" t="s">
        <v>6283</v>
      </c>
      <c r="O821" s="3" t="s">
        <v>63</v>
      </c>
      <c r="P821" s="3" t="s">
        <v>372</v>
      </c>
      <c r="Q821" s="8">
        <v>2406234.0</v>
      </c>
      <c r="R821" s="3" t="s">
        <v>93</v>
      </c>
      <c r="S821" s="7">
        <v>40327.0</v>
      </c>
      <c r="T821" s="3" t="s">
        <v>63</v>
      </c>
      <c r="U821" s="6" t="s">
        <v>197</v>
      </c>
      <c r="V821" s="3" t="s">
        <v>4</v>
      </c>
      <c r="W821" s="3" t="s">
        <v>102</v>
      </c>
    </row>
    <row r="822" ht="15.75" customHeight="1">
      <c r="A822" s="6" t="s">
        <v>1484</v>
      </c>
      <c r="B822" s="3" t="s">
        <v>8146</v>
      </c>
      <c r="C822" s="7">
        <v>36857.0</v>
      </c>
      <c r="D822" s="3" t="s">
        <v>63</v>
      </c>
      <c r="E822" s="3">
        <v>25.0</v>
      </c>
      <c r="F822" s="3" t="s">
        <v>70</v>
      </c>
      <c r="G822" s="6" t="s">
        <v>8147</v>
      </c>
      <c r="H822" s="3" t="s">
        <v>8148</v>
      </c>
      <c r="I822" s="3" t="s">
        <v>8149</v>
      </c>
      <c r="J822" s="3" t="s">
        <v>271</v>
      </c>
      <c r="K822" s="3" t="s">
        <v>273</v>
      </c>
      <c r="L822" s="6" t="s">
        <v>1487</v>
      </c>
      <c r="M822" s="3" t="s">
        <v>63</v>
      </c>
      <c r="N822" s="3"/>
      <c r="O822" s="3" t="s">
        <v>88</v>
      </c>
      <c r="P822" s="3" t="s">
        <v>202</v>
      </c>
      <c r="Q822" s="3"/>
      <c r="R822" s="3" t="s">
        <v>258</v>
      </c>
      <c r="S822" s="7">
        <v>44566.0</v>
      </c>
      <c r="T822" s="3" t="s">
        <v>63</v>
      </c>
      <c r="U822" s="6" t="s">
        <v>109</v>
      </c>
      <c r="V822" s="3" t="s">
        <v>4</v>
      </c>
      <c r="W822" s="3" t="s">
        <v>102</v>
      </c>
    </row>
    <row r="823" ht="15.75" customHeight="1">
      <c r="A823" s="6" t="s">
        <v>2561</v>
      </c>
      <c r="B823" s="3" t="s">
        <v>6193</v>
      </c>
      <c r="C823" s="7">
        <v>29917.0</v>
      </c>
      <c r="D823" s="3" t="s">
        <v>63</v>
      </c>
      <c r="E823" s="3">
        <v>44.0</v>
      </c>
      <c r="F823" s="3" t="s">
        <v>183</v>
      </c>
      <c r="G823" s="3"/>
      <c r="H823" s="3"/>
      <c r="I823" s="3" t="s">
        <v>8150</v>
      </c>
      <c r="J823" s="3" t="s">
        <v>153</v>
      </c>
      <c r="K823" s="3" t="s">
        <v>67</v>
      </c>
      <c r="L823" s="6" t="s">
        <v>8151</v>
      </c>
      <c r="M823" s="3" t="s">
        <v>63</v>
      </c>
      <c r="N823" s="6" t="s">
        <v>8152</v>
      </c>
      <c r="O823" s="3" t="s">
        <v>63</v>
      </c>
      <c r="P823" s="3" t="s">
        <v>464</v>
      </c>
      <c r="Q823" s="3"/>
      <c r="R823" s="3" t="s">
        <v>258</v>
      </c>
      <c r="S823" s="7">
        <v>42011.0</v>
      </c>
      <c r="T823" s="3" t="s">
        <v>63</v>
      </c>
      <c r="U823" s="6" t="s">
        <v>179</v>
      </c>
      <c r="V823" s="3" t="s">
        <v>4</v>
      </c>
      <c r="W823" s="3" t="s">
        <v>102</v>
      </c>
    </row>
    <row r="824" ht="15.75" customHeight="1">
      <c r="A824" s="6" t="s">
        <v>5533</v>
      </c>
      <c r="B824" s="3" t="s">
        <v>8153</v>
      </c>
      <c r="C824" s="7">
        <v>30429.0</v>
      </c>
      <c r="D824" s="3" t="s">
        <v>63</v>
      </c>
      <c r="E824" s="3">
        <v>43.0</v>
      </c>
      <c r="F824" s="3" t="s">
        <v>183</v>
      </c>
      <c r="G824" s="6" t="s">
        <v>8154</v>
      </c>
      <c r="H824" s="3"/>
      <c r="I824" s="3" t="s">
        <v>8155</v>
      </c>
      <c r="J824" s="3" t="s">
        <v>227</v>
      </c>
      <c r="K824" s="3" t="s">
        <v>229</v>
      </c>
      <c r="L824" s="6" t="s">
        <v>6135</v>
      </c>
      <c r="M824" s="3" t="s">
        <v>63</v>
      </c>
      <c r="N824" s="6" t="s">
        <v>6136</v>
      </c>
      <c r="O824" s="3" t="s">
        <v>63</v>
      </c>
      <c r="P824" s="3" t="s">
        <v>324</v>
      </c>
      <c r="Q824" s="8">
        <v>594889.0</v>
      </c>
      <c r="R824" s="3" t="s">
        <v>93</v>
      </c>
      <c r="S824" s="7">
        <v>39612.0</v>
      </c>
      <c r="T824" s="3" t="s">
        <v>63</v>
      </c>
      <c r="U824" s="6" t="s">
        <v>80</v>
      </c>
      <c r="V824" s="3" t="s">
        <v>4</v>
      </c>
      <c r="W824" s="3" t="s">
        <v>102</v>
      </c>
    </row>
    <row r="825" ht="15.75" customHeight="1">
      <c r="A825" s="6" t="s">
        <v>1183</v>
      </c>
      <c r="B825" s="3" t="s">
        <v>8156</v>
      </c>
      <c r="C825" s="7">
        <v>34988.0</v>
      </c>
      <c r="D825" s="3" t="s">
        <v>63</v>
      </c>
      <c r="E825" s="3">
        <v>30.0</v>
      </c>
      <c r="F825" s="3" t="s">
        <v>183</v>
      </c>
      <c r="G825" s="6" t="s">
        <v>8157</v>
      </c>
      <c r="H825" s="3" t="s">
        <v>8158</v>
      </c>
      <c r="I825" s="3" t="s">
        <v>8159</v>
      </c>
      <c r="J825" s="3" t="s">
        <v>151</v>
      </c>
      <c r="K825" s="3" t="s">
        <v>121</v>
      </c>
      <c r="L825" s="6" t="s">
        <v>4956</v>
      </c>
      <c r="M825" s="3" t="s">
        <v>63</v>
      </c>
      <c r="N825" s="6" t="s">
        <v>4958</v>
      </c>
      <c r="O825" s="3" t="s">
        <v>63</v>
      </c>
      <c r="P825" s="3" t="s">
        <v>202</v>
      </c>
      <c r="Q825" s="8">
        <v>1962260.0</v>
      </c>
      <c r="R825" s="3" t="s">
        <v>93</v>
      </c>
      <c r="S825" s="7">
        <v>41504.0</v>
      </c>
      <c r="T825" s="3" t="s">
        <v>63</v>
      </c>
      <c r="U825" s="6" t="s">
        <v>97</v>
      </c>
      <c r="V825" s="3" t="s">
        <v>4</v>
      </c>
      <c r="W825" s="3" t="s">
        <v>102</v>
      </c>
    </row>
    <row r="826" ht="15.75" customHeight="1">
      <c r="A826" s="6" t="s">
        <v>5593</v>
      </c>
      <c r="B826" s="3" t="s">
        <v>8160</v>
      </c>
      <c r="C826" s="7">
        <v>34255.0</v>
      </c>
      <c r="D826" s="3" t="s">
        <v>63</v>
      </c>
      <c r="E826" s="3">
        <v>32.0</v>
      </c>
      <c r="F826" s="3" t="s">
        <v>183</v>
      </c>
      <c r="G826" s="6" t="s">
        <v>8161</v>
      </c>
      <c r="H826" s="3" t="s">
        <v>8162</v>
      </c>
      <c r="I826" s="3" t="s">
        <v>5892</v>
      </c>
      <c r="J826" s="3" t="s">
        <v>114</v>
      </c>
      <c r="K826" s="3" t="s">
        <v>118</v>
      </c>
      <c r="L826" s="6" t="s">
        <v>5594</v>
      </c>
      <c r="M826" s="3" t="s">
        <v>63</v>
      </c>
      <c r="N826" s="3"/>
      <c r="O826" s="3" t="s">
        <v>88</v>
      </c>
      <c r="P826" s="3" t="s">
        <v>372</v>
      </c>
      <c r="Q826" s="3"/>
      <c r="R826" s="3" t="s">
        <v>258</v>
      </c>
      <c r="S826" s="7">
        <v>44364.0</v>
      </c>
      <c r="T826" s="3" t="s">
        <v>63</v>
      </c>
      <c r="U826" s="6" t="s">
        <v>288</v>
      </c>
      <c r="V826" s="3" t="s">
        <v>4</v>
      </c>
      <c r="W826" s="3" t="s">
        <v>102</v>
      </c>
    </row>
    <row r="827" ht="15.75" customHeight="1">
      <c r="A827" s="6" t="s">
        <v>2374</v>
      </c>
      <c r="B827" s="3" t="s">
        <v>8163</v>
      </c>
      <c r="C827" s="7">
        <v>38080.0</v>
      </c>
      <c r="D827" s="3" t="s">
        <v>63</v>
      </c>
      <c r="E827" s="3">
        <v>22.0</v>
      </c>
      <c r="F827" s="3" t="s">
        <v>70</v>
      </c>
      <c r="G827" s="6" t="s">
        <v>8164</v>
      </c>
      <c r="H827" s="3" t="s">
        <v>8165</v>
      </c>
      <c r="I827" s="3" t="s">
        <v>8166</v>
      </c>
      <c r="J827" s="3" t="s">
        <v>8167</v>
      </c>
      <c r="K827" s="3" t="s">
        <v>203</v>
      </c>
      <c r="L827" s="6" t="s">
        <v>3711</v>
      </c>
      <c r="M827" s="3" t="s">
        <v>63</v>
      </c>
      <c r="N827" s="6" t="s">
        <v>3713</v>
      </c>
      <c r="O827" s="3" t="s">
        <v>63</v>
      </c>
      <c r="P827" s="3" t="s">
        <v>202</v>
      </c>
      <c r="Q827" s="8">
        <v>344702.0</v>
      </c>
      <c r="R827" s="3" t="s">
        <v>93</v>
      </c>
      <c r="S827" s="7">
        <v>45666.0</v>
      </c>
      <c r="T827" s="3" t="s">
        <v>63</v>
      </c>
      <c r="U827" s="6" t="s">
        <v>197</v>
      </c>
      <c r="V827" s="3" t="s">
        <v>4</v>
      </c>
      <c r="W827" s="3" t="s">
        <v>378</v>
      </c>
    </row>
    <row r="828" ht="15.75" customHeight="1">
      <c r="A828" s="6" t="s">
        <v>1749</v>
      </c>
      <c r="B828" s="3" t="s">
        <v>8168</v>
      </c>
      <c r="C828" s="7">
        <v>23441.0</v>
      </c>
      <c r="D828" s="3" t="s">
        <v>63</v>
      </c>
      <c r="E828" s="3">
        <v>62.0</v>
      </c>
      <c r="F828" s="3" t="s">
        <v>183</v>
      </c>
      <c r="G828" s="6" t="s">
        <v>8169</v>
      </c>
      <c r="H828" s="3" t="s">
        <v>8170</v>
      </c>
      <c r="I828" s="3" t="s">
        <v>8171</v>
      </c>
      <c r="J828" s="3" t="s">
        <v>327</v>
      </c>
      <c r="K828" s="3" t="s">
        <v>169</v>
      </c>
      <c r="L828" s="6" t="s">
        <v>1750</v>
      </c>
      <c r="M828" s="3" t="s">
        <v>63</v>
      </c>
      <c r="N828" s="6" t="s">
        <v>1751</v>
      </c>
      <c r="O828" s="3" t="s">
        <v>63</v>
      </c>
      <c r="P828" s="3" t="s">
        <v>90</v>
      </c>
      <c r="Q828" s="3"/>
      <c r="R828" s="3" t="s">
        <v>258</v>
      </c>
      <c r="S828" s="7">
        <v>39024.0</v>
      </c>
      <c r="T828" s="3" t="s">
        <v>63</v>
      </c>
      <c r="U828" s="6" t="s">
        <v>171</v>
      </c>
      <c r="V828" s="3" t="s">
        <v>4</v>
      </c>
      <c r="W828" s="3" t="s">
        <v>102</v>
      </c>
    </row>
    <row r="829" ht="15.75" customHeight="1">
      <c r="A829" s="6" t="s">
        <v>6576</v>
      </c>
      <c r="B829" s="3" t="s">
        <v>8172</v>
      </c>
      <c r="C829" s="7">
        <v>22527.0</v>
      </c>
      <c r="D829" s="3" t="s">
        <v>63</v>
      </c>
      <c r="E829" s="3">
        <v>64.0</v>
      </c>
      <c r="F829" s="3" t="s">
        <v>70</v>
      </c>
      <c r="G829" s="3"/>
      <c r="H829" s="3" t="s">
        <v>8173</v>
      </c>
      <c r="I829" s="3" t="s">
        <v>8174</v>
      </c>
      <c r="J829" s="3" t="s">
        <v>225</v>
      </c>
      <c r="K829" s="3" t="s">
        <v>101</v>
      </c>
      <c r="L829" s="6" t="s">
        <v>6577</v>
      </c>
      <c r="M829" s="3" t="s">
        <v>63</v>
      </c>
      <c r="N829" s="6" t="s">
        <v>6578</v>
      </c>
      <c r="O829" s="3" t="s">
        <v>63</v>
      </c>
      <c r="P829" s="3" t="s">
        <v>324</v>
      </c>
      <c r="Q829" s="8">
        <v>2109112.0</v>
      </c>
      <c r="R829" s="3" t="s">
        <v>93</v>
      </c>
      <c r="S829" s="7">
        <v>41709.0</v>
      </c>
      <c r="T829" s="3" t="s">
        <v>63</v>
      </c>
      <c r="U829" s="6" t="s">
        <v>171</v>
      </c>
      <c r="V829" s="3" t="s">
        <v>237</v>
      </c>
      <c r="W829" s="3" t="s">
        <v>102</v>
      </c>
    </row>
    <row r="830" ht="15.75" customHeight="1">
      <c r="A830" s="6" t="s">
        <v>6475</v>
      </c>
      <c r="B830" s="3" t="s">
        <v>8175</v>
      </c>
      <c r="C830" s="7">
        <v>28134.0</v>
      </c>
      <c r="D830" s="3" t="s">
        <v>63</v>
      </c>
      <c r="E830" s="3">
        <v>49.0</v>
      </c>
      <c r="F830" s="3" t="s">
        <v>70</v>
      </c>
      <c r="G830" s="6" t="s">
        <v>8176</v>
      </c>
      <c r="H830" s="3" t="s">
        <v>8177</v>
      </c>
      <c r="I830" s="3" t="s">
        <v>8178</v>
      </c>
      <c r="J830" s="3" t="s">
        <v>114</v>
      </c>
      <c r="K830" s="3" t="s">
        <v>118</v>
      </c>
      <c r="L830" s="6" t="s">
        <v>6476</v>
      </c>
      <c r="M830" s="3" t="s">
        <v>63</v>
      </c>
      <c r="N830" s="6" t="s">
        <v>6477</v>
      </c>
      <c r="O830" s="3" t="s">
        <v>63</v>
      </c>
      <c r="P830" s="3" t="s">
        <v>372</v>
      </c>
      <c r="Q830" s="3"/>
      <c r="R830" s="3" t="s">
        <v>258</v>
      </c>
      <c r="S830" s="7">
        <v>43584.0</v>
      </c>
      <c r="T830" s="3" t="s">
        <v>63</v>
      </c>
      <c r="U830" s="6" t="s">
        <v>352</v>
      </c>
      <c r="V830" s="3" t="s">
        <v>237</v>
      </c>
      <c r="W830" s="3" t="s">
        <v>102</v>
      </c>
    </row>
    <row r="831" ht="15.75" customHeight="1">
      <c r="A831" s="6" t="s">
        <v>2084</v>
      </c>
      <c r="B831" s="3" t="s">
        <v>8179</v>
      </c>
      <c r="C831" s="7">
        <v>26991.0</v>
      </c>
      <c r="D831" s="3" t="s">
        <v>63</v>
      </c>
      <c r="E831" s="3">
        <v>52.0</v>
      </c>
      <c r="F831" s="3" t="s">
        <v>70</v>
      </c>
      <c r="G831" s="6" t="s">
        <v>8180</v>
      </c>
      <c r="H831" s="3" t="s">
        <v>8181</v>
      </c>
      <c r="I831" s="3" t="s">
        <v>8182</v>
      </c>
      <c r="J831" s="3" t="s">
        <v>358</v>
      </c>
      <c r="K831" s="3" t="s">
        <v>360</v>
      </c>
      <c r="L831" s="3"/>
      <c r="M831" s="3" t="s">
        <v>88</v>
      </c>
      <c r="N831" s="6" t="s">
        <v>2086</v>
      </c>
      <c r="O831" s="3" t="s">
        <v>63</v>
      </c>
      <c r="P831" s="3" t="s">
        <v>396</v>
      </c>
      <c r="Q831" s="8">
        <v>1439911.0</v>
      </c>
      <c r="R831" s="3" t="s">
        <v>93</v>
      </c>
      <c r="S831" s="7">
        <v>41159.0</v>
      </c>
      <c r="T831" s="3" t="s">
        <v>63</v>
      </c>
      <c r="U831" s="6" t="s">
        <v>301</v>
      </c>
      <c r="V831" s="3" t="s">
        <v>237</v>
      </c>
      <c r="W831" s="3" t="s">
        <v>102</v>
      </c>
    </row>
    <row r="832" ht="15.75" customHeight="1">
      <c r="A832" s="6" t="s">
        <v>2176</v>
      </c>
      <c r="B832" s="3" t="s">
        <v>8183</v>
      </c>
      <c r="C832" s="7">
        <v>21158.0</v>
      </c>
      <c r="D832" s="3" t="s">
        <v>63</v>
      </c>
      <c r="E832" s="3">
        <v>68.0</v>
      </c>
      <c r="F832" s="3" t="s">
        <v>183</v>
      </c>
      <c r="G832" s="6" t="s">
        <v>8184</v>
      </c>
      <c r="H832" s="3" t="s">
        <v>8185</v>
      </c>
      <c r="I832" s="3" t="s">
        <v>8186</v>
      </c>
      <c r="J832" s="3" t="s">
        <v>271</v>
      </c>
      <c r="K832" s="3" t="s">
        <v>273</v>
      </c>
      <c r="L832" s="6" t="s">
        <v>5481</v>
      </c>
      <c r="M832" s="3" t="s">
        <v>63</v>
      </c>
      <c r="N832" s="6" t="s">
        <v>5482</v>
      </c>
      <c r="O832" s="3" t="s">
        <v>63</v>
      </c>
      <c r="P832" s="3" t="s">
        <v>372</v>
      </c>
      <c r="Q832" s="8">
        <v>556397.0</v>
      </c>
      <c r="R832" s="3" t="s">
        <v>93</v>
      </c>
      <c r="S832" s="7">
        <v>41021.0</v>
      </c>
      <c r="T832" s="3" t="s">
        <v>63</v>
      </c>
      <c r="U832" s="6" t="s">
        <v>284</v>
      </c>
      <c r="V832" s="3" t="s">
        <v>4</v>
      </c>
      <c r="W832" s="3" t="s">
        <v>378</v>
      </c>
    </row>
    <row r="833" ht="15.75" customHeight="1">
      <c r="A833" s="6" t="s">
        <v>3231</v>
      </c>
      <c r="B833" s="3" t="s">
        <v>8187</v>
      </c>
      <c r="C833" s="7">
        <v>31801.0</v>
      </c>
      <c r="D833" s="3" t="s">
        <v>63</v>
      </c>
      <c r="E833" s="3">
        <v>39.0</v>
      </c>
      <c r="F833" s="3" t="s">
        <v>70</v>
      </c>
      <c r="G833" s="6" t="s">
        <v>8188</v>
      </c>
      <c r="H833" s="3" t="s">
        <v>8189</v>
      </c>
      <c r="I833" s="3" t="s">
        <v>8190</v>
      </c>
      <c r="J833" s="3" t="s">
        <v>327</v>
      </c>
      <c r="K833" s="3" t="s">
        <v>169</v>
      </c>
      <c r="L833" s="6" t="s">
        <v>3233</v>
      </c>
      <c r="M833" s="3" t="s">
        <v>63</v>
      </c>
      <c r="N833" s="6" t="s">
        <v>3236</v>
      </c>
      <c r="O833" s="3" t="s">
        <v>63</v>
      </c>
      <c r="P833" s="3" t="s">
        <v>396</v>
      </c>
      <c r="Q833" s="8">
        <v>1175663.0</v>
      </c>
      <c r="R833" s="3" t="s">
        <v>93</v>
      </c>
      <c r="S833" s="7">
        <v>43783.0</v>
      </c>
      <c r="T833" s="3" t="s">
        <v>63</v>
      </c>
      <c r="U833" s="6" t="s">
        <v>266</v>
      </c>
      <c r="V833" s="3" t="s">
        <v>4</v>
      </c>
      <c r="W833" s="3" t="s">
        <v>102</v>
      </c>
    </row>
    <row r="834" ht="15.75" customHeight="1">
      <c r="A834" s="6" t="s">
        <v>779</v>
      </c>
      <c r="B834" s="3" t="s">
        <v>8191</v>
      </c>
      <c r="C834" s="7">
        <v>24902.0</v>
      </c>
      <c r="D834" s="3" t="s">
        <v>63</v>
      </c>
      <c r="E834" s="3">
        <v>58.0</v>
      </c>
      <c r="F834" s="3" t="s">
        <v>70</v>
      </c>
      <c r="G834" s="6" t="s">
        <v>8192</v>
      </c>
      <c r="H834" s="3" t="s">
        <v>8193</v>
      </c>
      <c r="I834" s="3" t="s">
        <v>8194</v>
      </c>
      <c r="J834" s="3" t="s">
        <v>227</v>
      </c>
      <c r="K834" s="3" t="s">
        <v>229</v>
      </c>
      <c r="L834" s="6" t="s">
        <v>5858</v>
      </c>
      <c r="M834" s="3" t="s">
        <v>63</v>
      </c>
      <c r="N834" s="6" t="s">
        <v>5860</v>
      </c>
      <c r="O834" s="3" t="s">
        <v>63</v>
      </c>
      <c r="P834" s="3" t="s">
        <v>127</v>
      </c>
      <c r="Q834" s="8">
        <v>1317316.0</v>
      </c>
      <c r="R834" s="3" t="s">
        <v>93</v>
      </c>
      <c r="S834" s="7">
        <v>42354.0</v>
      </c>
      <c r="T834" s="3" t="s">
        <v>63</v>
      </c>
      <c r="U834" s="6" t="s">
        <v>385</v>
      </c>
      <c r="V834" s="3" t="s">
        <v>4</v>
      </c>
      <c r="W834" s="3" t="s">
        <v>102</v>
      </c>
    </row>
    <row r="835" ht="15.75" customHeight="1">
      <c r="A835" s="6" t="s">
        <v>4326</v>
      </c>
      <c r="B835" s="3" t="s">
        <v>8195</v>
      </c>
      <c r="C835" s="7">
        <v>29871.0</v>
      </c>
      <c r="D835" s="3" t="s">
        <v>63</v>
      </c>
      <c r="E835" s="3">
        <v>44.0</v>
      </c>
      <c r="F835" s="3" t="s">
        <v>183</v>
      </c>
      <c r="G835" s="6" t="s">
        <v>8196</v>
      </c>
      <c r="H835" s="3"/>
      <c r="I835" s="3" t="s">
        <v>8197</v>
      </c>
      <c r="J835" s="3" t="s">
        <v>134</v>
      </c>
      <c r="K835" s="3" t="s">
        <v>137</v>
      </c>
      <c r="L835" s="6" t="s">
        <v>5866</v>
      </c>
      <c r="M835" s="3" t="s">
        <v>63</v>
      </c>
      <c r="N835" s="6" t="s">
        <v>5867</v>
      </c>
      <c r="O835" s="3" t="s">
        <v>63</v>
      </c>
      <c r="P835" s="3" t="s">
        <v>372</v>
      </c>
      <c r="Q835" s="8">
        <v>2145228.0</v>
      </c>
      <c r="R835" s="3" t="s">
        <v>93</v>
      </c>
      <c r="S835" s="7">
        <v>43682.0</v>
      </c>
      <c r="T835" s="3" t="s">
        <v>63</v>
      </c>
      <c r="U835" s="6" t="s">
        <v>136</v>
      </c>
      <c r="V835" s="3" t="s">
        <v>4</v>
      </c>
      <c r="W835" s="3" t="s">
        <v>102</v>
      </c>
    </row>
    <row r="836" ht="15.75" customHeight="1">
      <c r="A836" s="6" t="s">
        <v>3483</v>
      </c>
      <c r="B836" s="3" t="s">
        <v>8198</v>
      </c>
      <c r="C836" s="7">
        <v>21161.0</v>
      </c>
      <c r="D836" s="3" t="s">
        <v>63</v>
      </c>
      <c r="E836" s="3">
        <v>68.0</v>
      </c>
      <c r="F836" s="3" t="s">
        <v>183</v>
      </c>
      <c r="G836" s="6" t="s">
        <v>8199</v>
      </c>
      <c r="H836" s="3" t="s">
        <v>8200</v>
      </c>
      <c r="I836" s="3" t="s">
        <v>8201</v>
      </c>
      <c r="J836" s="3" t="s">
        <v>119</v>
      </c>
      <c r="K836" s="3" t="s">
        <v>121</v>
      </c>
      <c r="L836" s="6" t="s">
        <v>5442</v>
      </c>
      <c r="M836" s="3" t="s">
        <v>63</v>
      </c>
      <c r="N836" s="6" t="s">
        <v>5444</v>
      </c>
      <c r="O836" s="3" t="s">
        <v>63</v>
      </c>
      <c r="P836" s="3" t="s">
        <v>396</v>
      </c>
      <c r="Q836" s="8">
        <v>2045734.0</v>
      </c>
      <c r="R836" s="3" t="s">
        <v>93</v>
      </c>
      <c r="S836" s="7">
        <v>44905.0</v>
      </c>
      <c r="T836" s="3" t="s">
        <v>63</v>
      </c>
      <c r="U836" s="6" t="s">
        <v>146</v>
      </c>
      <c r="V836" s="3" t="s">
        <v>4</v>
      </c>
      <c r="W836" s="3" t="s">
        <v>102</v>
      </c>
    </row>
    <row r="837" ht="15.75" customHeight="1">
      <c r="A837" s="6" t="s">
        <v>2567</v>
      </c>
      <c r="B837" s="3" t="s">
        <v>8202</v>
      </c>
      <c r="C837" s="7">
        <v>24075.0</v>
      </c>
      <c r="D837" s="3" t="s">
        <v>63</v>
      </c>
      <c r="E837" s="3">
        <v>60.0</v>
      </c>
      <c r="F837" s="3" t="s">
        <v>70</v>
      </c>
      <c r="G837" s="6" t="s">
        <v>8203</v>
      </c>
      <c r="H837" s="3" t="s">
        <v>8204</v>
      </c>
      <c r="I837" s="3" t="s">
        <v>8205</v>
      </c>
      <c r="J837" s="3" t="s">
        <v>327</v>
      </c>
      <c r="K837" s="3" t="s">
        <v>169</v>
      </c>
      <c r="L837" s="6" t="s">
        <v>2570</v>
      </c>
      <c r="M837" s="3" t="s">
        <v>63</v>
      </c>
      <c r="N837" s="6" t="s">
        <v>2571</v>
      </c>
      <c r="O837" s="3" t="s">
        <v>63</v>
      </c>
      <c r="P837" s="3" t="s">
        <v>300</v>
      </c>
      <c r="Q837" s="8">
        <v>1448288.0</v>
      </c>
      <c r="R837" s="3" t="s">
        <v>93</v>
      </c>
      <c r="S837" s="7">
        <v>41136.0</v>
      </c>
      <c r="T837" s="3" t="s">
        <v>63</v>
      </c>
      <c r="U837" s="6" t="s">
        <v>179</v>
      </c>
      <c r="V837" s="3" t="s">
        <v>4</v>
      </c>
      <c r="W837" s="3" t="s">
        <v>102</v>
      </c>
    </row>
    <row r="838" ht="15.75" customHeight="1">
      <c r="A838" s="6" t="s">
        <v>1413</v>
      </c>
      <c r="B838" s="3" t="s">
        <v>8206</v>
      </c>
      <c r="C838" s="7">
        <v>20148.0</v>
      </c>
      <c r="D838" s="3" t="s">
        <v>63</v>
      </c>
      <c r="E838" s="3">
        <v>71.0</v>
      </c>
      <c r="F838" s="3" t="s">
        <v>70</v>
      </c>
      <c r="G838" s="6" t="s">
        <v>8207</v>
      </c>
      <c r="H838" s="3" t="s">
        <v>8208</v>
      </c>
      <c r="I838" s="3" t="s">
        <v>8209</v>
      </c>
      <c r="J838" s="3" t="s">
        <v>119</v>
      </c>
      <c r="K838" s="3" t="s">
        <v>121</v>
      </c>
      <c r="L838" s="6" t="s">
        <v>1415</v>
      </c>
      <c r="M838" s="3" t="s">
        <v>63</v>
      </c>
      <c r="N838" s="6" t="s">
        <v>1416</v>
      </c>
      <c r="O838" s="3" t="s">
        <v>63</v>
      </c>
      <c r="P838" s="3" t="s">
        <v>127</v>
      </c>
      <c r="Q838" s="8">
        <v>1682778.0</v>
      </c>
      <c r="R838" s="3" t="s">
        <v>93</v>
      </c>
      <c r="S838" s="7">
        <v>40050.0</v>
      </c>
      <c r="T838" s="3" t="s">
        <v>63</v>
      </c>
      <c r="U838" s="6" t="s">
        <v>163</v>
      </c>
      <c r="V838" s="3" t="s">
        <v>4</v>
      </c>
      <c r="W838" s="3" t="s">
        <v>102</v>
      </c>
    </row>
    <row r="839" ht="15.75" customHeight="1">
      <c r="A839" s="6" t="s">
        <v>4500</v>
      </c>
      <c r="B839" s="3" t="s">
        <v>5135</v>
      </c>
      <c r="C839" s="7">
        <v>27713.0</v>
      </c>
      <c r="D839" s="3" t="s">
        <v>63</v>
      </c>
      <c r="E839" s="3">
        <v>50.0</v>
      </c>
      <c r="F839" s="3" t="s">
        <v>70</v>
      </c>
      <c r="G839" s="6" t="s">
        <v>8210</v>
      </c>
      <c r="H839" s="3" t="s">
        <v>8211</v>
      </c>
      <c r="I839" s="3" t="s">
        <v>8212</v>
      </c>
      <c r="J839" s="3" t="s">
        <v>184</v>
      </c>
      <c r="K839" s="3" t="s">
        <v>187</v>
      </c>
      <c r="L839" s="6" t="s">
        <v>4535</v>
      </c>
      <c r="M839" s="3" t="s">
        <v>63</v>
      </c>
      <c r="N839" s="6" t="s">
        <v>4537</v>
      </c>
      <c r="O839" s="3" t="s">
        <v>63</v>
      </c>
      <c r="P839" s="3" t="s">
        <v>396</v>
      </c>
      <c r="Q839" s="3"/>
      <c r="R839" s="3" t="s">
        <v>258</v>
      </c>
      <c r="S839" s="7">
        <v>41575.0</v>
      </c>
      <c r="T839" s="3" t="s">
        <v>63</v>
      </c>
      <c r="U839" s="6" t="s">
        <v>97</v>
      </c>
      <c r="V839" s="3" t="s">
        <v>4</v>
      </c>
      <c r="W839" s="3" t="s">
        <v>102</v>
      </c>
    </row>
    <row r="840" ht="15.75" customHeight="1">
      <c r="A840" s="6" t="s">
        <v>3742</v>
      </c>
      <c r="B840" s="3" t="s">
        <v>5913</v>
      </c>
      <c r="C840" s="7">
        <v>23784.0</v>
      </c>
      <c r="D840" s="3" t="s">
        <v>63</v>
      </c>
      <c r="E840" s="3">
        <v>61.0</v>
      </c>
      <c r="F840" s="3" t="s">
        <v>183</v>
      </c>
      <c r="G840" s="6" t="s">
        <v>8213</v>
      </c>
      <c r="H840" s="3" t="s">
        <v>5916</v>
      </c>
      <c r="I840" s="3" t="s">
        <v>5918</v>
      </c>
      <c r="J840" s="3" t="s">
        <v>190</v>
      </c>
      <c r="K840" s="3" t="s">
        <v>193</v>
      </c>
      <c r="L840" s="6" t="s">
        <v>3551</v>
      </c>
      <c r="M840" s="3" t="s">
        <v>63</v>
      </c>
      <c r="N840" s="6" t="s">
        <v>3555</v>
      </c>
      <c r="O840" s="3" t="s">
        <v>63</v>
      </c>
      <c r="P840" s="3" t="s">
        <v>160</v>
      </c>
      <c r="Q840" s="8">
        <v>2336316.0</v>
      </c>
      <c r="R840" s="3" t="s">
        <v>93</v>
      </c>
      <c r="S840" s="7">
        <v>42425.0</v>
      </c>
      <c r="T840" s="3" t="s">
        <v>63</v>
      </c>
      <c r="U840" s="6" t="s">
        <v>245</v>
      </c>
      <c r="V840" s="3" t="s">
        <v>4</v>
      </c>
      <c r="W840" s="3" t="s">
        <v>378</v>
      </c>
    </row>
    <row r="841" ht="15.75" customHeight="1">
      <c r="A841" s="6" t="s">
        <v>3322</v>
      </c>
      <c r="B841" s="3" t="s">
        <v>8214</v>
      </c>
      <c r="C841" s="7">
        <v>27219.0</v>
      </c>
      <c r="D841" s="3" t="s">
        <v>63</v>
      </c>
      <c r="E841" s="3">
        <v>52.0</v>
      </c>
      <c r="F841" s="3" t="s">
        <v>183</v>
      </c>
      <c r="G841" s="6" t="s">
        <v>8215</v>
      </c>
      <c r="H841" s="3" t="s">
        <v>8216</v>
      </c>
      <c r="I841" s="3" t="s">
        <v>6938</v>
      </c>
      <c r="J841" s="3" t="s">
        <v>327</v>
      </c>
      <c r="K841" s="3" t="s">
        <v>169</v>
      </c>
      <c r="L841" s="6" t="s">
        <v>3323</v>
      </c>
      <c r="M841" s="3" t="s">
        <v>63</v>
      </c>
      <c r="N841" s="6" t="s">
        <v>3324</v>
      </c>
      <c r="O841" s="3" t="s">
        <v>63</v>
      </c>
      <c r="P841" s="3" t="s">
        <v>396</v>
      </c>
      <c r="Q841" s="8">
        <v>1594465.0</v>
      </c>
      <c r="R841" s="3" t="s">
        <v>93</v>
      </c>
      <c r="S841" s="7">
        <v>43553.0</v>
      </c>
      <c r="T841" s="3" t="s">
        <v>63</v>
      </c>
      <c r="U841" s="6" t="s">
        <v>385</v>
      </c>
      <c r="V841" s="3" t="s">
        <v>4</v>
      </c>
      <c r="W841" s="3" t="s">
        <v>102</v>
      </c>
    </row>
    <row r="842" ht="15.75" customHeight="1">
      <c r="A842" s="6" t="s">
        <v>4058</v>
      </c>
      <c r="B842" s="3" t="s">
        <v>6759</v>
      </c>
      <c r="C842" s="7">
        <v>33418.0</v>
      </c>
      <c r="D842" s="3" t="s">
        <v>63</v>
      </c>
      <c r="E842" s="3">
        <v>35.0</v>
      </c>
      <c r="F842" s="3" t="s">
        <v>70</v>
      </c>
      <c r="G842" s="6" t="s">
        <v>8217</v>
      </c>
      <c r="H842" s="3" t="s">
        <v>8218</v>
      </c>
      <c r="I842" s="3" t="s">
        <v>8219</v>
      </c>
      <c r="J842" s="3" t="s">
        <v>167</v>
      </c>
      <c r="K842" s="3" t="s">
        <v>169</v>
      </c>
      <c r="L842" s="6" t="s">
        <v>4821</v>
      </c>
      <c r="M842" s="3" t="s">
        <v>63</v>
      </c>
      <c r="N842" s="6" t="s">
        <v>4822</v>
      </c>
      <c r="O842" s="3" t="s">
        <v>63</v>
      </c>
      <c r="P842" s="3" t="s">
        <v>127</v>
      </c>
      <c r="Q842" s="8">
        <v>2078538.0</v>
      </c>
      <c r="R842" s="3" t="s">
        <v>93</v>
      </c>
      <c r="S842" s="7">
        <v>38483.0</v>
      </c>
      <c r="T842" s="3" t="s">
        <v>63</v>
      </c>
      <c r="U842" s="6" t="s">
        <v>323</v>
      </c>
      <c r="V842" s="3" t="s">
        <v>4</v>
      </c>
      <c r="W842" s="3" t="s">
        <v>102</v>
      </c>
    </row>
    <row r="843" ht="15.75" customHeight="1">
      <c r="A843" s="6" t="s">
        <v>2362</v>
      </c>
      <c r="B843" s="3" t="s">
        <v>5267</v>
      </c>
      <c r="C843" s="7">
        <v>27519.0</v>
      </c>
      <c r="D843" s="3" t="s">
        <v>63</v>
      </c>
      <c r="E843" s="3">
        <v>51.0</v>
      </c>
      <c r="F843" s="3" t="s">
        <v>70</v>
      </c>
      <c r="G843" s="6" t="s">
        <v>8220</v>
      </c>
      <c r="H843" s="3" t="s">
        <v>8221</v>
      </c>
      <c r="I843" s="3" t="s">
        <v>8222</v>
      </c>
      <c r="J843" s="3" t="s">
        <v>379</v>
      </c>
      <c r="K843" s="3" t="s">
        <v>229</v>
      </c>
      <c r="L843" s="6" t="s">
        <v>2883</v>
      </c>
      <c r="M843" s="3" t="s">
        <v>63</v>
      </c>
      <c r="N843" s="6" t="s">
        <v>2885</v>
      </c>
      <c r="O843" s="3" t="s">
        <v>63</v>
      </c>
      <c r="P843" s="3" t="s">
        <v>372</v>
      </c>
      <c r="Q843" s="3"/>
      <c r="R843" s="3" t="s">
        <v>258</v>
      </c>
      <c r="S843" s="7">
        <v>41604.0</v>
      </c>
      <c r="T843" s="3" t="s">
        <v>63</v>
      </c>
      <c r="U843" s="6" t="s">
        <v>208</v>
      </c>
      <c r="V843" s="3" t="s">
        <v>4</v>
      </c>
      <c r="W843" s="3" t="s">
        <v>102</v>
      </c>
    </row>
    <row r="844" ht="15.75" customHeight="1">
      <c r="A844" s="6" t="s">
        <v>269</v>
      </c>
      <c r="B844" s="3" t="s">
        <v>8223</v>
      </c>
      <c r="C844" s="7">
        <v>35578.0</v>
      </c>
      <c r="D844" s="3" t="s">
        <v>63</v>
      </c>
      <c r="E844" s="3">
        <v>29.0</v>
      </c>
      <c r="F844" s="3" t="s">
        <v>183</v>
      </c>
      <c r="G844" s="6" t="s">
        <v>8224</v>
      </c>
      <c r="H844" s="3" t="s">
        <v>8225</v>
      </c>
      <c r="I844" s="3" t="s">
        <v>7112</v>
      </c>
      <c r="J844" s="3" t="s">
        <v>98</v>
      </c>
      <c r="K844" s="3" t="s">
        <v>101</v>
      </c>
      <c r="L844" s="6" t="s">
        <v>272</v>
      </c>
      <c r="M844" s="3" t="s">
        <v>63</v>
      </c>
      <c r="N844" s="3"/>
      <c r="O844" s="3" t="s">
        <v>88</v>
      </c>
      <c r="P844" s="3" t="s">
        <v>160</v>
      </c>
      <c r="Q844" s="3"/>
      <c r="R844" s="3" t="s">
        <v>258</v>
      </c>
      <c r="S844" s="7">
        <v>45436.0</v>
      </c>
      <c r="T844" s="3" t="s">
        <v>63</v>
      </c>
      <c r="U844" s="6" t="s">
        <v>262</v>
      </c>
      <c r="V844" s="3" t="s">
        <v>4</v>
      </c>
      <c r="W844" s="3" t="s">
        <v>102</v>
      </c>
    </row>
    <row r="845" ht="15.75" customHeight="1">
      <c r="A845" s="6" t="s">
        <v>3271</v>
      </c>
      <c r="B845" s="3" t="s">
        <v>8226</v>
      </c>
      <c r="C845" s="7">
        <v>33987.0</v>
      </c>
      <c r="D845" s="3" t="s">
        <v>63</v>
      </c>
      <c r="E845" s="3">
        <v>33.0</v>
      </c>
      <c r="F845" s="3" t="s">
        <v>183</v>
      </c>
      <c r="G845" s="3"/>
      <c r="H845" s="3" t="s">
        <v>8227</v>
      </c>
      <c r="I845" s="3" t="s">
        <v>8228</v>
      </c>
      <c r="J845" s="3" t="s">
        <v>282</v>
      </c>
      <c r="K845" s="3" t="s">
        <v>229</v>
      </c>
      <c r="L845" s="6" t="s">
        <v>3274</v>
      </c>
      <c r="M845" s="3" t="s">
        <v>63</v>
      </c>
      <c r="N845" s="6" t="s">
        <v>3276</v>
      </c>
      <c r="O845" s="3" t="s">
        <v>63</v>
      </c>
      <c r="P845" s="3" t="s">
        <v>90</v>
      </c>
      <c r="Q845" s="8">
        <v>2005789.0</v>
      </c>
      <c r="R845" s="3" t="s">
        <v>93</v>
      </c>
      <c r="S845" s="7">
        <v>39958.0</v>
      </c>
      <c r="T845" s="3" t="s">
        <v>63</v>
      </c>
      <c r="U845" s="6" t="s">
        <v>97</v>
      </c>
      <c r="V845" s="3" t="s">
        <v>4</v>
      </c>
      <c r="W845" s="3" t="s">
        <v>102</v>
      </c>
    </row>
    <row r="846" ht="15.75" customHeight="1">
      <c r="A846" s="6" t="s">
        <v>1094</v>
      </c>
      <c r="B846" s="3" t="s">
        <v>8229</v>
      </c>
      <c r="C846" s="7">
        <v>32640.0</v>
      </c>
      <c r="D846" s="3" t="s">
        <v>63</v>
      </c>
      <c r="E846" s="3">
        <v>37.0</v>
      </c>
      <c r="F846" s="3" t="s">
        <v>70</v>
      </c>
      <c r="G846" s="6" t="s">
        <v>8230</v>
      </c>
      <c r="H846" s="3" t="s">
        <v>8231</v>
      </c>
      <c r="I846" s="3" t="s">
        <v>5978</v>
      </c>
      <c r="J846" s="3" t="s">
        <v>358</v>
      </c>
      <c r="K846" s="3" t="s">
        <v>360</v>
      </c>
      <c r="L846" s="6" t="s">
        <v>4333</v>
      </c>
      <c r="M846" s="3" t="s">
        <v>63</v>
      </c>
      <c r="N846" s="6" t="s">
        <v>4335</v>
      </c>
      <c r="O846" s="3" t="s">
        <v>63</v>
      </c>
      <c r="P846" s="3" t="s">
        <v>372</v>
      </c>
      <c r="Q846" s="8">
        <v>268159.0</v>
      </c>
      <c r="R846" s="3" t="s">
        <v>93</v>
      </c>
      <c r="S846" s="7">
        <v>42036.0</v>
      </c>
      <c r="T846" s="3" t="s">
        <v>63</v>
      </c>
      <c r="U846" s="6" t="s">
        <v>323</v>
      </c>
      <c r="V846" s="3" t="s">
        <v>237</v>
      </c>
      <c r="W846" s="3" t="s">
        <v>102</v>
      </c>
    </row>
    <row r="847" ht="15.75" customHeight="1">
      <c r="A847" s="6" t="s">
        <v>3057</v>
      </c>
      <c r="B847" s="3" t="s">
        <v>8232</v>
      </c>
      <c r="C847" s="7">
        <v>34199.0</v>
      </c>
      <c r="D847" s="3" t="s">
        <v>63</v>
      </c>
      <c r="E847" s="3">
        <v>32.0</v>
      </c>
      <c r="F847" s="3" t="s">
        <v>183</v>
      </c>
      <c r="G847" s="6" t="s">
        <v>8233</v>
      </c>
      <c r="H847" s="3" t="s">
        <v>8234</v>
      </c>
      <c r="I847" s="3" t="s">
        <v>8235</v>
      </c>
      <c r="J847" s="3" t="s">
        <v>227</v>
      </c>
      <c r="K847" s="3" t="s">
        <v>229</v>
      </c>
      <c r="L847" s="6" t="s">
        <v>5726</v>
      </c>
      <c r="M847" s="3" t="s">
        <v>63</v>
      </c>
      <c r="N847" s="6" t="s">
        <v>5727</v>
      </c>
      <c r="O847" s="3" t="s">
        <v>63</v>
      </c>
      <c r="P847" s="3" t="s">
        <v>90</v>
      </c>
      <c r="Q847" s="3"/>
      <c r="R847" s="3" t="s">
        <v>258</v>
      </c>
      <c r="S847" s="7">
        <v>44974.0</v>
      </c>
      <c r="T847" s="3" t="s">
        <v>63</v>
      </c>
      <c r="U847" s="6" t="s">
        <v>234</v>
      </c>
      <c r="V847" s="3" t="s">
        <v>4</v>
      </c>
      <c r="W847" s="3" t="s">
        <v>102</v>
      </c>
    </row>
    <row r="848" ht="15.75" customHeight="1">
      <c r="A848" s="6" t="s">
        <v>2618</v>
      </c>
      <c r="B848" s="3" t="s">
        <v>8236</v>
      </c>
      <c r="C848" s="7">
        <v>22564.0</v>
      </c>
      <c r="D848" s="3" t="s">
        <v>63</v>
      </c>
      <c r="E848" s="3">
        <v>64.0</v>
      </c>
      <c r="F848" s="3" t="s">
        <v>70</v>
      </c>
      <c r="G848" s="6" t="s">
        <v>8237</v>
      </c>
      <c r="H848" s="3"/>
      <c r="I848" s="3" t="s">
        <v>8238</v>
      </c>
      <c r="J848" s="3" t="s">
        <v>379</v>
      </c>
      <c r="K848" s="3" t="s">
        <v>229</v>
      </c>
      <c r="L848" s="6" t="s">
        <v>8239</v>
      </c>
      <c r="M848" s="3" t="s">
        <v>63</v>
      </c>
      <c r="N848" s="6" t="s">
        <v>8240</v>
      </c>
      <c r="O848" s="3" t="s">
        <v>63</v>
      </c>
      <c r="P848" s="3" t="s">
        <v>202</v>
      </c>
      <c r="Q848" s="8">
        <v>2076184.0</v>
      </c>
      <c r="R848" s="3" t="s">
        <v>93</v>
      </c>
      <c r="S848" s="7">
        <v>40790.0</v>
      </c>
      <c r="T848" s="3" t="s">
        <v>63</v>
      </c>
      <c r="U848" s="6" t="s">
        <v>288</v>
      </c>
      <c r="V848" s="3" t="s">
        <v>4</v>
      </c>
      <c r="W848" s="3" t="s">
        <v>102</v>
      </c>
    </row>
    <row r="849" ht="15.75" customHeight="1">
      <c r="A849" s="6" t="s">
        <v>3349</v>
      </c>
      <c r="B849" s="3" t="s">
        <v>8241</v>
      </c>
      <c r="C849" s="7">
        <v>20598.0</v>
      </c>
      <c r="D849" s="3" t="s">
        <v>63</v>
      </c>
      <c r="E849" s="3">
        <v>70.0</v>
      </c>
      <c r="F849" s="3" t="s">
        <v>70</v>
      </c>
      <c r="G849" s="6" t="s">
        <v>1049</v>
      </c>
      <c r="H849" s="3" t="s">
        <v>8242</v>
      </c>
      <c r="I849" s="3" t="s">
        <v>3128</v>
      </c>
      <c r="J849" s="3" t="s">
        <v>250</v>
      </c>
      <c r="K849" s="3" t="s">
        <v>252</v>
      </c>
      <c r="L849" s="6" t="s">
        <v>5377</v>
      </c>
      <c r="M849" s="3" t="s">
        <v>63</v>
      </c>
      <c r="N849" s="6" t="s">
        <v>5378</v>
      </c>
      <c r="O849" s="3" t="s">
        <v>63</v>
      </c>
      <c r="P849" s="3" t="s">
        <v>127</v>
      </c>
      <c r="Q849" s="3"/>
      <c r="R849" s="3" t="s">
        <v>258</v>
      </c>
      <c r="S849" s="7">
        <v>43768.0</v>
      </c>
      <c r="T849" s="3" t="s">
        <v>63</v>
      </c>
      <c r="U849" s="6" t="s">
        <v>311</v>
      </c>
      <c r="V849" s="3" t="s">
        <v>4</v>
      </c>
      <c r="W849" s="3" t="s">
        <v>102</v>
      </c>
    </row>
    <row r="850" ht="15.75" customHeight="1">
      <c r="A850" s="6" t="s">
        <v>4185</v>
      </c>
      <c r="B850" s="3" t="s">
        <v>8243</v>
      </c>
      <c r="C850" s="7">
        <v>22832.0</v>
      </c>
      <c r="D850" s="3" t="s">
        <v>63</v>
      </c>
      <c r="E850" s="3">
        <v>64.0</v>
      </c>
      <c r="F850" s="3" t="s">
        <v>70</v>
      </c>
      <c r="G850" s="6" t="s">
        <v>8244</v>
      </c>
      <c r="H850" s="3" t="s">
        <v>8245</v>
      </c>
      <c r="I850" s="3" t="s">
        <v>8246</v>
      </c>
      <c r="J850" s="3" t="s">
        <v>201</v>
      </c>
      <c r="K850" s="3" t="s">
        <v>203</v>
      </c>
      <c r="L850" s="6" t="s">
        <v>4307</v>
      </c>
      <c r="M850" s="3" t="s">
        <v>63</v>
      </c>
      <c r="N850" s="6" t="s">
        <v>4309</v>
      </c>
      <c r="O850" s="3" t="s">
        <v>63</v>
      </c>
      <c r="P850" s="3" t="s">
        <v>202</v>
      </c>
      <c r="Q850" s="8">
        <v>507052.0</v>
      </c>
      <c r="R850" s="3" t="s">
        <v>93</v>
      </c>
      <c r="S850" s="7">
        <v>43439.0</v>
      </c>
      <c r="T850" s="3" t="s">
        <v>63</v>
      </c>
      <c r="U850" s="6" t="s">
        <v>80</v>
      </c>
      <c r="V850" s="3" t="s">
        <v>4</v>
      </c>
      <c r="W850" s="3" t="s">
        <v>102</v>
      </c>
    </row>
    <row r="851" ht="15.75" customHeight="1">
      <c r="A851" s="6" t="s">
        <v>2441</v>
      </c>
      <c r="B851" s="3" t="s">
        <v>8247</v>
      </c>
      <c r="C851" s="7">
        <v>28044.0</v>
      </c>
      <c r="D851" s="3" t="s">
        <v>63</v>
      </c>
      <c r="E851" s="3">
        <v>49.0</v>
      </c>
      <c r="F851" s="3" t="s">
        <v>183</v>
      </c>
      <c r="G851" s="6" t="s">
        <v>8248</v>
      </c>
      <c r="H851" s="3" t="s">
        <v>8249</v>
      </c>
      <c r="I851" s="3" t="s">
        <v>8250</v>
      </c>
      <c r="J851" s="3" t="s">
        <v>213</v>
      </c>
      <c r="K851" s="3" t="s">
        <v>67</v>
      </c>
      <c r="L851" s="6" t="s">
        <v>2746</v>
      </c>
      <c r="M851" s="3" t="s">
        <v>63</v>
      </c>
      <c r="N851" s="6" t="s">
        <v>2747</v>
      </c>
      <c r="O851" s="3" t="s">
        <v>63</v>
      </c>
      <c r="P851" s="3" t="s">
        <v>324</v>
      </c>
      <c r="Q851" s="3"/>
      <c r="R851" s="3" t="s">
        <v>258</v>
      </c>
      <c r="S851" s="7">
        <v>39643.0</v>
      </c>
      <c r="T851" s="3" t="s">
        <v>63</v>
      </c>
      <c r="U851" s="6" t="s">
        <v>136</v>
      </c>
      <c r="V851" s="3" t="s">
        <v>4</v>
      </c>
      <c r="W851" s="3" t="s">
        <v>102</v>
      </c>
    </row>
    <row r="852" ht="15.75" customHeight="1">
      <c r="A852" s="6" t="s">
        <v>440</v>
      </c>
      <c r="B852" s="3" t="s">
        <v>8251</v>
      </c>
      <c r="C852" s="7">
        <v>38465.0</v>
      </c>
      <c r="D852" s="3" t="s">
        <v>63</v>
      </c>
      <c r="E852" s="3">
        <v>21.0</v>
      </c>
      <c r="F852" s="3" t="s">
        <v>70</v>
      </c>
      <c r="G852" s="6" t="s">
        <v>8252</v>
      </c>
      <c r="H852" s="3"/>
      <c r="I852" s="3" t="s">
        <v>8253</v>
      </c>
      <c r="J852" s="3" t="s">
        <v>167</v>
      </c>
      <c r="K852" s="3" t="s">
        <v>169</v>
      </c>
      <c r="L852" s="6" t="s">
        <v>441</v>
      </c>
      <c r="M852" s="3" t="s">
        <v>63</v>
      </c>
      <c r="N852" s="6" t="s">
        <v>443</v>
      </c>
      <c r="O852" s="3" t="s">
        <v>63</v>
      </c>
      <c r="P852" s="3" t="s">
        <v>396</v>
      </c>
      <c r="Q852" s="8">
        <v>1616113.0</v>
      </c>
      <c r="R852" s="3" t="s">
        <v>93</v>
      </c>
      <c r="S852" s="7">
        <v>41011.0</v>
      </c>
      <c r="T852" s="3" t="s">
        <v>63</v>
      </c>
      <c r="U852" s="6" t="s">
        <v>333</v>
      </c>
      <c r="V852" s="3" t="s">
        <v>4</v>
      </c>
      <c r="W852" s="3" t="s">
        <v>102</v>
      </c>
    </row>
    <row r="853" ht="15.75" customHeight="1">
      <c r="A853" s="6" t="s">
        <v>1565</v>
      </c>
      <c r="B853" s="3" t="s">
        <v>8254</v>
      </c>
      <c r="C853" s="7">
        <v>36642.0</v>
      </c>
      <c r="D853" s="3" t="s">
        <v>63</v>
      </c>
      <c r="E853" s="3">
        <v>26.0</v>
      </c>
      <c r="F853" s="3" t="s">
        <v>183</v>
      </c>
      <c r="G853" s="6" t="s">
        <v>1049</v>
      </c>
      <c r="H853" s="3" t="s">
        <v>8255</v>
      </c>
      <c r="I853" s="3" t="s">
        <v>8256</v>
      </c>
      <c r="J853" s="3" t="s">
        <v>327</v>
      </c>
      <c r="K853" s="3" t="s">
        <v>169</v>
      </c>
      <c r="L853" s="6" t="s">
        <v>2100</v>
      </c>
      <c r="M853" s="3" t="s">
        <v>63</v>
      </c>
      <c r="N853" s="6" t="s">
        <v>2103</v>
      </c>
      <c r="O853" s="3" t="s">
        <v>63</v>
      </c>
      <c r="P853" s="3" t="s">
        <v>127</v>
      </c>
      <c r="Q853" s="3"/>
      <c r="R853" s="3" t="s">
        <v>258</v>
      </c>
      <c r="S853" s="7">
        <v>44688.0</v>
      </c>
      <c r="T853" s="3" t="s">
        <v>63</v>
      </c>
      <c r="U853" s="6" t="s">
        <v>288</v>
      </c>
      <c r="V853" s="3" t="s">
        <v>4</v>
      </c>
      <c r="W853" s="3" t="s">
        <v>102</v>
      </c>
    </row>
    <row r="854" ht="15.75" customHeight="1">
      <c r="A854" s="6" t="s">
        <v>1014</v>
      </c>
      <c r="B854" s="3" t="s">
        <v>8257</v>
      </c>
      <c r="C854" s="7">
        <v>27215.0</v>
      </c>
      <c r="D854" s="3" t="s">
        <v>63</v>
      </c>
      <c r="E854" s="3">
        <v>52.0</v>
      </c>
      <c r="F854" s="3" t="s">
        <v>70</v>
      </c>
      <c r="G854" s="6" t="s">
        <v>8258</v>
      </c>
      <c r="H854" s="3" t="s">
        <v>8259</v>
      </c>
      <c r="I854" s="3" t="s">
        <v>3253</v>
      </c>
      <c r="J854" s="3" t="s">
        <v>271</v>
      </c>
      <c r="K854" s="3" t="s">
        <v>273</v>
      </c>
      <c r="L854" s="6" t="s">
        <v>5308</v>
      </c>
      <c r="M854" s="3" t="s">
        <v>63</v>
      </c>
      <c r="N854" s="6" t="s">
        <v>5309</v>
      </c>
      <c r="O854" s="3" t="s">
        <v>63</v>
      </c>
      <c r="P854" s="3" t="s">
        <v>372</v>
      </c>
      <c r="Q854" s="3"/>
      <c r="R854" s="3" t="s">
        <v>258</v>
      </c>
      <c r="S854" s="7">
        <v>42810.0</v>
      </c>
      <c r="T854" s="3" t="s">
        <v>63</v>
      </c>
      <c r="U854" s="6" t="s">
        <v>352</v>
      </c>
      <c r="V854" s="3" t="s">
        <v>4</v>
      </c>
      <c r="W854" s="3" t="s">
        <v>102</v>
      </c>
    </row>
    <row r="855" ht="15.75" customHeight="1">
      <c r="A855" s="6" t="s">
        <v>497</v>
      </c>
      <c r="B855" s="3" t="s">
        <v>8260</v>
      </c>
      <c r="C855" s="7">
        <v>30367.0</v>
      </c>
      <c r="D855" s="3" t="s">
        <v>63</v>
      </c>
      <c r="E855" s="3">
        <v>43.0</v>
      </c>
      <c r="F855" s="3" t="s">
        <v>70</v>
      </c>
      <c r="G855" s="6" t="s">
        <v>8261</v>
      </c>
      <c r="H855" s="3" t="s">
        <v>8262</v>
      </c>
      <c r="I855" s="3" t="s">
        <v>8263</v>
      </c>
      <c r="J855" s="3" t="s">
        <v>349</v>
      </c>
      <c r="K855" s="3" t="s">
        <v>45</v>
      </c>
      <c r="L855" s="6" t="s">
        <v>498</v>
      </c>
      <c r="M855" s="3" t="s">
        <v>63</v>
      </c>
      <c r="N855" s="6" t="s">
        <v>501</v>
      </c>
      <c r="O855" s="3" t="s">
        <v>63</v>
      </c>
      <c r="P855" s="3" t="s">
        <v>127</v>
      </c>
      <c r="Q855" s="8">
        <v>374005.0</v>
      </c>
      <c r="R855" s="3" t="s">
        <v>93</v>
      </c>
      <c r="S855" s="7">
        <v>39936.0</v>
      </c>
      <c r="T855" s="3" t="s">
        <v>63</v>
      </c>
      <c r="U855" s="6" t="s">
        <v>311</v>
      </c>
      <c r="V855" s="3" t="s">
        <v>4</v>
      </c>
      <c r="W855" s="3" t="s">
        <v>102</v>
      </c>
    </row>
    <row r="856" ht="15.75" customHeight="1">
      <c r="A856" s="6" t="s">
        <v>2038</v>
      </c>
      <c r="B856" s="3" t="s">
        <v>8264</v>
      </c>
      <c r="C856" s="7">
        <v>25399.0</v>
      </c>
      <c r="D856" s="3" t="s">
        <v>63</v>
      </c>
      <c r="E856" s="3">
        <v>57.0</v>
      </c>
      <c r="F856" s="3" t="s">
        <v>183</v>
      </c>
      <c r="G856" s="6" t="s">
        <v>8265</v>
      </c>
      <c r="H856" s="3" t="s">
        <v>8266</v>
      </c>
      <c r="I856" s="3" t="s">
        <v>8267</v>
      </c>
      <c r="J856" s="3" t="s">
        <v>184</v>
      </c>
      <c r="K856" s="3" t="s">
        <v>187</v>
      </c>
      <c r="L856" s="6" t="s">
        <v>5313</v>
      </c>
      <c r="M856" s="3" t="s">
        <v>63</v>
      </c>
      <c r="N856" s="6" t="s">
        <v>5314</v>
      </c>
      <c r="O856" s="3" t="s">
        <v>63</v>
      </c>
      <c r="P856" s="3" t="s">
        <v>396</v>
      </c>
      <c r="Q856" s="3"/>
      <c r="R856" s="3" t="s">
        <v>258</v>
      </c>
      <c r="S856" s="7">
        <v>43513.0</v>
      </c>
      <c r="T856" s="3" t="s">
        <v>63</v>
      </c>
      <c r="U856" s="6" t="s">
        <v>397</v>
      </c>
      <c r="V856" s="3" t="s">
        <v>4</v>
      </c>
      <c r="W856" s="3" t="s">
        <v>102</v>
      </c>
    </row>
    <row r="857" ht="15.75" customHeight="1">
      <c r="A857" s="6" t="s">
        <v>2653</v>
      </c>
      <c r="B857" s="3" t="s">
        <v>8268</v>
      </c>
      <c r="C857" s="7">
        <v>36505.0</v>
      </c>
      <c r="D857" s="3" t="s">
        <v>63</v>
      </c>
      <c r="E857" s="3">
        <v>26.0</v>
      </c>
      <c r="F857" s="3" t="s">
        <v>183</v>
      </c>
      <c r="G857" s="6" t="s">
        <v>8269</v>
      </c>
      <c r="H857" s="3" t="s">
        <v>8270</v>
      </c>
      <c r="I857" s="3" t="s">
        <v>8271</v>
      </c>
      <c r="J857" s="3" t="s">
        <v>114</v>
      </c>
      <c r="K857" s="3" t="s">
        <v>118</v>
      </c>
      <c r="L857" s="6" t="s">
        <v>2657</v>
      </c>
      <c r="M857" s="3" t="s">
        <v>63</v>
      </c>
      <c r="N857" s="6" t="s">
        <v>2659</v>
      </c>
      <c r="O857" s="3" t="s">
        <v>63</v>
      </c>
      <c r="P857" s="3" t="s">
        <v>396</v>
      </c>
      <c r="Q857" s="3"/>
      <c r="R857" s="3" t="s">
        <v>258</v>
      </c>
      <c r="S857" s="7">
        <v>45598.0</v>
      </c>
      <c r="T857" s="3" t="s">
        <v>63</v>
      </c>
      <c r="U857" s="6" t="s">
        <v>197</v>
      </c>
      <c r="V857" s="3" t="s">
        <v>4</v>
      </c>
      <c r="W857" s="3" t="s">
        <v>102</v>
      </c>
    </row>
    <row r="858" ht="15.75" customHeight="1">
      <c r="A858" s="6" t="s">
        <v>3883</v>
      </c>
      <c r="B858" s="3" t="s">
        <v>8272</v>
      </c>
      <c r="C858" s="7">
        <v>28779.0</v>
      </c>
      <c r="D858" s="3" t="s">
        <v>63</v>
      </c>
      <c r="E858" s="3">
        <v>47.0</v>
      </c>
      <c r="F858" s="3" t="s">
        <v>70</v>
      </c>
      <c r="G858" s="6" t="s">
        <v>8273</v>
      </c>
      <c r="H858" s="3" t="s">
        <v>8274</v>
      </c>
      <c r="I858" s="3" t="s">
        <v>8275</v>
      </c>
      <c r="J858" s="3" t="s">
        <v>8276</v>
      </c>
      <c r="K858" s="3" t="s">
        <v>169</v>
      </c>
      <c r="L858" s="3"/>
      <c r="M858" s="3" t="s">
        <v>88</v>
      </c>
      <c r="N858" s="6" t="s">
        <v>3884</v>
      </c>
      <c r="O858" s="3" t="s">
        <v>63</v>
      </c>
      <c r="P858" s="3" t="s">
        <v>396</v>
      </c>
      <c r="Q858" s="3"/>
      <c r="R858" s="3" t="s">
        <v>258</v>
      </c>
      <c r="S858" s="7">
        <v>45719.0</v>
      </c>
      <c r="T858" s="3" t="s">
        <v>63</v>
      </c>
      <c r="U858" s="6" t="s">
        <v>333</v>
      </c>
      <c r="V858" s="3" t="s">
        <v>237</v>
      </c>
      <c r="W858" s="3" t="s">
        <v>102</v>
      </c>
    </row>
    <row r="859" ht="15.75" customHeight="1">
      <c r="A859" s="6" t="s">
        <v>4490</v>
      </c>
      <c r="B859" s="3" t="s">
        <v>8277</v>
      </c>
      <c r="C859" s="7">
        <v>21960.0</v>
      </c>
      <c r="D859" s="3" t="s">
        <v>63</v>
      </c>
      <c r="E859" s="3">
        <v>66.0</v>
      </c>
      <c r="F859" s="3" t="s">
        <v>183</v>
      </c>
      <c r="G859" s="6" t="s">
        <v>8278</v>
      </c>
      <c r="H859" s="3" t="s">
        <v>8279</v>
      </c>
      <c r="I859" s="3" t="s">
        <v>8280</v>
      </c>
      <c r="J859" s="3" t="s">
        <v>358</v>
      </c>
      <c r="K859" s="3" t="s">
        <v>360</v>
      </c>
      <c r="L859" s="6" t="s">
        <v>6341</v>
      </c>
      <c r="M859" s="3" t="s">
        <v>63</v>
      </c>
      <c r="N859" s="6" t="s">
        <v>6344</v>
      </c>
      <c r="O859" s="3" t="s">
        <v>63</v>
      </c>
      <c r="P859" s="3" t="s">
        <v>372</v>
      </c>
      <c r="Q859" s="3"/>
      <c r="R859" s="3" t="s">
        <v>258</v>
      </c>
      <c r="S859" s="7">
        <v>40963.0</v>
      </c>
      <c r="T859" s="3" t="s">
        <v>63</v>
      </c>
      <c r="U859" s="6" t="s">
        <v>397</v>
      </c>
      <c r="V859" s="3" t="s">
        <v>4</v>
      </c>
      <c r="W859" s="3" t="s">
        <v>102</v>
      </c>
    </row>
    <row r="860" ht="15.75" customHeight="1">
      <c r="A860" s="6" t="s">
        <v>2091</v>
      </c>
      <c r="B860" s="3" t="s">
        <v>8281</v>
      </c>
      <c r="C860" s="7">
        <v>37703.0</v>
      </c>
      <c r="D860" s="3" t="s">
        <v>63</v>
      </c>
      <c r="E860" s="3">
        <v>23.0</v>
      </c>
      <c r="F860" s="3" t="s">
        <v>183</v>
      </c>
      <c r="G860" s="6" t="s">
        <v>8282</v>
      </c>
      <c r="H860" s="3" t="s">
        <v>8283</v>
      </c>
      <c r="I860" s="3" t="s">
        <v>8284</v>
      </c>
      <c r="J860" s="3" t="s">
        <v>79</v>
      </c>
      <c r="K860" s="3" t="s">
        <v>81</v>
      </c>
      <c r="L860" s="6" t="s">
        <v>5600</v>
      </c>
      <c r="M860" s="3" t="s">
        <v>63</v>
      </c>
      <c r="N860" s="6" t="s">
        <v>5601</v>
      </c>
      <c r="O860" s="3" t="s">
        <v>63</v>
      </c>
      <c r="P860" s="3" t="s">
        <v>396</v>
      </c>
      <c r="Q860" s="3"/>
      <c r="R860" s="3" t="s">
        <v>258</v>
      </c>
      <c r="S860" s="7">
        <v>40295.0</v>
      </c>
      <c r="T860" s="3" t="s">
        <v>63</v>
      </c>
      <c r="U860" s="6" t="s">
        <v>146</v>
      </c>
      <c r="V860" s="3" t="s">
        <v>4</v>
      </c>
      <c r="W860" s="3" t="s">
        <v>102</v>
      </c>
    </row>
    <row r="861" ht="15.75" customHeight="1">
      <c r="A861" s="6" t="s">
        <v>2211</v>
      </c>
      <c r="B861" s="3" t="s">
        <v>8285</v>
      </c>
      <c r="C861" s="7">
        <v>26915.0</v>
      </c>
      <c r="D861" s="3" t="s">
        <v>63</v>
      </c>
      <c r="E861" s="3">
        <v>52.0</v>
      </c>
      <c r="F861" s="3" t="s">
        <v>70</v>
      </c>
      <c r="G861" s="6" t="s">
        <v>8286</v>
      </c>
      <c r="H861" s="3" t="s">
        <v>8287</v>
      </c>
      <c r="I861" s="3" t="s">
        <v>8288</v>
      </c>
      <c r="J861" s="3" t="s">
        <v>327</v>
      </c>
      <c r="K861" s="3" t="s">
        <v>169</v>
      </c>
      <c r="L861" s="6" t="s">
        <v>4065</v>
      </c>
      <c r="M861" s="3" t="s">
        <v>63</v>
      </c>
      <c r="N861" s="6" t="s">
        <v>4067</v>
      </c>
      <c r="O861" s="3" t="s">
        <v>63</v>
      </c>
      <c r="P861" s="3" t="s">
        <v>160</v>
      </c>
      <c r="Q861" s="8">
        <v>1756546.0</v>
      </c>
      <c r="R861" s="3" t="s">
        <v>93</v>
      </c>
      <c r="S861" s="7">
        <v>40139.0</v>
      </c>
      <c r="T861" s="3" t="s">
        <v>63</v>
      </c>
      <c r="U861" s="6" t="s">
        <v>80</v>
      </c>
      <c r="V861" s="3" t="s">
        <v>4</v>
      </c>
      <c r="W861" s="3" t="s">
        <v>102</v>
      </c>
    </row>
    <row r="862" ht="15.75" customHeight="1">
      <c r="A862" s="6" t="s">
        <v>2337</v>
      </c>
      <c r="B862" s="3" t="s">
        <v>8289</v>
      </c>
      <c r="C862" s="7">
        <v>21946.0</v>
      </c>
      <c r="D862" s="3" t="s">
        <v>63</v>
      </c>
      <c r="E862" s="3">
        <v>66.0</v>
      </c>
      <c r="F862" s="3" t="s">
        <v>183</v>
      </c>
      <c r="G862" s="6" t="s">
        <v>8290</v>
      </c>
      <c r="H862" s="3" t="s">
        <v>8291</v>
      </c>
      <c r="I862" s="3" t="s">
        <v>8292</v>
      </c>
      <c r="J862" s="3" t="s">
        <v>358</v>
      </c>
      <c r="K862" s="3" t="s">
        <v>360</v>
      </c>
      <c r="L862" s="6" t="s">
        <v>2338</v>
      </c>
      <c r="M862" s="3" t="s">
        <v>63</v>
      </c>
      <c r="N862" s="3"/>
      <c r="O862" s="3" t="s">
        <v>88</v>
      </c>
      <c r="P862" s="3" t="s">
        <v>372</v>
      </c>
      <c r="Q862" s="8">
        <v>1236087.0</v>
      </c>
      <c r="R862" s="3" t="s">
        <v>93</v>
      </c>
      <c r="S862" s="7">
        <v>44330.0</v>
      </c>
      <c r="T862" s="3" t="s">
        <v>63</v>
      </c>
      <c r="U862" s="6" t="s">
        <v>385</v>
      </c>
      <c r="V862" s="3" t="s">
        <v>237</v>
      </c>
      <c r="W862" s="3" t="s">
        <v>102</v>
      </c>
    </row>
    <row r="863" ht="15.75" customHeight="1">
      <c r="A863" s="6" t="s">
        <v>6215</v>
      </c>
      <c r="B863" s="3" t="s">
        <v>8293</v>
      </c>
      <c r="C863" s="7">
        <v>47404.0</v>
      </c>
      <c r="D863" s="3" t="s">
        <v>1155</v>
      </c>
      <c r="E863" s="3"/>
      <c r="F863" s="3" t="s">
        <v>70</v>
      </c>
      <c r="G863" s="6" t="s">
        <v>8294</v>
      </c>
      <c r="H863" s="3" t="s">
        <v>8295</v>
      </c>
      <c r="I863" s="3" t="s">
        <v>8296</v>
      </c>
      <c r="J863" s="3" t="s">
        <v>98</v>
      </c>
      <c r="K863" s="3" t="s">
        <v>101</v>
      </c>
      <c r="L863" s="6" t="s">
        <v>6216</v>
      </c>
      <c r="M863" s="3" t="s">
        <v>63</v>
      </c>
      <c r="N863" s="3"/>
      <c r="O863" s="3" t="s">
        <v>88</v>
      </c>
      <c r="P863" s="3" t="s">
        <v>160</v>
      </c>
      <c r="Q863" s="3"/>
      <c r="R863" s="3" t="s">
        <v>258</v>
      </c>
      <c r="S863" s="7">
        <v>40255.0</v>
      </c>
      <c r="T863" s="3" t="s">
        <v>1178</v>
      </c>
      <c r="U863" s="6" t="s">
        <v>109</v>
      </c>
      <c r="V863" s="3" t="s">
        <v>237</v>
      </c>
      <c r="W863" s="3" t="s">
        <v>102</v>
      </c>
    </row>
    <row r="864" ht="15.75" customHeight="1">
      <c r="A864" s="6" t="s">
        <v>4825</v>
      </c>
      <c r="B864" s="3" t="s">
        <v>8297</v>
      </c>
      <c r="C864" s="7">
        <v>22042.0</v>
      </c>
      <c r="D864" s="3" t="s">
        <v>63</v>
      </c>
      <c r="E864" s="3">
        <v>66.0</v>
      </c>
      <c r="F864" s="3" t="s">
        <v>183</v>
      </c>
      <c r="G864" s="6" t="s">
        <v>8298</v>
      </c>
      <c r="H864" s="3" t="s">
        <v>8299</v>
      </c>
      <c r="I864" s="3" t="s">
        <v>8300</v>
      </c>
      <c r="J864" s="3" t="s">
        <v>327</v>
      </c>
      <c r="K864" s="3" t="s">
        <v>169</v>
      </c>
      <c r="L864" s="6" t="s">
        <v>4826</v>
      </c>
      <c r="M864" s="3" t="s">
        <v>63</v>
      </c>
      <c r="N864" s="6" t="s">
        <v>4828</v>
      </c>
      <c r="O864" s="3" t="s">
        <v>63</v>
      </c>
      <c r="P864" s="3" t="s">
        <v>396</v>
      </c>
      <c r="Q864" s="3"/>
      <c r="R864" s="3" t="s">
        <v>258</v>
      </c>
      <c r="S864" s="7">
        <v>43493.0</v>
      </c>
      <c r="T864" s="3" t="s">
        <v>63</v>
      </c>
      <c r="U864" s="6" t="s">
        <v>277</v>
      </c>
      <c r="V864" s="3" t="s">
        <v>237</v>
      </c>
      <c r="W864" s="3" t="s">
        <v>102</v>
      </c>
    </row>
    <row r="865" ht="15.75" customHeight="1">
      <c r="A865" s="6" t="s">
        <v>3735</v>
      </c>
      <c r="B865" s="3" t="s">
        <v>7055</v>
      </c>
      <c r="C865" s="7">
        <v>47303.0</v>
      </c>
      <c r="D865" s="3" t="s">
        <v>1155</v>
      </c>
      <c r="E865" s="3"/>
      <c r="F865" s="3" t="s">
        <v>183</v>
      </c>
      <c r="G865" s="6" t="s">
        <v>8301</v>
      </c>
      <c r="H865" s="3" t="s">
        <v>8302</v>
      </c>
      <c r="I865" s="3" t="s">
        <v>8303</v>
      </c>
      <c r="J865" s="3" t="s">
        <v>227</v>
      </c>
      <c r="K865" s="3" t="s">
        <v>229</v>
      </c>
      <c r="L865" s="6" t="s">
        <v>3763</v>
      </c>
      <c r="M865" s="3" t="s">
        <v>63</v>
      </c>
      <c r="N865" s="3"/>
      <c r="O865" s="3" t="s">
        <v>88</v>
      </c>
      <c r="P865" s="3" t="s">
        <v>396</v>
      </c>
      <c r="Q865" s="3"/>
      <c r="R865" s="3" t="s">
        <v>258</v>
      </c>
      <c r="S865" s="7">
        <v>38608.0</v>
      </c>
      <c r="T865" s="3" t="s">
        <v>1178</v>
      </c>
      <c r="U865" s="6" t="s">
        <v>323</v>
      </c>
      <c r="V865" s="3" t="s">
        <v>4</v>
      </c>
      <c r="W865" s="3" t="s">
        <v>102</v>
      </c>
    </row>
    <row r="866" ht="15.75" customHeight="1">
      <c r="A866" s="6" t="s">
        <v>2342</v>
      </c>
      <c r="B866" s="3" t="s">
        <v>8304</v>
      </c>
      <c r="C866" s="7">
        <v>22895.0</v>
      </c>
      <c r="D866" s="3" t="s">
        <v>63</v>
      </c>
      <c r="E866" s="3">
        <v>63.0</v>
      </c>
      <c r="F866" s="3" t="s">
        <v>183</v>
      </c>
      <c r="G866" s="6" t="s">
        <v>8305</v>
      </c>
      <c r="H866" s="3" t="s">
        <v>8306</v>
      </c>
      <c r="I866" s="3" t="s">
        <v>8307</v>
      </c>
      <c r="J866" s="3" t="s">
        <v>190</v>
      </c>
      <c r="K866" s="3" t="s">
        <v>193</v>
      </c>
      <c r="L866" s="6" t="s">
        <v>4071</v>
      </c>
      <c r="M866" s="3" t="s">
        <v>63</v>
      </c>
      <c r="N866" s="6" t="s">
        <v>4073</v>
      </c>
      <c r="O866" s="3" t="s">
        <v>63</v>
      </c>
      <c r="P866" s="3" t="s">
        <v>464</v>
      </c>
      <c r="Q866" s="8">
        <v>201444.0</v>
      </c>
      <c r="R866" s="3" t="s">
        <v>93</v>
      </c>
      <c r="S866" s="7">
        <v>42198.0</v>
      </c>
      <c r="T866" s="3" t="s">
        <v>63</v>
      </c>
      <c r="U866" s="6" t="s">
        <v>171</v>
      </c>
      <c r="V866" s="3" t="s">
        <v>4</v>
      </c>
      <c r="W866" s="3" t="s">
        <v>102</v>
      </c>
    </row>
    <row r="867" ht="15.75" customHeight="1">
      <c r="A867" s="6" t="s">
        <v>281</v>
      </c>
      <c r="B867" s="3" t="s">
        <v>8308</v>
      </c>
      <c r="C867" s="7">
        <v>25671.0</v>
      </c>
      <c r="D867" s="3" t="s">
        <v>63</v>
      </c>
      <c r="E867" s="3">
        <v>56.0</v>
      </c>
      <c r="F867" s="3" t="s">
        <v>70</v>
      </c>
      <c r="G867" s="6" t="s">
        <v>8309</v>
      </c>
      <c r="H867" s="3" t="s">
        <v>8310</v>
      </c>
      <c r="I867" s="3" t="s">
        <v>8311</v>
      </c>
      <c r="J867" s="3" t="s">
        <v>251</v>
      </c>
      <c r="K867" s="3" t="s">
        <v>251</v>
      </c>
      <c r="L867" s="6" t="s">
        <v>283</v>
      </c>
      <c r="M867" s="3" t="s">
        <v>63</v>
      </c>
      <c r="N867" s="3"/>
      <c r="O867" s="3" t="s">
        <v>88</v>
      </c>
      <c r="P867" s="3" t="s">
        <v>127</v>
      </c>
      <c r="Q867" s="3"/>
      <c r="R867" s="3" t="s">
        <v>258</v>
      </c>
      <c r="S867" s="7">
        <v>41329.0</v>
      </c>
      <c r="T867" s="3" t="s">
        <v>63</v>
      </c>
      <c r="U867" s="6" t="s">
        <v>92</v>
      </c>
      <c r="V867" s="3" t="s">
        <v>4</v>
      </c>
      <c r="W867" s="3" t="s">
        <v>102</v>
      </c>
    </row>
    <row r="868" ht="15.75" customHeight="1">
      <c r="A868" s="6" t="s">
        <v>1658</v>
      </c>
      <c r="B868" s="3" t="s">
        <v>8312</v>
      </c>
      <c r="C868" s="7">
        <v>29006.0</v>
      </c>
      <c r="D868" s="3" t="s">
        <v>63</v>
      </c>
      <c r="E868" s="3">
        <v>47.0</v>
      </c>
      <c r="F868" s="3" t="s">
        <v>70</v>
      </c>
      <c r="G868" s="6" t="s">
        <v>8313</v>
      </c>
      <c r="H868" s="3" t="s">
        <v>8314</v>
      </c>
      <c r="I868" s="3" t="s">
        <v>8315</v>
      </c>
      <c r="J868" s="3" t="s">
        <v>134</v>
      </c>
      <c r="K868" s="3" t="s">
        <v>137</v>
      </c>
      <c r="L868" s="3"/>
      <c r="M868" s="3" t="s">
        <v>88</v>
      </c>
      <c r="N868" s="6" t="s">
        <v>4832</v>
      </c>
      <c r="O868" s="3" t="s">
        <v>63</v>
      </c>
      <c r="P868" s="3" t="s">
        <v>300</v>
      </c>
      <c r="Q868" s="3"/>
      <c r="R868" s="3" t="s">
        <v>258</v>
      </c>
      <c r="S868" s="7">
        <v>45673.0</v>
      </c>
      <c r="T868" s="3" t="s">
        <v>63</v>
      </c>
      <c r="U868" s="6" t="s">
        <v>109</v>
      </c>
      <c r="V868" s="3" t="s">
        <v>4</v>
      </c>
      <c r="W868" s="3" t="s">
        <v>102</v>
      </c>
    </row>
    <row r="869" ht="15.75" customHeight="1">
      <c r="A869" s="6" t="s">
        <v>1227</v>
      </c>
      <c r="B869" s="3" t="s">
        <v>8316</v>
      </c>
      <c r="C869" s="7">
        <v>31109.0</v>
      </c>
      <c r="D869" s="3" t="s">
        <v>63</v>
      </c>
      <c r="E869" s="3">
        <v>41.0</v>
      </c>
      <c r="F869" s="3" t="s">
        <v>70</v>
      </c>
      <c r="G869" s="6" t="s">
        <v>8317</v>
      </c>
      <c r="H869" s="3" t="s">
        <v>8318</v>
      </c>
      <c r="I869" s="3" t="s">
        <v>8319</v>
      </c>
      <c r="J869" s="3" t="s">
        <v>134</v>
      </c>
      <c r="K869" s="3" t="s">
        <v>137</v>
      </c>
      <c r="L869" s="6" t="s">
        <v>3491</v>
      </c>
      <c r="M869" s="3" t="s">
        <v>63</v>
      </c>
      <c r="N869" s="6" t="s">
        <v>3493</v>
      </c>
      <c r="O869" s="3" t="s">
        <v>63</v>
      </c>
      <c r="P869" s="3" t="s">
        <v>324</v>
      </c>
      <c r="Q869" s="3"/>
      <c r="R869" s="3" t="s">
        <v>258</v>
      </c>
      <c r="S869" s="7">
        <v>41319.0</v>
      </c>
      <c r="T869" s="3" t="s">
        <v>63</v>
      </c>
      <c r="U869" s="6" t="s">
        <v>163</v>
      </c>
      <c r="V869" s="3" t="s">
        <v>4</v>
      </c>
      <c r="W869" s="3" t="s">
        <v>102</v>
      </c>
    </row>
    <row r="870" ht="15.75" customHeight="1">
      <c r="A870" s="6" t="s">
        <v>3375</v>
      </c>
      <c r="B870" s="3" t="s">
        <v>8320</v>
      </c>
      <c r="C870" s="7">
        <v>22588.0</v>
      </c>
      <c r="D870" s="3" t="s">
        <v>63</v>
      </c>
      <c r="E870" s="3">
        <v>64.0</v>
      </c>
      <c r="F870" s="3" t="s">
        <v>183</v>
      </c>
      <c r="G870" s="6" t="s">
        <v>8321</v>
      </c>
      <c r="H870" s="3" t="s">
        <v>8322</v>
      </c>
      <c r="I870" s="3" t="s">
        <v>1609</v>
      </c>
      <c r="J870" s="3" t="s">
        <v>201</v>
      </c>
      <c r="K870" s="3" t="s">
        <v>203</v>
      </c>
      <c r="L870" s="6" t="s">
        <v>4734</v>
      </c>
      <c r="M870" s="3" t="s">
        <v>63</v>
      </c>
      <c r="N870" s="6" t="s">
        <v>4736</v>
      </c>
      <c r="O870" s="3" t="s">
        <v>63</v>
      </c>
      <c r="P870" s="3" t="s">
        <v>202</v>
      </c>
      <c r="Q870" s="3"/>
      <c r="R870" s="3" t="s">
        <v>258</v>
      </c>
      <c r="S870" s="7">
        <v>45143.0</v>
      </c>
      <c r="T870" s="3" t="s">
        <v>63</v>
      </c>
      <c r="U870" s="6" t="s">
        <v>245</v>
      </c>
      <c r="V870" s="3" t="s">
        <v>4</v>
      </c>
      <c r="W870" s="3" t="s">
        <v>102</v>
      </c>
    </row>
    <row r="871" ht="15.75" customHeight="1">
      <c r="A871" s="6" t="s">
        <v>1392</v>
      </c>
      <c r="B871" s="3" t="s">
        <v>6274</v>
      </c>
      <c r="C871" s="7">
        <v>36879.0</v>
      </c>
      <c r="D871" s="3" t="s">
        <v>63</v>
      </c>
      <c r="E871" s="3">
        <v>25.0</v>
      </c>
      <c r="F871" s="3" t="s">
        <v>183</v>
      </c>
      <c r="G871" s="6" t="s">
        <v>8323</v>
      </c>
      <c r="H871" s="3" t="s">
        <v>6278</v>
      </c>
      <c r="I871" s="3" t="s">
        <v>6279</v>
      </c>
      <c r="J871" s="3" t="s">
        <v>379</v>
      </c>
      <c r="K871" s="3" t="s">
        <v>229</v>
      </c>
      <c r="L871" s="6" t="s">
        <v>1394</v>
      </c>
      <c r="M871" s="3" t="s">
        <v>63</v>
      </c>
      <c r="N871" s="6" t="s">
        <v>1396</v>
      </c>
      <c r="O871" s="3" t="s">
        <v>620</v>
      </c>
      <c r="P871" s="3" t="s">
        <v>127</v>
      </c>
      <c r="Q871" s="3"/>
      <c r="R871" s="3" t="s">
        <v>258</v>
      </c>
      <c r="S871" s="7">
        <v>42607.0</v>
      </c>
      <c r="T871" s="3" t="s">
        <v>63</v>
      </c>
      <c r="U871" s="6" t="s">
        <v>208</v>
      </c>
      <c r="V871" s="3" t="s">
        <v>237</v>
      </c>
      <c r="W871" s="3" t="s">
        <v>378</v>
      </c>
    </row>
    <row r="872" ht="15.75" customHeight="1">
      <c r="A872" s="6" t="s">
        <v>3296</v>
      </c>
      <c r="B872" s="3" t="s">
        <v>8324</v>
      </c>
      <c r="C872" s="7">
        <v>37217.0</v>
      </c>
      <c r="D872" s="3" t="s">
        <v>63</v>
      </c>
      <c r="E872" s="3">
        <v>24.0</v>
      </c>
      <c r="F872" s="3" t="s">
        <v>183</v>
      </c>
      <c r="G872" s="6" t="s">
        <v>8325</v>
      </c>
      <c r="H872" s="3" t="s">
        <v>8326</v>
      </c>
      <c r="I872" s="3" t="s">
        <v>8327</v>
      </c>
      <c r="J872" s="3" t="s">
        <v>227</v>
      </c>
      <c r="K872" s="3" t="s">
        <v>229</v>
      </c>
      <c r="L872" s="6" t="s">
        <v>3298</v>
      </c>
      <c r="M872" s="3" t="s">
        <v>63</v>
      </c>
      <c r="N872" s="6" t="s">
        <v>3299</v>
      </c>
      <c r="O872" s="3" t="s">
        <v>63</v>
      </c>
      <c r="P872" s="3" t="s">
        <v>372</v>
      </c>
      <c r="Q872" s="8">
        <v>1575584.0</v>
      </c>
      <c r="R872" s="3" t="s">
        <v>93</v>
      </c>
      <c r="S872" s="7">
        <v>41747.0</v>
      </c>
      <c r="T872" s="3" t="s">
        <v>63</v>
      </c>
      <c r="U872" s="6" t="s">
        <v>288</v>
      </c>
      <c r="V872" s="3" t="s">
        <v>237</v>
      </c>
      <c r="W872" s="3" t="s">
        <v>102</v>
      </c>
    </row>
    <row r="873" ht="15.75" customHeight="1">
      <c r="A873" s="6" t="s">
        <v>4814</v>
      </c>
      <c r="B873" s="3" t="s">
        <v>872</v>
      </c>
      <c r="C873" s="7">
        <v>27847.0</v>
      </c>
      <c r="D873" s="3" t="s">
        <v>63</v>
      </c>
      <c r="E873" s="3">
        <v>50.0</v>
      </c>
      <c r="F873" s="3" t="s">
        <v>183</v>
      </c>
      <c r="G873" s="3"/>
      <c r="H873" s="3" t="s">
        <v>8328</v>
      </c>
      <c r="I873" s="3" t="s">
        <v>8329</v>
      </c>
      <c r="J873" s="3" t="s">
        <v>85</v>
      </c>
      <c r="K873" s="3" t="s">
        <v>67</v>
      </c>
      <c r="L873" s="6" t="s">
        <v>4815</v>
      </c>
      <c r="M873" s="3" t="s">
        <v>63</v>
      </c>
      <c r="N873" s="6" t="s">
        <v>4816</v>
      </c>
      <c r="O873" s="3" t="s">
        <v>63</v>
      </c>
      <c r="P873" s="3" t="s">
        <v>90</v>
      </c>
      <c r="Q873" s="8">
        <v>1425365.0</v>
      </c>
      <c r="R873" s="3" t="s">
        <v>93</v>
      </c>
      <c r="S873" s="7">
        <v>38856.0</v>
      </c>
      <c r="T873" s="3" t="s">
        <v>63</v>
      </c>
      <c r="U873" s="6" t="s">
        <v>301</v>
      </c>
      <c r="V873" s="3" t="s">
        <v>4</v>
      </c>
      <c r="W873" s="3" t="s">
        <v>102</v>
      </c>
    </row>
    <row r="874" ht="15.75" customHeight="1">
      <c r="A874" s="6" t="s">
        <v>2955</v>
      </c>
      <c r="B874" s="3" t="s">
        <v>8330</v>
      </c>
      <c r="C874" s="7">
        <v>33031.0</v>
      </c>
      <c r="D874" s="3" t="s">
        <v>63</v>
      </c>
      <c r="E874" s="3">
        <v>36.0</v>
      </c>
      <c r="F874" s="3" t="s">
        <v>70</v>
      </c>
      <c r="G874" s="6" t="s">
        <v>8331</v>
      </c>
      <c r="H874" s="3" t="s">
        <v>8332</v>
      </c>
      <c r="I874" s="3" t="s">
        <v>8333</v>
      </c>
      <c r="J874" s="3" t="s">
        <v>250</v>
      </c>
      <c r="K874" s="3" t="s">
        <v>252</v>
      </c>
      <c r="L874" s="6" t="s">
        <v>2956</v>
      </c>
      <c r="M874" s="3" t="s">
        <v>63</v>
      </c>
      <c r="N874" s="6" t="s">
        <v>2958</v>
      </c>
      <c r="O874" s="3" t="s">
        <v>63</v>
      </c>
      <c r="P874" s="3" t="s">
        <v>464</v>
      </c>
      <c r="Q874" s="8">
        <v>471603.0</v>
      </c>
      <c r="R874" s="3" t="s">
        <v>93</v>
      </c>
      <c r="S874" s="7">
        <v>43629.0</v>
      </c>
      <c r="T874" s="3" t="s">
        <v>63</v>
      </c>
      <c r="U874" s="6" t="s">
        <v>311</v>
      </c>
      <c r="V874" s="3" t="s">
        <v>4</v>
      </c>
      <c r="W874" s="3" t="s">
        <v>102</v>
      </c>
    </row>
    <row r="875" ht="15.75" customHeight="1">
      <c r="A875" s="6" t="s">
        <v>8334</v>
      </c>
      <c r="B875" s="3" t="s">
        <v>8335</v>
      </c>
      <c r="C875" s="7">
        <v>22879.0</v>
      </c>
      <c r="D875" s="3" t="s">
        <v>63</v>
      </c>
      <c r="E875" s="3">
        <v>63.0</v>
      </c>
      <c r="F875" s="3" t="s">
        <v>70</v>
      </c>
      <c r="G875" s="6" t="s">
        <v>8336</v>
      </c>
      <c r="H875" s="3" t="s">
        <v>8337</v>
      </c>
      <c r="I875" s="3" t="s">
        <v>8338</v>
      </c>
      <c r="J875" s="3" t="s">
        <v>379</v>
      </c>
      <c r="K875" s="3" t="s">
        <v>229</v>
      </c>
      <c r="L875" s="6" t="s">
        <v>8339</v>
      </c>
      <c r="M875" s="3" t="s">
        <v>63</v>
      </c>
      <c r="N875" s="6" t="s">
        <v>8340</v>
      </c>
      <c r="O875" s="3" t="s">
        <v>63</v>
      </c>
      <c r="P875" s="3" t="s">
        <v>372</v>
      </c>
      <c r="Q875" s="3"/>
      <c r="R875" s="3" t="s">
        <v>258</v>
      </c>
      <c r="S875" s="7">
        <v>43920.0</v>
      </c>
      <c r="T875" s="3" t="s">
        <v>63</v>
      </c>
      <c r="U875" s="6" t="s">
        <v>262</v>
      </c>
      <c r="V875" s="3" t="s">
        <v>4</v>
      </c>
      <c r="W875" s="3" t="s">
        <v>102</v>
      </c>
    </row>
    <row r="876" ht="15.75" customHeight="1">
      <c r="A876" s="6" t="s">
        <v>717</v>
      </c>
      <c r="B876" s="3" t="s">
        <v>8341</v>
      </c>
      <c r="C876" s="7">
        <v>36076.0</v>
      </c>
      <c r="D876" s="3" t="s">
        <v>63</v>
      </c>
      <c r="E876" s="3">
        <v>27.0</v>
      </c>
      <c r="F876" s="3" t="s">
        <v>183</v>
      </c>
      <c r="G876" s="6" t="s">
        <v>8342</v>
      </c>
      <c r="H876" s="3" t="s">
        <v>8343</v>
      </c>
      <c r="I876" s="3" t="s">
        <v>8344</v>
      </c>
      <c r="J876" s="3" t="s">
        <v>8345</v>
      </c>
      <c r="K876" s="3" t="s">
        <v>101</v>
      </c>
      <c r="L876" s="6" t="s">
        <v>8346</v>
      </c>
      <c r="M876" s="3" t="s">
        <v>63</v>
      </c>
      <c r="N876" s="3"/>
      <c r="O876" s="3" t="s">
        <v>88</v>
      </c>
      <c r="P876" s="3" t="s">
        <v>300</v>
      </c>
      <c r="Q876" s="8">
        <v>818350.0</v>
      </c>
      <c r="R876" s="3" t="s">
        <v>93</v>
      </c>
      <c r="S876" s="7">
        <v>40017.0</v>
      </c>
      <c r="T876" s="3" t="s">
        <v>63</v>
      </c>
      <c r="U876" s="6" t="s">
        <v>146</v>
      </c>
      <c r="V876" s="3" t="s">
        <v>4</v>
      </c>
      <c r="W876" s="3" t="s">
        <v>102</v>
      </c>
    </row>
    <row r="877" ht="15.75" customHeight="1">
      <c r="A877" s="6" t="s">
        <v>3031</v>
      </c>
      <c r="B877" s="3" t="s">
        <v>8347</v>
      </c>
      <c r="C877" s="7">
        <v>25278.0</v>
      </c>
      <c r="D877" s="3" t="s">
        <v>63</v>
      </c>
      <c r="E877" s="3">
        <v>57.0</v>
      </c>
      <c r="F877" s="3" t="s">
        <v>183</v>
      </c>
      <c r="G877" s="6" t="s">
        <v>8348</v>
      </c>
      <c r="H877" s="3" t="s">
        <v>8349</v>
      </c>
      <c r="I877" s="3" t="s">
        <v>8350</v>
      </c>
      <c r="J877" s="3" t="s">
        <v>134</v>
      </c>
      <c r="K877" s="3" t="s">
        <v>137</v>
      </c>
      <c r="L877" s="6" t="s">
        <v>3033</v>
      </c>
      <c r="M877" s="3" t="s">
        <v>63</v>
      </c>
      <c r="N877" s="6" t="s">
        <v>3034</v>
      </c>
      <c r="O877" s="3" t="s">
        <v>63</v>
      </c>
      <c r="P877" s="3" t="s">
        <v>372</v>
      </c>
      <c r="Q877" s="3"/>
      <c r="R877" s="3" t="s">
        <v>258</v>
      </c>
      <c r="S877" s="7">
        <v>40064.0</v>
      </c>
      <c r="T877" s="3" t="s">
        <v>63</v>
      </c>
      <c r="U877" s="6" t="s">
        <v>136</v>
      </c>
      <c r="V877" s="3" t="s">
        <v>4</v>
      </c>
      <c r="W877" s="3" t="s">
        <v>102</v>
      </c>
    </row>
    <row r="878" ht="15.75" customHeight="1">
      <c r="A878" s="6" t="s">
        <v>2620</v>
      </c>
      <c r="B878" s="3" t="s">
        <v>6339</v>
      </c>
      <c r="C878" s="7">
        <v>22256.0</v>
      </c>
      <c r="D878" s="3" t="s">
        <v>63</v>
      </c>
      <c r="E878" s="3">
        <v>65.0</v>
      </c>
      <c r="F878" s="3" t="s">
        <v>70</v>
      </c>
      <c r="G878" s="6" t="s">
        <v>8351</v>
      </c>
      <c r="H878" s="3" t="s">
        <v>8352</v>
      </c>
      <c r="I878" s="3" t="s">
        <v>8353</v>
      </c>
      <c r="J878" s="3" t="s">
        <v>271</v>
      </c>
      <c r="K878" s="3" t="s">
        <v>273</v>
      </c>
      <c r="L878" s="6" t="s">
        <v>6162</v>
      </c>
      <c r="M878" s="3" t="s">
        <v>63</v>
      </c>
      <c r="N878" s="6" t="s">
        <v>6163</v>
      </c>
      <c r="O878" s="3" t="s">
        <v>63</v>
      </c>
      <c r="P878" s="3" t="s">
        <v>202</v>
      </c>
      <c r="Q878" s="8">
        <v>1676628.0</v>
      </c>
      <c r="R878" s="3" t="s">
        <v>93</v>
      </c>
      <c r="S878" s="7">
        <v>45891.0</v>
      </c>
      <c r="T878" s="3" t="s">
        <v>63</v>
      </c>
      <c r="U878" s="6" t="s">
        <v>129</v>
      </c>
      <c r="V878" s="3" t="s">
        <v>4</v>
      </c>
      <c r="W878" s="3" t="s">
        <v>102</v>
      </c>
    </row>
    <row r="879" ht="15.75" customHeight="1">
      <c r="A879" s="6" t="s">
        <v>2026</v>
      </c>
      <c r="B879" s="3" t="s">
        <v>8354</v>
      </c>
      <c r="C879" s="7">
        <v>36208.0</v>
      </c>
      <c r="D879" s="3" t="s">
        <v>63</v>
      </c>
      <c r="E879" s="3">
        <v>27.0</v>
      </c>
      <c r="F879" s="3" t="s">
        <v>183</v>
      </c>
      <c r="G879" s="6" t="s">
        <v>8355</v>
      </c>
      <c r="H879" s="3" t="s">
        <v>8356</v>
      </c>
      <c r="I879" s="3" t="s">
        <v>7778</v>
      </c>
      <c r="J879" s="3" t="s">
        <v>379</v>
      </c>
      <c r="K879" s="3" t="s">
        <v>229</v>
      </c>
      <c r="L879" s="3"/>
      <c r="M879" s="3" t="s">
        <v>88</v>
      </c>
      <c r="N879" s="6" t="s">
        <v>8357</v>
      </c>
      <c r="O879" s="3" t="s">
        <v>63</v>
      </c>
      <c r="P879" s="3" t="s">
        <v>160</v>
      </c>
      <c r="Q879" s="3"/>
      <c r="R879" s="3" t="s">
        <v>258</v>
      </c>
      <c r="S879" s="7">
        <v>45736.0</v>
      </c>
      <c r="T879" s="3" t="s">
        <v>63</v>
      </c>
      <c r="U879" s="6" t="s">
        <v>197</v>
      </c>
      <c r="V879" s="3" t="s">
        <v>4</v>
      </c>
      <c r="W879" s="3" t="s">
        <v>102</v>
      </c>
    </row>
    <row r="880" ht="15.75" customHeight="1">
      <c r="A880" s="6" t="s">
        <v>2205</v>
      </c>
      <c r="B880" s="3" t="s">
        <v>8358</v>
      </c>
      <c r="C880" s="7">
        <v>25614.0</v>
      </c>
      <c r="D880" s="3" t="s">
        <v>63</v>
      </c>
      <c r="E880" s="3">
        <v>56.0</v>
      </c>
      <c r="F880" s="3" t="s">
        <v>70</v>
      </c>
      <c r="G880" s="6" t="s">
        <v>8359</v>
      </c>
      <c r="H880" s="3" t="s">
        <v>8360</v>
      </c>
      <c r="I880" s="3" t="s">
        <v>8361</v>
      </c>
      <c r="J880" s="3" t="s">
        <v>337</v>
      </c>
      <c r="K880" s="3" t="s">
        <v>137</v>
      </c>
      <c r="L880" s="6" t="s">
        <v>3131</v>
      </c>
      <c r="M880" s="3" t="s">
        <v>63</v>
      </c>
      <c r="N880" s="6" t="s">
        <v>3133</v>
      </c>
      <c r="O880" s="3" t="s">
        <v>63</v>
      </c>
      <c r="P880" s="3" t="s">
        <v>300</v>
      </c>
      <c r="Q880" s="3"/>
      <c r="R880" s="3" t="s">
        <v>258</v>
      </c>
      <c r="S880" s="7">
        <v>41356.0</v>
      </c>
      <c r="T880" s="3" t="s">
        <v>63</v>
      </c>
      <c r="U880" s="6" t="s">
        <v>234</v>
      </c>
      <c r="V880" s="3" t="s">
        <v>237</v>
      </c>
      <c r="W880" s="3" t="s">
        <v>102</v>
      </c>
    </row>
    <row r="881" ht="15.75" customHeight="1">
      <c r="A881" s="6" t="s">
        <v>6295</v>
      </c>
      <c r="B881" s="3" t="s">
        <v>8362</v>
      </c>
      <c r="C881" s="7">
        <v>31956.0</v>
      </c>
      <c r="D881" s="3" t="s">
        <v>63</v>
      </c>
      <c r="E881" s="3">
        <v>39.0</v>
      </c>
      <c r="F881" s="3" t="s">
        <v>183</v>
      </c>
      <c r="G881" s="6" t="s">
        <v>8363</v>
      </c>
      <c r="H881" s="3" t="s">
        <v>8364</v>
      </c>
      <c r="I881" s="3" t="s">
        <v>8365</v>
      </c>
      <c r="J881" s="3" t="s">
        <v>282</v>
      </c>
      <c r="K881" s="3" t="s">
        <v>229</v>
      </c>
      <c r="L881" s="6" t="s">
        <v>8366</v>
      </c>
      <c r="M881" s="3" t="s">
        <v>63</v>
      </c>
      <c r="N881" s="6" t="s">
        <v>8367</v>
      </c>
      <c r="O881" s="3" t="s">
        <v>63</v>
      </c>
      <c r="P881" s="3" t="s">
        <v>372</v>
      </c>
      <c r="Q881" s="3"/>
      <c r="R881" s="3" t="s">
        <v>258</v>
      </c>
      <c r="S881" s="7">
        <v>45362.0</v>
      </c>
      <c r="T881" s="3" t="s">
        <v>63</v>
      </c>
      <c r="U881" s="6" t="s">
        <v>245</v>
      </c>
      <c r="V881" s="3" t="s">
        <v>237</v>
      </c>
      <c r="W881" s="3" t="s">
        <v>102</v>
      </c>
    </row>
    <row r="882" ht="15.75" customHeight="1">
      <c r="A882" s="6" t="s">
        <v>4093</v>
      </c>
      <c r="B882" s="3" t="s">
        <v>7424</v>
      </c>
      <c r="C882" s="7">
        <v>38189.0</v>
      </c>
      <c r="D882" s="3" t="s">
        <v>63</v>
      </c>
      <c r="E882" s="3">
        <v>22.0</v>
      </c>
      <c r="F882" s="3" t="s">
        <v>183</v>
      </c>
      <c r="G882" s="6" t="s">
        <v>8368</v>
      </c>
      <c r="H882" s="3" t="s">
        <v>8369</v>
      </c>
      <c r="I882" s="3" t="s">
        <v>8370</v>
      </c>
      <c r="J882" s="3" t="s">
        <v>271</v>
      </c>
      <c r="K882" s="3" t="s">
        <v>273</v>
      </c>
      <c r="L882" s="6" t="s">
        <v>4097</v>
      </c>
      <c r="M882" s="3" t="s">
        <v>63</v>
      </c>
      <c r="N882" s="6" t="s">
        <v>4100</v>
      </c>
      <c r="O882" s="3" t="s">
        <v>63</v>
      </c>
      <c r="P882" s="3" t="s">
        <v>324</v>
      </c>
      <c r="Q882" s="3"/>
      <c r="R882" s="3" t="s">
        <v>258</v>
      </c>
      <c r="S882" s="7">
        <v>41271.0</v>
      </c>
      <c r="T882" s="3" t="s">
        <v>63</v>
      </c>
      <c r="U882" s="6" t="s">
        <v>221</v>
      </c>
      <c r="V882" s="3" t="s">
        <v>4</v>
      </c>
      <c r="W882" s="3" t="s">
        <v>102</v>
      </c>
    </row>
    <row r="883" ht="15.75" customHeight="1">
      <c r="A883" s="6" t="s">
        <v>2671</v>
      </c>
      <c r="B883" s="3" t="s">
        <v>8371</v>
      </c>
      <c r="C883" s="7">
        <v>37070.0</v>
      </c>
      <c r="D883" s="3" t="s">
        <v>63</v>
      </c>
      <c r="E883" s="3">
        <v>25.0</v>
      </c>
      <c r="F883" s="3" t="s">
        <v>70</v>
      </c>
      <c r="G883" s="6" t="s">
        <v>8372</v>
      </c>
      <c r="H883" s="3" t="s">
        <v>8373</v>
      </c>
      <c r="I883" s="3" t="s">
        <v>8374</v>
      </c>
      <c r="J883" s="3" t="s">
        <v>184</v>
      </c>
      <c r="K883" s="3" t="s">
        <v>187</v>
      </c>
      <c r="L883" s="6" t="s">
        <v>8375</v>
      </c>
      <c r="M883" s="3" t="s">
        <v>63</v>
      </c>
      <c r="N883" s="6" t="s">
        <v>8376</v>
      </c>
      <c r="O883" s="3" t="s">
        <v>63</v>
      </c>
      <c r="P883" s="3" t="s">
        <v>90</v>
      </c>
      <c r="Q883" s="8">
        <v>1593270.0</v>
      </c>
      <c r="R883" s="3" t="s">
        <v>93</v>
      </c>
      <c r="S883" s="7">
        <v>40013.0</v>
      </c>
      <c r="T883" s="3" t="s">
        <v>63</v>
      </c>
      <c r="U883" s="6" t="s">
        <v>397</v>
      </c>
      <c r="V883" s="3" t="s">
        <v>4</v>
      </c>
      <c r="W883" s="3" t="s">
        <v>102</v>
      </c>
    </row>
    <row r="884" ht="15.75" customHeight="1">
      <c r="A884" s="6" t="s">
        <v>833</v>
      </c>
      <c r="B884" s="3" t="s">
        <v>1249</v>
      </c>
      <c r="C884" s="7">
        <v>37630.0</v>
      </c>
      <c r="D884" s="3" t="s">
        <v>63</v>
      </c>
      <c r="E884" s="3">
        <v>23.0</v>
      </c>
      <c r="F884" s="3" t="s">
        <v>70</v>
      </c>
      <c r="G884" s="6" t="s">
        <v>8377</v>
      </c>
      <c r="H884" s="3" t="s">
        <v>1254</v>
      </c>
      <c r="I884" s="3" t="s">
        <v>1256</v>
      </c>
      <c r="J884" s="3" t="s">
        <v>282</v>
      </c>
      <c r="K884" s="3" t="s">
        <v>229</v>
      </c>
      <c r="L884" s="6" t="s">
        <v>1260</v>
      </c>
      <c r="M884" s="3" t="s">
        <v>63</v>
      </c>
      <c r="N884" s="6" t="s">
        <v>1261</v>
      </c>
      <c r="O884" s="3" t="s">
        <v>63</v>
      </c>
      <c r="P884" s="3" t="s">
        <v>372</v>
      </c>
      <c r="Q884" s="3"/>
      <c r="R884" s="3" t="s">
        <v>258</v>
      </c>
      <c r="S884" s="7">
        <v>41422.0</v>
      </c>
      <c r="T884" s="3" t="s">
        <v>63</v>
      </c>
      <c r="U884" s="6" t="s">
        <v>277</v>
      </c>
      <c r="V884" s="3" t="s">
        <v>4</v>
      </c>
      <c r="W884" s="3" t="s">
        <v>378</v>
      </c>
    </row>
    <row r="885" ht="15.75" customHeight="1">
      <c r="A885" s="6" t="s">
        <v>2971</v>
      </c>
      <c r="B885" s="3" t="s">
        <v>8378</v>
      </c>
      <c r="C885" s="7">
        <v>25187.0</v>
      </c>
      <c r="D885" s="3" t="s">
        <v>63</v>
      </c>
      <c r="E885" s="3">
        <v>57.0</v>
      </c>
      <c r="F885" s="3" t="s">
        <v>183</v>
      </c>
      <c r="G885" s="6" t="s">
        <v>8379</v>
      </c>
      <c r="H885" s="3" t="s">
        <v>8380</v>
      </c>
      <c r="I885" s="3" t="s">
        <v>8381</v>
      </c>
      <c r="J885" s="3" t="s">
        <v>337</v>
      </c>
      <c r="K885" s="3" t="s">
        <v>137</v>
      </c>
      <c r="L885" s="6" t="s">
        <v>2973</v>
      </c>
      <c r="M885" s="3" t="s">
        <v>63</v>
      </c>
      <c r="N885" s="6" t="s">
        <v>2974</v>
      </c>
      <c r="O885" s="3" t="s">
        <v>63</v>
      </c>
      <c r="P885" s="3" t="s">
        <v>372</v>
      </c>
      <c r="Q885" s="3"/>
      <c r="R885" s="3" t="s">
        <v>258</v>
      </c>
      <c r="S885" s="7">
        <v>40340.0</v>
      </c>
      <c r="T885" s="3" t="s">
        <v>63</v>
      </c>
      <c r="U885" s="6" t="s">
        <v>60</v>
      </c>
      <c r="V885" s="3" t="s">
        <v>4</v>
      </c>
      <c r="W885" s="3" t="s">
        <v>102</v>
      </c>
    </row>
    <row r="886" ht="15.75" customHeight="1">
      <c r="A886" s="6" t="s">
        <v>1525</v>
      </c>
      <c r="B886" s="3" t="s">
        <v>7674</v>
      </c>
      <c r="C886" s="7">
        <v>23227.0</v>
      </c>
      <c r="D886" s="3" t="s">
        <v>63</v>
      </c>
      <c r="E886" s="3">
        <v>63.0</v>
      </c>
      <c r="F886" s="3" t="s">
        <v>183</v>
      </c>
      <c r="G886" s="6" t="s">
        <v>8382</v>
      </c>
      <c r="H886" s="3" t="s">
        <v>8383</v>
      </c>
      <c r="I886" s="3" t="s">
        <v>8384</v>
      </c>
      <c r="J886" s="3" t="s">
        <v>227</v>
      </c>
      <c r="K886" s="3" t="s">
        <v>229</v>
      </c>
      <c r="L886" s="6" t="s">
        <v>2764</v>
      </c>
      <c r="M886" s="3" t="s">
        <v>63</v>
      </c>
      <c r="N886" s="6" t="s">
        <v>2766</v>
      </c>
      <c r="O886" s="3" t="s">
        <v>63</v>
      </c>
      <c r="P886" s="3" t="s">
        <v>396</v>
      </c>
      <c r="Q886" s="3"/>
      <c r="R886" s="3" t="s">
        <v>258</v>
      </c>
      <c r="S886" s="7">
        <v>43282.0</v>
      </c>
      <c r="T886" s="3" t="s">
        <v>63</v>
      </c>
      <c r="U886" s="6" t="s">
        <v>208</v>
      </c>
      <c r="V886" s="3" t="s">
        <v>4</v>
      </c>
      <c r="W886" s="3" t="s">
        <v>102</v>
      </c>
    </row>
    <row r="887" ht="15.75" customHeight="1">
      <c r="A887" s="6" t="s">
        <v>4141</v>
      </c>
      <c r="B887" s="3" t="s">
        <v>927</v>
      </c>
      <c r="C887" s="7">
        <v>32299.0</v>
      </c>
      <c r="D887" s="3" t="s">
        <v>63</v>
      </c>
      <c r="E887" s="3">
        <v>38.0</v>
      </c>
      <c r="F887" s="3" t="s">
        <v>183</v>
      </c>
      <c r="G887" s="6" t="s">
        <v>8385</v>
      </c>
      <c r="H887" s="3" t="s">
        <v>934</v>
      </c>
      <c r="I887" s="3" t="s">
        <v>935</v>
      </c>
      <c r="J887" s="3" t="s">
        <v>184</v>
      </c>
      <c r="K887" s="3" t="s">
        <v>187</v>
      </c>
      <c r="L887" s="6" t="s">
        <v>936</v>
      </c>
      <c r="M887" s="3" t="s">
        <v>63</v>
      </c>
      <c r="N887" s="6" t="s">
        <v>937</v>
      </c>
      <c r="O887" s="3" t="s">
        <v>63</v>
      </c>
      <c r="P887" s="3" t="s">
        <v>396</v>
      </c>
      <c r="Q887" s="8">
        <v>667414.0</v>
      </c>
      <c r="R887" s="3" t="s">
        <v>93</v>
      </c>
      <c r="S887" s="7">
        <v>39509.0</v>
      </c>
      <c r="T887" s="3" t="s">
        <v>63</v>
      </c>
      <c r="U887" s="6" t="s">
        <v>129</v>
      </c>
      <c r="V887" s="3" t="s">
        <v>4</v>
      </c>
      <c r="W887" s="3" t="s">
        <v>378</v>
      </c>
    </row>
    <row r="888" ht="15.75" customHeight="1">
      <c r="A888" s="6" t="s">
        <v>328</v>
      </c>
      <c r="B888" s="3" t="s">
        <v>8386</v>
      </c>
      <c r="C888" s="7">
        <v>27821.0</v>
      </c>
      <c r="D888" s="3" t="s">
        <v>63</v>
      </c>
      <c r="E888" s="3">
        <v>50.0</v>
      </c>
      <c r="F888" s="3" t="s">
        <v>70</v>
      </c>
      <c r="G888" s="6" t="s">
        <v>8387</v>
      </c>
      <c r="H888" s="3" t="s">
        <v>8388</v>
      </c>
      <c r="I888" s="3" t="s">
        <v>7041</v>
      </c>
      <c r="J888" s="3" t="s">
        <v>98</v>
      </c>
      <c r="K888" s="3" t="s">
        <v>101</v>
      </c>
      <c r="L888" s="6" t="s">
        <v>329</v>
      </c>
      <c r="M888" s="3" t="s">
        <v>63</v>
      </c>
      <c r="N888" s="6" t="s">
        <v>330</v>
      </c>
      <c r="O888" s="3" t="s">
        <v>63</v>
      </c>
      <c r="P888" s="3" t="s">
        <v>202</v>
      </c>
      <c r="Q888" s="8">
        <v>822041.0</v>
      </c>
      <c r="R888" s="3" t="s">
        <v>93</v>
      </c>
      <c r="S888" s="7">
        <v>43525.0</v>
      </c>
      <c r="T888" s="3" t="s">
        <v>63</v>
      </c>
      <c r="U888" s="6" t="s">
        <v>262</v>
      </c>
      <c r="V888" s="3" t="s">
        <v>237</v>
      </c>
      <c r="W888" s="3" t="s">
        <v>102</v>
      </c>
    </row>
    <row r="889" ht="15.75" customHeight="1">
      <c r="A889" s="6" t="s">
        <v>3691</v>
      </c>
      <c r="B889" s="3" t="s">
        <v>8389</v>
      </c>
      <c r="C889" s="7">
        <v>28234.0</v>
      </c>
      <c r="D889" s="3" t="s">
        <v>63</v>
      </c>
      <c r="E889" s="3">
        <v>49.0</v>
      </c>
      <c r="F889" s="3" t="s">
        <v>183</v>
      </c>
      <c r="G889" s="6" t="s">
        <v>8390</v>
      </c>
      <c r="H889" s="3" t="s">
        <v>8391</v>
      </c>
      <c r="I889" s="3" t="s">
        <v>8392</v>
      </c>
      <c r="J889" s="3" t="s">
        <v>337</v>
      </c>
      <c r="K889" s="3" t="s">
        <v>137</v>
      </c>
      <c r="L889" s="6" t="s">
        <v>6595</v>
      </c>
      <c r="M889" s="3" t="s">
        <v>63</v>
      </c>
      <c r="N889" s="6" t="s">
        <v>6596</v>
      </c>
      <c r="O889" s="3" t="s">
        <v>63</v>
      </c>
      <c r="P889" s="3" t="s">
        <v>90</v>
      </c>
      <c r="Q889" s="8">
        <v>1815139.0</v>
      </c>
      <c r="R889" s="3" t="s">
        <v>93</v>
      </c>
      <c r="S889" s="7">
        <v>39369.0</v>
      </c>
      <c r="T889" s="3" t="s">
        <v>63</v>
      </c>
      <c r="U889" s="6" t="s">
        <v>97</v>
      </c>
      <c r="V889" s="3" t="s">
        <v>4</v>
      </c>
      <c r="W889" s="3" t="s">
        <v>102</v>
      </c>
    </row>
    <row r="890" ht="15.75" customHeight="1">
      <c r="A890" s="6" t="s">
        <v>4340</v>
      </c>
      <c r="B890" s="3" t="s">
        <v>8393</v>
      </c>
      <c r="C890" s="7">
        <v>32196.0</v>
      </c>
      <c r="D890" s="3" t="s">
        <v>63</v>
      </c>
      <c r="E890" s="3">
        <v>38.0</v>
      </c>
      <c r="F890" s="3" t="s">
        <v>183</v>
      </c>
      <c r="G890" s="6" t="s">
        <v>8394</v>
      </c>
      <c r="H890" s="3" t="s">
        <v>8395</v>
      </c>
      <c r="I890" s="3" t="s">
        <v>8396</v>
      </c>
      <c r="J890" s="3" t="s">
        <v>79</v>
      </c>
      <c r="K890" s="3" t="s">
        <v>81</v>
      </c>
      <c r="L890" s="6" t="s">
        <v>8397</v>
      </c>
      <c r="M890" s="3" t="s">
        <v>63</v>
      </c>
      <c r="N890" s="6" t="s">
        <v>8398</v>
      </c>
      <c r="O890" s="3" t="s">
        <v>63</v>
      </c>
      <c r="P890" s="3" t="s">
        <v>300</v>
      </c>
      <c r="Q890" s="8">
        <v>2298581.0</v>
      </c>
      <c r="R890" s="3" t="s">
        <v>93</v>
      </c>
      <c r="S890" s="7">
        <v>38485.0</v>
      </c>
      <c r="T890" s="3" t="s">
        <v>63</v>
      </c>
      <c r="U890" s="6" t="s">
        <v>245</v>
      </c>
      <c r="V890" s="3" t="s">
        <v>4</v>
      </c>
      <c r="W890" s="3" t="s">
        <v>102</v>
      </c>
    </row>
    <row r="891" ht="15.75" customHeight="1">
      <c r="A891" s="6" t="s">
        <v>8399</v>
      </c>
      <c r="B891" s="3" t="s">
        <v>8183</v>
      </c>
      <c r="C891" s="7">
        <v>21158.0</v>
      </c>
      <c r="D891" s="3" t="s">
        <v>63</v>
      </c>
      <c r="E891" s="3">
        <v>68.0</v>
      </c>
      <c r="F891" s="3" t="s">
        <v>183</v>
      </c>
      <c r="G891" s="6" t="s">
        <v>8400</v>
      </c>
      <c r="H891" s="3" t="s">
        <v>8185</v>
      </c>
      <c r="I891" s="3" t="s">
        <v>8186</v>
      </c>
      <c r="J891" s="3" t="s">
        <v>271</v>
      </c>
      <c r="K891" s="3" t="s">
        <v>273</v>
      </c>
      <c r="L891" s="6" t="s">
        <v>5481</v>
      </c>
      <c r="M891" s="3" t="s">
        <v>63</v>
      </c>
      <c r="N891" s="6" t="s">
        <v>5482</v>
      </c>
      <c r="O891" s="3" t="s">
        <v>63</v>
      </c>
      <c r="P891" s="3" t="s">
        <v>372</v>
      </c>
      <c r="Q891" s="8">
        <v>556397.0</v>
      </c>
      <c r="R891" s="3" t="s">
        <v>93</v>
      </c>
      <c r="S891" s="7">
        <v>41021.0</v>
      </c>
      <c r="T891" s="3" t="s">
        <v>63</v>
      </c>
      <c r="U891" s="6" t="s">
        <v>284</v>
      </c>
      <c r="V891" s="3" t="s">
        <v>4</v>
      </c>
      <c r="W891" s="3" t="s">
        <v>378</v>
      </c>
    </row>
    <row r="892" ht="15.75" customHeight="1">
      <c r="A892" s="6" t="s">
        <v>5966</v>
      </c>
      <c r="B892" s="3" t="s">
        <v>8120</v>
      </c>
      <c r="C892" s="7">
        <v>31933.0</v>
      </c>
      <c r="D892" s="3" t="s">
        <v>63</v>
      </c>
      <c r="E892" s="3">
        <v>39.0</v>
      </c>
      <c r="F892" s="3" t="s">
        <v>183</v>
      </c>
      <c r="G892" s="6" t="s">
        <v>8401</v>
      </c>
      <c r="H892" s="3" t="s">
        <v>8402</v>
      </c>
      <c r="I892" s="3" t="s">
        <v>8403</v>
      </c>
      <c r="J892" s="3" t="s">
        <v>201</v>
      </c>
      <c r="K892" s="3" t="s">
        <v>203</v>
      </c>
      <c r="L892" s="6" t="s">
        <v>5967</v>
      </c>
      <c r="M892" s="3" t="s">
        <v>63</v>
      </c>
      <c r="N892" s="6" t="s">
        <v>5968</v>
      </c>
      <c r="O892" s="3" t="s">
        <v>63</v>
      </c>
      <c r="P892" s="3" t="s">
        <v>127</v>
      </c>
      <c r="Q892" s="8">
        <v>796325.0</v>
      </c>
      <c r="R892" s="3" t="s">
        <v>93</v>
      </c>
      <c r="S892" s="7">
        <v>40012.0</v>
      </c>
      <c r="T892" s="3" t="s">
        <v>63</v>
      </c>
      <c r="U892" s="6" t="s">
        <v>266</v>
      </c>
      <c r="V892" s="3" t="s">
        <v>4</v>
      </c>
      <c r="W892" s="3" t="s">
        <v>102</v>
      </c>
    </row>
    <row r="893" ht="15.75" customHeight="1">
      <c r="A893" s="6" t="s">
        <v>839</v>
      </c>
      <c r="B893" s="3" t="s">
        <v>8404</v>
      </c>
      <c r="C893" s="7">
        <v>30009.0</v>
      </c>
      <c r="D893" s="3" t="s">
        <v>63</v>
      </c>
      <c r="E893" s="3">
        <v>44.0</v>
      </c>
      <c r="F893" s="3" t="s">
        <v>70</v>
      </c>
      <c r="G893" s="6" t="s">
        <v>8405</v>
      </c>
      <c r="H893" s="3" t="s">
        <v>8406</v>
      </c>
      <c r="I893" s="3" t="s">
        <v>8149</v>
      </c>
      <c r="J893" s="3" t="s">
        <v>134</v>
      </c>
      <c r="K893" s="3" t="s">
        <v>137</v>
      </c>
      <c r="L893" s="6" t="s">
        <v>1075</v>
      </c>
      <c r="M893" s="3" t="s">
        <v>63</v>
      </c>
      <c r="N893" s="6" t="s">
        <v>1079</v>
      </c>
      <c r="O893" s="3" t="s">
        <v>63</v>
      </c>
      <c r="P893" s="3" t="s">
        <v>90</v>
      </c>
      <c r="Q893" s="3"/>
      <c r="R893" s="3" t="s">
        <v>258</v>
      </c>
      <c r="S893" s="7">
        <v>44603.0</v>
      </c>
      <c r="T893" s="3" t="s">
        <v>63</v>
      </c>
      <c r="U893" s="6" t="s">
        <v>401</v>
      </c>
      <c r="V893" s="3" t="s">
        <v>4</v>
      </c>
      <c r="W893" s="3" t="s">
        <v>102</v>
      </c>
    </row>
    <row r="894" ht="15.75" customHeight="1">
      <c r="A894" s="6" t="s">
        <v>614</v>
      </c>
      <c r="B894" s="3" t="s">
        <v>8407</v>
      </c>
      <c r="C894" s="7">
        <v>28894.0</v>
      </c>
      <c r="D894" s="3" t="s">
        <v>63</v>
      </c>
      <c r="E894" s="3">
        <v>47.0</v>
      </c>
      <c r="F894" s="3" t="s">
        <v>183</v>
      </c>
      <c r="G894" s="6" t="s">
        <v>8408</v>
      </c>
      <c r="H894" s="3" t="s">
        <v>8409</v>
      </c>
      <c r="I894" s="3" t="s">
        <v>8410</v>
      </c>
      <c r="J894" s="3" t="s">
        <v>379</v>
      </c>
      <c r="K894" s="3" t="s">
        <v>229</v>
      </c>
      <c r="L894" s="3"/>
      <c r="M894" s="3" t="s">
        <v>88</v>
      </c>
      <c r="N894" s="6" t="s">
        <v>2852</v>
      </c>
      <c r="O894" s="3" t="s">
        <v>63</v>
      </c>
      <c r="P894" s="3" t="s">
        <v>90</v>
      </c>
      <c r="Q894" s="3"/>
      <c r="R894" s="3" t="s">
        <v>258</v>
      </c>
      <c r="S894" s="7">
        <v>38670.0</v>
      </c>
      <c r="T894" s="3" t="s">
        <v>63</v>
      </c>
      <c r="U894" s="6" t="s">
        <v>92</v>
      </c>
      <c r="V894" s="3" t="s">
        <v>4</v>
      </c>
      <c r="W894" s="3" t="s">
        <v>102</v>
      </c>
    </row>
    <row r="895" ht="15.75" customHeight="1">
      <c r="A895" s="6" t="s">
        <v>3614</v>
      </c>
      <c r="B895" s="3" t="s">
        <v>8411</v>
      </c>
      <c r="C895" s="7">
        <v>28998.0</v>
      </c>
      <c r="D895" s="3" t="s">
        <v>63</v>
      </c>
      <c r="E895" s="3">
        <v>47.0</v>
      </c>
      <c r="F895" s="3" t="s">
        <v>183</v>
      </c>
      <c r="G895" s="6" t="s">
        <v>8412</v>
      </c>
      <c r="H895" s="3" t="s">
        <v>8413</v>
      </c>
      <c r="I895" s="3" t="s">
        <v>8414</v>
      </c>
      <c r="J895" s="3" t="s">
        <v>349</v>
      </c>
      <c r="K895" s="3" t="s">
        <v>45</v>
      </c>
      <c r="L895" s="6" t="s">
        <v>6051</v>
      </c>
      <c r="M895" s="3" t="s">
        <v>63</v>
      </c>
      <c r="N895" s="6" t="s">
        <v>6052</v>
      </c>
      <c r="O895" s="3" t="s">
        <v>63</v>
      </c>
      <c r="P895" s="3" t="s">
        <v>202</v>
      </c>
      <c r="Q895" s="3"/>
      <c r="R895" s="3" t="s">
        <v>258</v>
      </c>
      <c r="S895" s="7">
        <v>42128.0</v>
      </c>
      <c r="T895" s="3" t="s">
        <v>63</v>
      </c>
      <c r="U895" s="6" t="s">
        <v>277</v>
      </c>
      <c r="V895" s="3" t="s">
        <v>4</v>
      </c>
      <c r="W895" s="3" t="s">
        <v>102</v>
      </c>
    </row>
    <row r="896" ht="15.75" customHeight="1">
      <c r="A896" s="6" t="s">
        <v>4480</v>
      </c>
      <c r="B896" s="3" t="s">
        <v>8415</v>
      </c>
      <c r="C896" s="7">
        <v>34744.0</v>
      </c>
      <c r="D896" s="3" t="s">
        <v>63</v>
      </c>
      <c r="E896" s="3">
        <v>31.0</v>
      </c>
      <c r="F896" s="3" t="s">
        <v>183</v>
      </c>
      <c r="G896" s="6" t="s">
        <v>8416</v>
      </c>
      <c r="H896" s="3" t="s">
        <v>8417</v>
      </c>
      <c r="I896" s="3" t="s">
        <v>7627</v>
      </c>
      <c r="J896" s="3" t="s">
        <v>250</v>
      </c>
      <c r="K896" s="3" t="s">
        <v>252</v>
      </c>
      <c r="L896" s="6" t="s">
        <v>5397</v>
      </c>
      <c r="M896" s="3" t="s">
        <v>63</v>
      </c>
      <c r="N896" s="6" t="s">
        <v>5398</v>
      </c>
      <c r="O896" s="3" t="s">
        <v>63</v>
      </c>
      <c r="P896" s="3" t="s">
        <v>464</v>
      </c>
      <c r="Q896" s="3"/>
      <c r="R896" s="3" t="s">
        <v>258</v>
      </c>
      <c r="S896" s="7">
        <v>39290.0</v>
      </c>
      <c r="T896" s="3" t="s">
        <v>63</v>
      </c>
      <c r="U896" s="6" t="s">
        <v>311</v>
      </c>
      <c r="V896" s="3" t="s">
        <v>237</v>
      </c>
      <c r="W896" s="3" t="s">
        <v>102</v>
      </c>
    </row>
    <row r="897" ht="15.75" customHeight="1">
      <c r="A897" s="6" t="s">
        <v>3686</v>
      </c>
      <c r="B897" s="3" t="s">
        <v>8418</v>
      </c>
      <c r="C897" s="7">
        <v>47194.0</v>
      </c>
      <c r="D897" s="3" t="s">
        <v>1155</v>
      </c>
      <c r="E897" s="3"/>
      <c r="F897" s="3" t="s">
        <v>183</v>
      </c>
      <c r="G897" s="6" t="s">
        <v>8419</v>
      </c>
      <c r="H897" s="3" t="s">
        <v>8420</v>
      </c>
      <c r="I897" s="3" t="s">
        <v>8421</v>
      </c>
      <c r="J897" s="3" t="s">
        <v>167</v>
      </c>
      <c r="K897" s="3" t="s">
        <v>169</v>
      </c>
      <c r="L897" s="6" t="s">
        <v>3688</v>
      </c>
      <c r="M897" s="3" t="s">
        <v>63</v>
      </c>
      <c r="N897" s="3"/>
      <c r="O897" s="3" t="s">
        <v>88</v>
      </c>
      <c r="P897" s="3" t="s">
        <v>202</v>
      </c>
      <c r="Q897" s="8">
        <v>1224763.0</v>
      </c>
      <c r="R897" s="3" t="s">
        <v>93</v>
      </c>
      <c r="S897" s="7">
        <v>39727.0</v>
      </c>
      <c r="T897" s="3" t="s">
        <v>1178</v>
      </c>
      <c r="U897" s="6" t="s">
        <v>311</v>
      </c>
      <c r="V897" s="3" t="s">
        <v>4</v>
      </c>
      <c r="W897" s="3" t="s">
        <v>102</v>
      </c>
    </row>
    <row r="898" ht="15.75" customHeight="1">
      <c r="A898" s="6" t="s">
        <v>3623</v>
      </c>
      <c r="B898" s="3" t="s">
        <v>8422</v>
      </c>
      <c r="C898" s="7">
        <v>23067.0</v>
      </c>
      <c r="D898" s="3" t="s">
        <v>63</v>
      </c>
      <c r="E898" s="3">
        <v>63.0</v>
      </c>
      <c r="F898" s="3" t="s">
        <v>183</v>
      </c>
      <c r="G898" s="6" t="s">
        <v>8423</v>
      </c>
      <c r="H898" s="3" t="s">
        <v>8424</v>
      </c>
      <c r="I898" s="3" t="s">
        <v>7496</v>
      </c>
      <c r="J898" s="3" t="s">
        <v>227</v>
      </c>
      <c r="K898" s="3" t="s">
        <v>229</v>
      </c>
      <c r="L898" s="6" t="s">
        <v>3625</v>
      </c>
      <c r="M898" s="3" t="s">
        <v>63</v>
      </c>
      <c r="N898" s="3"/>
      <c r="O898" s="3" t="s">
        <v>88</v>
      </c>
      <c r="P898" s="3" t="s">
        <v>90</v>
      </c>
      <c r="Q898" s="3"/>
      <c r="R898" s="3" t="s">
        <v>258</v>
      </c>
      <c r="S898" s="7">
        <v>43548.0</v>
      </c>
      <c r="T898" s="3" t="s">
        <v>63</v>
      </c>
      <c r="U898" s="6" t="s">
        <v>163</v>
      </c>
      <c r="V898" s="3" t="s">
        <v>237</v>
      </c>
      <c r="W898" s="3" t="s">
        <v>102</v>
      </c>
    </row>
    <row r="899" ht="15.75" customHeight="1">
      <c r="A899" s="6" t="s">
        <v>1124</v>
      </c>
      <c r="B899" s="3" t="s">
        <v>7083</v>
      </c>
      <c r="C899" s="7">
        <v>30995.0</v>
      </c>
      <c r="D899" s="3" t="s">
        <v>63</v>
      </c>
      <c r="E899" s="3">
        <v>41.0</v>
      </c>
      <c r="F899" s="3" t="s">
        <v>183</v>
      </c>
      <c r="G899" s="6" t="s">
        <v>8425</v>
      </c>
      <c r="H899" s="3" t="s">
        <v>8426</v>
      </c>
      <c r="I899" s="3" t="s">
        <v>8427</v>
      </c>
      <c r="J899" s="3" t="s">
        <v>327</v>
      </c>
      <c r="K899" s="3" t="s">
        <v>169</v>
      </c>
      <c r="L899" s="6" t="s">
        <v>2240</v>
      </c>
      <c r="M899" s="3" t="s">
        <v>63</v>
      </c>
      <c r="N899" s="6" t="s">
        <v>2242</v>
      </c>
      <c r="O899" s="3" t="s">
        <v>620</v>
      </c>
      <c r="P899" s="3" t="s">
        <v>396</v>
      </c>
      <c r="Q899" s="3"/>
      <c r="R899" s="3" t="s">
        <v>258</v>
      </c>
      <c r="S899" s="7">
        <v>41968.0</v>
      </c>
      <c r="T899" s="3" t="s">
        <v>63</v>
      </c>
      <c r="U899" s="6" t="s">
        <v>262</v>
      </c>
      <c r="V899" s="3" t="s">
        <v>237</v>
      </c>
      <c r="W899" s="3" t="s">
        <v>102</v>
      </c>
    </row>
    <row r="900" ht="15.75" customHeight="1">
      <c r="A900" s="6" t="s">
        <v>3861</v>
      </c>
      <c r="B900" s="3" t="s">
        <v>8163</v>
      </c>
      <c r="C900" s="7">
        <v>38080.0</v>
      </c>
      <c r="D900" s="3" t="s">
        <v>63</v>
      </c>
      <c r="E900" s="3">
        <v>22.0</v>
      </c>
      <c r="F900" s="3" t="s">
        <v>70</v>
      </c>
      <c r="G900" s="6" t="s">
        <v>8428</v>
      </c>
      <c r="H900" s="3" t="s">
        <v>8165</v>
      </c>
      <c r="I900" s="3" t="s">
        <v>8166</v>
      </c>
      <c r="J900" s="3" t="s">
        <v>8167</v>
      </c>
      <c r="K900" s="3" t="s">
        <v>203</v>
      </c>
      <c r="L900" s="6" t="s">
        <v>3711</v>
      </c>
      <c r="M900" s="3" t="s">
        <v>63</v>
      </c>
      <c r="N900" s="6" t="s">
        <v>3713</v>
      </c>
      <c r="O900" s="3" t="s">
        <v>63</v>
      </c>
      <c r="P900" s="3" t="s">
        <v>202</v>
      </c>
      <c r="Q900" s="8">
        <v>344702.0</v>
      </c>
      <c r="R900" s="3" t="s">
        <v>93</v>
      </c>
      <c r="S900" s="7">
        <v>45666.0</v>
      </c>
      <c r="T900" s="3" t="s">
        <v>63</v>
      </c>
      <c r="U900" s="6" t="s">
        <v>197</v>
      </c>
      <c r="V900" s="3" t="s">
        <v>4</v>
      </c>
      <c r="W900" s="3" t="s">
        <v>378</v>
      </c>
    </row>
    <row r="901" ht="15.75" customHeight="1">
      <c r="A901" s="6" t="s">
        <v>2836</v>
      </c>
      <c r="B901" s="3" t="s">
        <v>8429</v>
      </c>
      <c r="C901" s="7">
        <v>28894.0</v>
      </c>
      <c r="D901" s="3" t="s">
        <v>63</v>
      </c>
      <c r="E901" s="3">
        <v>47.0</v>
      </c>
      <c r="F901" s="3" t="s">
        <v>70</v>
      </c>
      <c r="G901" s="6" t="s">
        <v>8430</v>
      </c>
      <c r="H901" s="3" t="s">
        <v>8431</v>
      </c>
      <c r="I901" s="3" t="s">
        <v>8432</v>
      </c>
      <c r="J901" s="3" t="s">
        <v>250</v>
      </c>
      <c r="K901" s="3" t="s">
        <v>252</v>
      </c>
      <c r="L901" s="6" t="s">
        <v>8433</v>
      </c>
      <c r="M901" s="3" t="s">
        <v>63</v>
      </c>
      <c r="N901" s="6" t="s">
        <v>8434</v>
      </c>
      <c r="O901" s="3" t="s">
        <v>63</v>
      </c>
      <c r="P901" s="3" t="s">
        <v>127</v>
      </c>
      <c r="Q901" s="3"/>
      <c r="R901" s="3" t="s">
        <v>258</v>
      </c>
      <c r="S901" s="7">
        <v>43607.0</v>
      </c>
      <c r="T901" s="3" t="s">
        <v>63</v>
      </c>
      <c r="U901" s="6" t="s">
        <v>234</v>
      </c>
      <c r="V901" s="3" t="s">
        <v>4</v>
      </c>
      <c r="W901" s="3" t="s">
        <v>102</v>
      </c>
    </row>
    <row r="902" ht="15.75" customHeight="1">
      <c r="A902" s="6" t="s">
        <v>4670</v>
      </c>
      <c r="B902" s="3" t="s">
        <v>8435</v>
      </c>
      <c r="C902" s="7">
        <v>22251.0</v>
      </c>
      <c r="D902" s="3" t="s">
        <v>63</v>
      </c>
      <c r="E902" s="3">
        <v>65.0</v>
      </c>
      <c r="F902" s="3" t="s">
        <v>70</v>
      </c>
      <c r="G902" s="3"/>
      <c r="H902" s="3" t="s">
        <v>8436</v>
      </c>
      <c r="I902" s="3" t="s">
        <v>8437</v>
      </c>
      <c r="J902" s="3" t="s">
        <v>349</v>
      </c>
      <c r="K902" s="3" t="s">
        <v>45</v>
      </c>
      <c r="L902" s="6" t="s">
        <v>4673</v>
      </c>
      <c r="M902" s="3" t="s">
        <v>63</v>
      </c>
      <c r="N902" s="6" t="s">
        <v>4675</v>
      </c>
      <c r="O902" s="3" t="s">
        <v>63</v>
      </c>
      <c r="P902" s="3" t="s">
        <v>324</v>
      </c>
      <c r="Q902" s="8">
        <v>1421292.0</v>
      </c>
      <c r="R902" s="3" t="s">
        <v>93</v>
      </c>
      <c r="S902" s="7">
        <v>45677.0</v>
      </c>
      <c r="T902" s="3" t="s">
        <v>63</v>
      </c>
      <c r="U902" s="6" t="s">
        <v>136</v>
      </c>
      <c r="V902" s="3" t="s">
        <v>4</v>
      </c>
      <c r="W902" s="3" t="s">
        <v>102</v>
      </c>
    </row>
    <row r="903" ht="15.75" customHeight="1">
      <c r="A903" s="6" t="s">
        <v>4218</v>
      </c>
      <c r="B903" s="3" t="s">
        <v>4377</v>
      </c>
      <c r="C903" s="7">
        <v>27490.0</v>
      </c>
      <c r="D903" s="3" t="s">
        <v>63</v>
      </c>
      <c r="E903" s="3">
        <v>51.0</v>
      </c>
      <c r="F903" s="3" t="s">
        <v>183</v>
      </c>
      <c r="G903" s="6" t="s">
        <v>8438</v>
      </c>
      <c r="H903" s="3" t="s">
        <v>8439</v>
      </c>
      <c r="I903" s="3" t="s">
        <v>8440</v>
      </c>
      <c r="J903" s="3" t="s">
        <v>65</v>
      </c>
      <c r="K903" s="3" t="s">
        <v>67</v>
      </c>
      <c r="L903" s="6" t="s">
        <v>5819</v>
      </c>
      <c r="M903" s="3" t="s">
        <v>63</v>
      </c>
      <c r="N903" s="3"/>
      <c r="O903" s="3" t="s">
        <v>88</v>
      </c>
      <c r="P903" s="3" t="s">
        <v>202</v>
      </c>
      <c r="Q903" s="8">
        <v>305072.0</v>
      </c>
      <c r="R903" s="3" t="s">
        <v>93</v>
      </c>
      <c r="S903" s="7">
        <v>42676.0</v>
      </c>
      <c r="T903" s="3" t="s">
        <v>63</v>
      </c>
      <c r="U903" s="6" t="s">
        <v>92</v>
      </c>
      <c r="V903" s="3" t="s">
        <v>4</v>
      </c>
      <c r="W903" s="3" t="s">
        <v>102</v>
      </c>
    </row>
    <row r="904" ht="15.75" customHeight="1">
      <c r="A904" s="6" t="s">
        <v>1705</v>
      </c>
      <c r="B904" s="3" t="s">
        <v>8441</v>
      </c>
      <c r="C904" s="7">
        <v>33268.0</v>
      </c>
      <c r="D904" s="3" t="s">
        <v>63</v>
      </c>
      <c r="E904" s="3">
        <v>35.0</v>
      </c>
      <c r="F904" s="3" t="s">
        <v>70</v>
      </c>
      <c r="G904" s="6" t="s">
        <v>8442</v>
      </c>
      <c r="H904" s="3" t="s">
        <v>8443</v>
      </c>
      <c r="I904" s="3" t="s">
        <v>8444</v>
      </c>
      <c r="J904" s="3" t="s">
        <v>98</v>
      </c>
      <c r="K904" s="3" t="s">
        <v>101</v>
      </c>
      <c r="L904" s="6" t="s">
        <v>1707</v>
      </c>
      <c r="M904" s="3" t="s">
        <v>63</v>
      </c>
      <c r="N904" s="6" t="s">
        <v>1709</v>
      </c>
      <c r="O904" s="3" t="s">
        <v>63</v>
      </c>
      <c r="P904" s="3" t="s">
        <v>160</v>
      </c>
      <c r="Q904" s="3"/>
      <c r="R904" s="3" t="s">
        <v>258</v>
      </c>
      <c r="S904" s="7">
        <v>44434.0</v>
      </c>
      <c r="T904" s="3" t="s">
        <v>63</v>
      </c>
      <c r="U904" s="6" t="s">
        <v>36</v>
      </c>
      <c r="V904" s="3" t="s">
        <v>4</v>
      </c>
      <c r="W904" s="3" t="s">
        <v>102</v>
      </c>
    </row>
    <row r="905" ht="15.75" customHeight="1">
      <c r="A905" s="6" t="s">
        <v>1382</v>
      </c>
      <c r="B905" s="3" t="s">
        <v>8445</v>
      </c>
      <c r="C905" s="7">
        <v>20825.0</v>
      </c>
      <c r="D905" s="3" t="s">
        <v>63</v>
      </c>
      <c r="E905" s="3">
        <v>69.0</v>
      </c>
      <c r="F905" s="3" t="s">
        <v>183</v>
      </c>
      <c r="G905" s="6" t="s">
        <v>8446</v>
      </c>
      <c r="H905" s="3" t="s">
        <v>8447</v>
      </c>
      <c r="I905" s="3" t="s">
        <v>8448</v>
      </c>
      <c r="J905" s="3" t="s">
        <v>43</v>
      </c>
      <c r="K905" s="3" t="s">
        <v>45</v>
      </c>
      <c r="L905" s="6" t="s">
        <v>1383</v>
      </c>
      <c r="M905" s="3" t="s">
        <v>63</v>
      </c>
      <c r="N905" s="6" t="s">
        <v>1386</v>
      </c>
      <c r="O905" s="3" t="s">
        <v>63</v>
      </c>
      <c r="P905" s="3" t="s">
        <v>300</v>
      </c>
      <c r="Q905" s="3"/>
      <c r="R905" s="3" t="s">
        <v>258</v>
      </c>
      <c r="S905" s="7">
        <v>39143.0</v>
      </c>
      <c r="T905" s="3" t="s">
        <v>63</v>
      </c>
      <c r="U905" s="6" t="s">
        <v>333</v>
      </c>
      <c r="V905" s="3" t="s">
        <v>4</v>
      </c>
      <c r="W905" s="3" t="s">
        <v>102</v>
      </c>
    </row>
    <row r="906" ht="15.75" customHeight="1">
      <c r="A906" s="6" t="s">
        <v>1611</v>
      </c>
      <c r="B906" s="3" t="s">
        <v>8449</v>
      </c>
      <c r="C906" s="7">
        <v>31961.0</v>
      </c>
      <c r="D906" s="3" t="s">
        <v>63</v>
      </c>
      <c r="E906" s="3">
        <v>39.0</v>
      </c>
      <c r="F906" s="3" t="s">
        <v>70</v>
      </c>
      <c r="G906" s="6" t="s">
        <v>8450</v>
      </c>
      <c r="H906" s="3" t="s">
        <v>8451</v>
      </c>
      <c r="I906" s="3" t="s">
        <v>8452</v>
      </c>
      <c r="J906" s="3" t="s">
        <v>184</v>
      </c>
      <c r="K906" s="3" t="s">
        <v>187</v>
      </c>
      <c r="L906" s="6" t="s">
        <v>1613</v>
      </c>
      <c r="M906" s="3" t="s">
        <v>63</v>
      </c>
      <c r="N906" s="6" t="s">
        <v>1614</v>
      </c>
      <c r="O906" s="3" t="s">
        <v>63</v>
      </c>
      <c r="P906" s="3" t="s">
        <v>464</v>
      </c>
      <c r="Q906" s="3"/>
      <c r="R906" s="3" t="s">
        <v>258</v>
      </c>
      <c r="S906" s="7">
        <v>40235.0</v>
      </c>
      <c r="T906" s="3" t="s">
        <v>63</v>
      </c>
      <c r="U906" s="6" t="s">
        <v>60</v>
      </c>
      <c r="V906" s="3" t="s">
        <v>237</v>
      </c>
      <c r="W906" s="3" t="s">
        <v>102</v>
      </c>
    </row>
    <row r="907" ht="15.75" customHeight="1">
      <c r="A907" s="6" t="s">
        <v>3003</v>
      </c>
      <c r="B907" s="3" t="s">
        <v>8453</v>
      </c>
      <c r="C907" s="7">
        <v>20161.0</v>
      </c>
      <c r="D907" s="3" t="s">
        <v>63</v>
      </c>
      <c r="E907" s="3">
        <v>71.0</v>
      </c>
      <c r="F907" s="3" t="s">
        <v>183</v>
      </c>
      <c r="G907" s="6" t="s">
        <v>8454</v>
      </c>
      <c r="H907" s="3" t="s">
        <v>8455</v>
      </c>
      <c r="I907" s="3" t="s">
        <v>8456</v>
      </c>
      <c r="J907" s="3" t="s">
        <v>225</v>
      </c>
      <c r="K907" s="3" t="s">
        <v>101</v>
      </c>
      <c r="L907" s="6" t="s">
        <v>5192</v>
      </c>
      <c r="M907" s="3" t="s">
        <v>63</v>
      </c>
      <c r="N907" s="6" t="s">
        <v>5194</v>
      </c>
      <c r="O907" s="3" t="s">
        <v>63</v>
      </c>
      <c r="P907" s="3" t="s">
        <v>396</v>
      </c>
      <c r="Q907" s="3"/>
      <c r="R907" s="3" t="s">
        <v>258</v>
      </c>
      <c r="S907" s="7">
        <v>40594.0</v>
      </c>
      <c r="T907" s="3" t="s">
        <v>63</v>
      </c>
      <c r="U907" s="6" t="s">
        <v>208</v>
      </c>
      <c r="V907" s="3" t="s">
        <v>4</v>
      </c>
      <c r="W907" s="3" t="s">
        <v>102</v>
      </c>
    </row>
    <row r="908" ht="15.75" customHeight="1">
      <c r="A908" s="6" t="s">
        <v>653</v>
      </c>
      <c r="B908" s="3" t="s">
        <v>8457</v>
      </c>
      <c r="C908" s="7">
        <v>37315.0</v>
      </c>
      <c r="D908" s="3" t="s">
        <v>63</v>
      </c>
      <c r="E908" s="3">
        <v>24.0</v>
      </c>
      <c r="F908" s="3" t="s">
        <v>70</v>
      </c>
      <c r="G908" s="6" t="s">
        <v>8458</v>
      </c>
      <c r="H908" s="3" t="s">
        <v>8459</v>
      </c>
      <c r="I908" s="3" t="s">
        <v>8460</v>
      </c>
      <c r="J908" s="3" t="s">
        <v>119</v>
      </c>
      <c r="K908" s="3" t="s">
        <v>121</v>
      </c>
      <c r="L908" s="6" t="s">
        <v>654</v>
      </c>
      <c r="M908" s="3" t="s">
        <v>63</v>
      </c>
      <c r="N908" s="6" t="s">
        <v>656</v>
      </c>
      <c r="O908" s="3" t="s">
        <v>63</v>
      </c>
      <c r="P908" s="3" t="s">
        <v>90</v>
      </c>
      <c r="Q908" s="3"/>
      <c r="R908" s="3" t="s">
        <v>258</v>
      </c>
      <c r="S908" s="7">
        <v>42432.0</v>
      </c>
      <c r="T908" s="3" t="s">
        <v>63</v>
      </c>
      <c r="U908" s="6" t="s">
        <v>197</v>
      </c>
      <c r="V908" s="3" t="s">
        <v>4</v>
      </c>
      <c r="W908" s="3" t="s">
        <v>102</v>
      </c>
    </row>
    <row r="909" ht="15.75" customHeight="1">
      <c r="A909" s="6" t="s">
        <v>1756</v>
      </c>
      <c r="B909" s="3" t="s">
        <v>2001</v>
      </c>
      <c r="C909" s="7">
        <v>27317.0</v>
      </c>
      <c r="D909" s="3" t="s">
        <v>63</v>
      </c>
      <c r="E909" s="3">
        <v>51.0</v>
      </c>
      <c r="F909" s="3" t="s">
        <v>70</v>
      </c>
      <c r="G909" s="3"/>
      <c r="H909" s="3" t="s">
        <v>8461</v>
      </c>
      <c r="I909" s="3" t="s">
        <v>8462</v>
      </c>
      <c r="J909" s="3" t="s">
        <v>153</v>
      </c>
      <c r="K909" s="3" t="s">
        <v>67</v>
      </c>
      <c r="L909" s="6" t="s">
        <v>5363</v>
      </c>
      <c r="M909" s="3" t="s">
        <v>63</v>
      </c>
      <c r="N909" s="6" t="s">
        <v>5364</v>
      </c>
      <c r="O909" s="3" t="s">
        <v>63</v>
      </c>
      <c r="P909" s="3" t="s">
        <v>202</v>
      </c>
      <c r="Q909" s="3"/>
      <c r="R909" s="3" t="s">
        <v>258</v>
      </c>
      <c r="S909" s="7">
        <v>45741.0</v>
      </c>
      <c r="T909" s="3" t="s">
        <v>63</v>
      </c>
      <c r="U909" s="6" t="s">
        <v>80</v>
      </c>
      <c r="V909" s="3" t="s">
        <v>237</v>
      </c>
      <c r="W909" s="3" t="s">
        <v>102</v>
      </c>
    </row>
    <row r="910" ht="15.75" customHeight="1">
      <c r="A910" s="6" t="s">
        <v>6114</v>
      </c>
      <c r="B910" s="3" t="s">
        <v>8463</v>
      </c>
      <c r="C910" s="7">
        <v>35497.0</v>
      </c>
      <c r="D910" s="3" t="s">
        <v>63</v>
      </c>
      <c r="E910" s="3">
        <v>29.0</v>
      </c>
      <c r="F910" s="3" t="s">
        <v>70</v>
      </c>
      <c r="G910" s="6" t="s">
        <v>8464</v>
      </c>
      <c r="H910" s="3" t="s">
        <v>8465</v>
      </c>
      <c r="I910" s="3" t="s">
        <v>6055</v>
      </c>
      <c r="J910" s="3" t="s">
        <v>349</v>
      </c>
      <c r="K910" s="3" t="s">
        <v>45</v>
      </c>
      <c r="L910" s="6" t="s">
        <v>6115</v>
      </c>
      <c r="M910" s="3" t="s">
        <v>63</v>
      </c>
      <c r="N910" s="6" t="s">
        <v>6116</v>
      </c>
      <c r="O910" s="3" t="s">
        <v>63</v>
      </c>
      <c r="P910" s="3" t="s">
        <v>300</v>
      </c>
      <c r="Q910" s="3"/>
      <c r="R910" s="3" t="s">
        <v>258</v>
      </c>
      <c r="S910" s="7">
        <v>42996.0</v>
      </c>
      <c r="T910" s="3" t="s">
        <v>63</v>
      </c>
      <c r="U910" s="6" t="s">
        <v>60</v>
      </c>
      <c r="V910" s="3" t="s">
        <v>4</v>
      </c>
      <c r="W910" s="3" t="s">
        <v>102</v>
      </c>
    </row>
    <row r="911" ht="15.75" customHeight="1">
      <c r="A911" s="6" t="s">
        <v>3759</v>
      </c>
      <c r="B911" s="3" t="s">
        <v>8466</v>
      </c>
      <c r="C911" s="7">
        <v>30212.0</v>
      </c>
      <c r="D911" s="3" t="s">
        <v>63</v>
      </c>
      <c r="E911" s="3">
        <v>43.0</v>
      </c>
      <c r="F911" s="3" t="s">
        <v>183</v>
      </c>
      <c r="G911" s="6" t="s">
        <v>8467</v>
      </c>
      <c r="H911" s="3" t="s">
        <v>8468</v>
      </c>
      <c r="I911" s="3" t="s">
        <v>8469</v>
      </c>
      <c r="J911" s="3" t="s">
        <v>98</v>
      </c>
      <c r="K911" s="3" t="s">
        <v>101</v>
      </c>
      <c r="L911" s="6" t="s">
        <v>4628</v>
      </c>
      <c r="M911" s="3" t="s">
        <v>63</v>
      </c>
      <c r="N911" s="6" t="s">
        <v>4629</v>
      </c>
      <c r="O911" s="3" t="s">
        <v>63</v>
      </c>
      <c r="P911" s="3" t="s">
        <v>464</v>
      </c>
      <c r="Q911" s="3"/>
      <c r="R911" s="3" t="s">
        <v>258</v>
      </c>
      <c r="S911" s="7">
        <v>43998.0</v>
      </c>
      <c r="T911" s="3" t="s">
        <v>63</v>
      </c>
      <c r="U911" s="6" t="s">
        <v>60</v>
      </c>
      <c r="V911" s="3" t="s">
        <v>4</v>
      </c>
      <c r="W911" s="3" t="s">
        <v>102</v>
      </c>
    </row>
    <row r="912" ht="15.75" customHeight="1">
      <c r="A912" s="6" t="s">
        <v>671</v>
      </c>
      <c r="B912" s="3" t="s">
        <v>4852</v>
      </c>
      <c r="C912" s="7">
        <v>25718.0</v>
      </c>
      <c r="D912" s="3" t="s">
        <v>63</v>
      </c>
      <c r="E912" s="3">
        <v>56.0</v>
      </c>
      <c r="F912" s="3" t="s">
        <v>70</v>
      </c>
      <c r="G912" s="6" t="s">
        <v>8470</v>
      </c>
      <c r="H912" s="3" t="s">
        <v>4855</v>
      </c>
      <c r="I912" s="3" t="s">
        <v>4856</v>
      </c>
      <c r="J912" s="3" t="s">
        <v>65</v>
      </c>
      <c r="K912" s="3" t="s">
        <v>67</v>
      </c>
      <c r="L912" s="6" t="s">
        <v>672</v>
      </c>
      <c r="M912" s="3" t="s">
        <v>63</v>
      </c>
      <c r="N912" s="6" t="s">
        <v>673</v>
      </c>
      <c r="O912" s="3" t="s">
        <v>63</v>
      </c>
      <c r="P912" s="3" t="s">
        <v>90</v>
      </c>
      <c r="Q912" s="3"/>
      <c r="R912" s="3" t="s">
        <v>258</v>
      </c>
      <c r="S912" s="7">
        <v>43203.0</v>
      </c>
      <c r="T912" s="3" t="s">
        <v>63</v>
      </c>
      <c r="U912" s="6" t="s">
        <v>109</v>
      </c>
      <c r="V912" s="3" t="s">
        <v>4</v>
      </c>
      <c r="W912" s="3" t="s">
        <v>378</v>
      </c>
    </row>
    <row r="913" ht="15.75" customHeight="1">
      <c r="A913" s="6" t="s">
        <v>2592</v>
      </c>
      <c r="B913" s="3" t="s">
        <v>8471</v>
      </c>
      <c r="C913" s="7">
        <v>20794.0</v>
      </c>
      <c r="D913" s="3" t="s">
        <v>63</v>
      </c>
      <c r="E913" s="3">
        <v>69.0</v>
      </c>
      <c r="F913" s="3" t="s">
        <v>70</v>
      </c>
      <c r="G913" s="6" t="s">
        <v>8472</v>
      </c>
      <c r="H913" s="3" t="s">
        <v>8473</v>
      </c>
      <c r="I913" s="3" t="s">
        <v>8474</v>
      </c>
      <c r="J913" s="3" t="s">
        <v>250</v>
      </c>
      <c r="K913" s="3" t="s">
        <v>252</v>
      </c>
      <c r="L913" s="6" t="s">
        <v>3100</v>
      </c>
      <c r="M913" s="3" t="s">
        <v>63</v>
      </c>
      <c r="N913" s="6" t="s">
        <v>3102</v>
      </c>
      <c r="O913" s="3" t="s">
        <v>63</v>
      </c>
      <c r="P913" s="3" t="s">
        <v>372</v>
      </c>
      <c r="Q913" s="3"/>
      <c r="R913" s="3" t="s">
        <v>258</v>
      </c>
      <c r="S913" s="7">
        <v>40953.0</v>
      </c>
      <c r="T913" s="3" t="s">
        <v>63</v>
      </c>
      <c r="U913" s="6" t="s">
        <v>288</v>
      </c>
      <c r="V913" s="3" t="s">
        <v>4</v>
      </c>
      <c r="W913" s="3" t="s">
        <v>102</v>
      </c>
    </row>
    <row r="914" ht="15.75" customHeight="1">
      <c r="A914" s="6" t="s">
        <v>4518</v>
      </c>
      <c r="B914" s="3" t="s">
        <v>2019</v>
      </c>
      <c r="C914" s="7">
        <v>22923.0</v>
      </c>
      <c r="D914" s="3" t="s">
        <v>63</v>
      </c>
      <c r="E914" s="3">
        <v>63.0</v>
      </c>
      <c r="F914" s="3" t="s">
        <v>70</v>
      </c>
      <c r="G914" s="6" t="s">
        <v>8475</v>
      </c>
      <c r="H914" s="3"/>
      <c r="I914" s="3" t="s">
        <v>8476</v>
      </c>
      <c r="J914" s="3" t="s">
        <v>201</v>
      </c>
      <c r="K914" s="3" t="s">
        <v>203</v>
      </c>
      <c r="L914" s="6" t="s">
        <v>4520</v>
      </c>
      <c r="M914" s="3" t="s">
        <v>63</v>
      </c>
      <c r="N914" s="6" t="s">
        <v>4522</v>
      </c>
      <c r="O914" s="3" t="s">
        <v>63</v>
      </c>
      <c r="P914" s="3" t="s">
        <v>160</v>
      </c>
      <c r="Q914" s="3"/>
      <c r="R914" s="3" t="s">
        <v>258</v>
      </c>
      <c r="S914" s="7">
        <v>44823.0</v>
      </c>
      <c r="T914" s="3" t="s">
        <v>63</v>
      </c>
      <c r="U914" s="6" t="s">
        <v>323</v>
      </c>
      <c r="V914" s="3" t="s">
        <v>4</v>
      </c>
      <c r="W914" s="3" t="s">
        <v>102</v>
      </c>
    </row>
    <row r="915" ht="15.75" customHeight="1">
      <c r="A915" s="6" t="s">
        <v>1732</v>
      </c>
      <c r="B915" s="3" t="s">
        <v>8477</v>
      </c>
      <c r="C915" s="7">
        <v>27550.0</v>
      </c>
      <c r="D915" s="3" t="s">
        <v>63</v>
      </c>
      <c r="E915" s="3">
        <v>51.0</v>
      </c>
      <c r="F915" s="3" t="s">
        <v>70</v>
      </c>
      <c r="G915" s="6" t="s">
        <v>8478</v>
      </c>
      <c r="H915" s="3" t="s">
        <v>8479</v>
      </c>
      <c r="I915" s="3" t="s">
        <v>8480</v>
      </c>
      <c r="J915" s="3" t="s">
        <v>227</v>
      </c>
      <c r="K915" s="3" t="s">
        <v>229</v>
      </c>
      <c r="L915" s="6" t="s">
        <v>1733</v>
      </c>
      <c r="M915" s="3" t="s">
        <v>63</v>
      </c>
      <c r="N915" s="6" t="s">
        <v>1734</v>
      </c>
      <c r="O915" s="3" t="s">
        <v>63</v>
      </c>
      <c r="P915" s="3" t="s">
        <v>300</v>
      </c>
      <c r="Q915" s="3"/>
      <c r="R915" s="3" t="s">
        <v>258</v>
      </c>
      <c r="S915" s="7">
        <v>43447.0</v>
      </c>
      <c r="T915" s="3" t="s">
        <v>63</v>
      </c>
      <c r="U915" s="6" t="s">
        <v>401</v>
      </c>
      <c r="V915" s="3" t="s">
        <v>4</v>
      </c>
      <c r="W915" s="3" t="s">
        <v>102</v>
      </c>
    </row>
    <row r="916" ht="15.75" customHeight="1">
      <c r="A916" s="6" t="s">
        <v>3432</v>
      </c>
      <c r="B916" s="3" t="s">
        <v>8481</v>
      </c>
      <c r="C916" s="7">
        <v>24613.0</v>
      </c>
      <c r="D916" s="3" t="s">
        <v>63</v>
      </c>
      <c r="E916" s="3">
        <v>59.0</v>
      </c>
      <c r="F916" s="3" t="s">
        <v>183</v>
      </c>
      <c r="G916" s="6" t="s">
        <v>8482</v>
      </c>
      <c r="H916" s="3" t="s">
        <v>8483</v>
      </c>
      <c r="I916" s="3" t="s">
        <v>8484</v>
      </c>
      <c r="J916" s="3" t="s">
        <v>43</v>
      </c>
      <c r="K916" s="3" t="s">
        <v>45</v>
      </c>
      <c r="L916" s="6" t="s">
        <v>4772</v>
      </c>
      <c r="M916" s="3" t="s">
        <v>63</v>
      </c>
      <c r="N916" s="6" t="s">
        <v>4773</v>
      </c>
      <c r="O916" s="3" t="s">
        <v>63</v>
      </c>
      <c r="P916" s="3" t="s">
        <v>160</v>
      </c>
      <c r="Q916" s="3"/>
      <c r="R916" s="3" t="s">
        <v>258</v>
      </c>
      <c r="S916" s="7">
        <v>38600.0</v>
      </c>
      <c r="T916" s="3" t="s">
        <v>63</v>
      </c>
      <c r="U916" s="6" t="s">
        <v>97</v>
      </c>
      <c r="V916" s="3" t="s">
        <v>4</v>
      </c>
      <c r="W916" s="3" t="s">
        <v>102</v>
      </c>
    </row>
    <row r="917" ht="15.75" customHeight="1">
      <c r="A917" s="6" t="s">
        <v>906</v>
      </c>
      <c r="B917" s="3" t="s">
        <v>5929</v>
      </c>
      <c r="C917" s="7">
        <v>25716.0</v>
      </c>
      <c r="D917" s="3" t="s">
        <v>63</v>
      </c>
      <c r="E917" s="3">
        <v>56.0</v>
      </c>
      <c r="F917" s="3" t="s">
        <v>70</v>
      </c>
      <c r="G917" s="6" t="s">
        <v>8485</v>
      </c>
      <c r="H917" s="3" t="s">
        <v>8486</v>
      </c>
      <c r="I917" s="3" t="s">
        <v>8487</v>
      </c>
      <c r="J917" s="3" t="s">
        <v>201</v>
      </c>
      <c r="K917" s="3" t="s">
        <v>203</v>
      </c>
      <c r="L917" s="6" t="s">
        <v>908</v>
      </c>
      <c r="M917" s="3" t="s">
        <v>63</v>
      </c>
      <c r="N917" s="6" t="s">
        <v>911</v>
      </c>
      <c r="O917" s="3" t="s">
        <v>63</v>
      </c>
      <c r="P917" s="3" t="s">
        <v>372</v>
      </c>
      <c r="Q917" s="8">
        <v>1544682.0</v>
      </c>
      <c r="R917" s="3" t="s">
        <v>93</v>
      </c>
      <c r="S917" s="7">
        <v>44370.0</v>
      </c>
      <c r="T917" s="3" t="s">
        <v>63</v>
      </c>
      <c r="U917" s="6" t="s">
        <v>171</v>
      </c>
      <c r="V917" s="3" t="s">
        <v>4</v>
      </c>
      <c r="W917" s="3" t="s">
        <v>102</v>
      </c>
    </row>
    <row r="918" ht="15.75" customHeight="1">
      <c r="A918" s="6" t="s">
        <v>1374</v>
      </c>
      <c r="B918" s="3" t="s">
        <v>8488</v>
      </c>
      <c r="C918" s="7">
        <v>31075.0</v>
      </c>
      <c r="D918" s="3" t="s">
        <v>63</v>
      </c>
      <c r="E918" s="3">
        <v>41.0</v>
      </c>
      <c r="F918" s="3" t="s">
        <v>183</v>
      </c>
      <c r="G918" s="6" t="s">
        <v>8489</v>
      </c>
      <c r="H918" s="3" t="s">
        <v>8490</v>
      </c>
      <c r="I918" s="3" t="s">
        <v>8491</v>
      </c>
      <c r="J918" s="3" t="s">
        <v>225</v>
      </c>
      <c r="K918" s="3" t="s">
        <v>101</v>
      </c>
      <c r="L918" s="6" t="s">
        <v>1375</v>
      </c>
      <c r="M918" s="3" t="s">
        <v>63</v>
      </c>
      <c r="N918" s="6" t="s">
        <v>1377</v>
      </c>
      <c r="O918" s="3" t="s">
        <v>63</v>
      </c>
      <c r="P918" s="3" t="s">
        <v>372</v>
      </c>
      <c r="Q918" s="8">
        <v>1659538.0</v>
      </c>
      <c r="R918" s="3" t="s">
        <v>93</v>
      </c>
      <c r="S918" s="7">
        <v>42010.0</v>
      </c>
      <c r="T918" s="3" t="s">
        <v>63</v>
      </c>
      <c r="U918" s="6" t="s">
        <v>311</v>
      </c>
      <c r="V918" s="3" t="s">
        <v>4</v>
      </c>
      <c r="W918" s="3" t="s">
        <v>102</v>
      </c>
    </row>
    <row r="919" ht="15.75" customHeight="1">
      <c r="A919" s="6" t="s">
        <v>3830</v>
      </c>
      <c r="B919" s="3" t="s">
        <v>8492</v>
      </c>
      <c r="C919" s="7">
        <v>32301.0</v>
      </c>
      <c r="D919" s="3" t="s">
        <v>63</v>
      </c>
      <c r="E919" s="3">
        <v>38.0</v>
      </c>
      <c r="F919" s="3" t="s">
        <v>183</v>
      </c>
      <c r="G919" s="6" t="s">
        <v>8493</v>
      </c>
      <c r="H919" s="3" t="s">
        <v>8494</v>
      </c>
      <c r="I919" s="3" t="s">
        <v>7160</v>
      </c>
      <c r="J919" s="3" t="s">
        <v>43</v>
      </c>
      <c r="K919" s="3" t="s">
        <v>45</v>
      </c>
      <c r="L919" s="6" t="s">
        <v>4690</v>
      </c>
      <c r="M919" s="3" t="s">
        <v>63</v>
      </c>
      <c r="N919" s="6" t="s">
        <v>4691</v>
      </c>
      <c r="O919" s="3" t="s">
        <v>63</v>
      </c>
      <c r="P919" s="3" t="s">
        <v>464</v>
      </c>
      <c r="Q919" s="8">
        <v>821686.0</v>
      </c>
      <c r="R919" s="3" t="s">
        <v>93</v>
      </c>
      <c r="S919" s="7">
        <v>39877.0</v>
      </c>
      <c r="T919" s="3" t="s">
        <v>63</v>
      </c>
      <c r="U919" s="6" t="s">
        <v>245</v>
      </c>
      <c r="V919" s="3" t="s">
        <v>4</v>
      </c>
      <c r="W919" s="3" t="s">
        <v>102</v>
      </c>
    </row>
    <row r="920" ht="15.75" customHeight="1">
      <c r="A920" s="6" t="s">
        <v>1906</v>
      </c>
      <c r="B920" s="3" t="s">
        <v>4897</v>
      </c>
      <c r="C920" s="7">
        <v>34431.0</v>
      </c>
      <c r="D920" s="3" t="s">
        <v>63</v>
      </c>
      <c r="E920" s="3">
        <v>32.0</v>
      </c>
      <c r="F920" s="3" t="s">
        <v>70</v>
      </c>
      <c r="G920" s="3"/>
      <c r="H920" s="3" t="s">
        <v>8495</v>
      </c>
      <c r="I920" s="3" t="s">
        <v>8496</v>
      </c>
      <c r="J920" s="3" t="s">
        <v>79</v>
      </c>
      <c r="K920" s="3" t="s">
        <v>81</v>
      </c>
      <c r="L920" s="6" t="s">
        <v>2676</v>
      </c>
      <c r="M920" s="3" t="s">
        <v>63</v>
      </c>
      <c r="N920" s="6" t="s">
        <v>2677</v>
      </c>
      <c r="O920" s="3" t="s">
        <v>63</v>
      </c>
      <c r="P920" s="3" t="s">
        <v>160</v>
      </c>
      <c r="Q920" s="8">
        <v>1002956.0</v>
      </c>
      <c r="R920" s="3" t="s">
        <v>93</v>
      </c>
      <c r="S920" s="7">
        <v>43590.0</v>
      </c>
      <c r="T920" s="3" t="s">
        <v>63</v>
      </c>
      <c r="U920" s="6" t="s">
        <v>80</v>
      </c>
      <c r="V920" s="3" t="s">
        <v>4</v>
      </c>
      <c r="W920" s="3" t="s">
        <v>102</v>
      </c>
    </row>
    <row r="921" ht="15.75" customHeight="1">
      <c r="A921" s="6" t="s">
        <v>871</v>
      </c>
      <c r="B921" s="3" t="s">
        <v>8497</v>
      </c>
      <c r="C921" s="7">
        <v>30003.0</v>
      </c>
      <c r="D921" s="3" t="s">
        <v>63</v>
      </c>
      <c r="E921" s="3">
        <v>44.0</v>
      </c>
      <c r="F921" s="3" t="s">
        <v>183</v>
      </c>
      <c r="G921" s="6" t="s">
        <v>8498</v>
      </c>
      <c r="H921" s="3" t="s">
        <v>8499</v>
      </c>
      <c r="I921" s="3" t="s">
        <v>8500</v>
      </c>
      <c r="J921" s="3" t="s">
        <v>327</v>
      </c>
      <c r="K921" s="3" t="s">
        <v>169</v>
      </c>
      <c r="L921" s="6" t="s">
        <v>873</v>
      </c>
      <c r="M921" s="3" t="s">
        <v>63</v>
      </c>
      <c r="N921" s="6" t="s">
        <v>874</v>
      </c>
      <c r="O921" s="3" t="s">
        <v>63</v>
      </c>
      <c r="P921" s="3" t="s">
        <v>464</v>
      </c>
      <c r="Q921" s="3"/>
      <c r="R921" s="3" t="s">
        <v>258</v>
      </c>
      <c r="S921" s="7">
        <v>45240.0</v>
      </c>
      <c r="T921" s="3" t="s">
        <v>63</v>
      </c>
      <c r="U921" s="6" t="s">
        <v>208</v>
      </c>
      <c r="V921" s="3" t="s">
        <v>4</v>
      </c>
      <c r="W921" s="3" t="s">
        <v>102</v>
      </c>
    </row>
    <row r="922" ht="15.75" customHeight="1">
      <c r="A922" s="6" t="s">
        <v>4223</v>
      </c>
      <c r="B922" s="3" t="s">
        <v>8501</v>
      </c>
      <c r="C922" s="7">
        <v>33359.0</v>
      </c>
      <c r="D922" s="3" t="s">
        <v>63</v>
      </c>
      <c r="E922" s="3">
        <v>35.0</v>
      </c>
      <c r="F922" s="3" t="s">
        <v>183</v>
      </c>
      <c r="G922" s="6" t="s">
        <v>8502</v>
      </c>
      <c r="H922" s="3" t="s">
        <v>8503</v>
      </c>
      <c r="I922" s="3" t="s">
        <v>8504</v>
      </c>
      <c r="J922" s="3" t="s">
        <v>213</v>
      </c>
      <c r="K922" s="3" t="s">
        <v>67</v>
      </c>
      <c r="L922" s="6" t="s">
        <v>4226</v>
      </c>
      <c r="M922" s="3" t="s">
        <v>63</v>
      </c>
      <c r="N922" s="6" t="s">
        <v>4227</v>
      </c>
      <c r="O922" s="3" t="s">
        <v>63</v>
      </c>
      <c r="P922" s="3" t="s">
        <v>127</v>
      </c>
      <c r="Q922" s="8">
        <v>1740929.0</v>
      </c>
      <c r="R922" s="3" t="s">
        <v>93</v>
      </c>
      <c r="S922" s="7">
        <v>44082.0</v>
      </c>
      <c r="T922" s="3" t="s">
        <v>63</v>
      </c>
      <c r="U922" s="6" t="s">
        <v>323</v>
      </c>
      <c r="V922" s="3" t="s">
        <v>237</v>
      </c>
      <c r="W922" s="3" t="s">
        <v>102</v>
      </c>
    </row>
    <row r="923" ht="15.75" customHeight="1">
      <c r="A923" s="6" t="s">
        <v>3329</v>
      </c>
      <c r="B923" s="3" t="s">
        <v>8505</v>
      </c>
      <c r="C923" s="7">
        <v>31317.0</v>
      </c>
      <c r="D923" s="3" t="s">
        <v>63</v>
      </c>
      <c r="E923" s="3">
        <v>40.0</v>
      </c>
      <c r="F923" s="3" t="s">
        <v>183</v>
      </c>
      <c r="G923" s="6" t="s">
        <v>8506</v>
      </c>
      <c r="H923" s="3" t="s">
        <v>8507</v>
      </c>
      <c r="I923" s="3" t="s">
        <v>8508</v>
      </c>
      <c r="J923" s="3" t="s">
        <v>271</v>
      </c>
      <c r="K923" s="3" t="s">
        <v>273</v>
      </c>
      <c r="L923" s="6" t="s">
        <v>3330</v>
      </c>
      <c r="M923" s="3" t="s">
        <v>63</v>
      </c>
      <c r="N923" s="6" t="s">
        <v>3332</v>
      </c>
      <c r="O923" s="3" t="s">
        <v>63</v>
      </c>
      <c r="P923" s="3" t="s">
        <v>160</v>
      </c>
      <c r="Q923" s="3"/>
      <c r="R923" s="3" t="s">
        <v>258</v>
      </c>
      <c r="S923" s="7">
        <v>45047.0</v>
      </c>
      <c r="T923" s="3" t="s">
        <v>63</v>
      </c>
      <c r="U923" s="6" t="s">
        <v>245</v>
      </c>
      <c r="V923" s="3" t="s">
        <v>4</v>
      </c>
      <c r="W923" s="3" t="s">
        <v>102</v>
      </c>
    </row>
    <row r="924" ht="15.75" customHeight="1">
      <c r="A924" s="6" t="s">
        <v>5891</v>
      </c>
      <c r="B924" s="3" t="s">
        <v>8509</v>
      </c>
      <c r="C924" s="7">
        <v>33935.0</v>
      </c>
      <c r="D924" s="3" t="s">
        <v>63</v>
      </c>
      <c r="E924" s="3">
        <v>33.0</v>
      </c>
      <c r="F924" s="3" t="s">
        <v>183</v>
      </c>
      <c r="G924" s="6" t="s">
        <v>8510</v>
      </c>
      <c r="H924" s="3" t="s">
        <v>8511</v>
      </c>
      <c r="I924" s="3" t="s">
        <v>8512</v>
      </c>
      <c r="J924" s="3" t="s">
        <v>227</v>
      </c>
      <c r="K924" s="3" t="s">
        <v>229</v>
      </c>
      <c r="L924" s="6" t="s">
        <v>5893</v>
      </c>
      <c r="M924" s="3" t="s">
        <v>63</v>
      </c>
      <c r="N924" s="6" t="s">
        <v>5894</v>
      </c>
      <c r="O924" s="3" t="s">
        <v>63</v>
      </c>
      <c r="P924" s="3" t="s">
        <v>464</v>
      </c>
      <c r="Q924" s="8">
        <v>2037218.0</v>
      </c>
      <c r="R924" s="3" t="s">
        <v>93</v>
      </c>
      <c r="S924" s="7">
        <v>41149.0</v>
      </c>
      <c r="T924" s="3" t="s">
        <v>63</v>
      </c>
      <c r="U924" s="6" t="s">
        <v>146</v>
      </c>
      <c r="V924" s="3" t="s">
        <v>237</v>
      </c>
      <c r="W924" s="3" t="s">
        <v>102</v>
      </c>
    </row>
    <row r="925" ht="15.75" customHeight="1">
      <c r="A925" s="6" t="s">
        <v>678</v>
      </c>
      <c r="B925" s="3" t="s">
        <v>6980</v>
      </c>
      <c r="C925" s="7">
        <v>37434.0</v>
      </c>
      <c r="D925" s="3" t="s">
        <v>63</v>
      </c>
      <c r="E925" s="3">
        <v>24.0</v>
      </c>
      <c r="F925" s="3" t="s">
        <v>70</v>
      </c>
      <c r="G925" s="6" t="s">
        <v>8513</v>
      </c>
      <c r="H925" s="3" t="s">
        <v>6982</v>
      </c>
      <c r="I925" s="3" t="s">
        <v>6983</v>
      </c>
      <c r="J925" s="3" t="s">
        <v>349</v>
      </c>
      <c r="K925" s="3" t="s">
        <v>45</v>
      </c>
      <c r="L925" s="6" t="s">
        <v>679</v>
      </c>
      <c r="M925" s="3" t="s">
        <v>63</v>
      </c>
      <c r="N925" s="6" t="s">
        <v>680</v>
      </c>
      <c r="O925" s="3" t="s">
        <v>63</v>
      </c>
      <c r="P925" s="3" t="s">
        <v>396</v>
      </c>
      <c r="Q925" s="8">
        <v>746958.0</v>
      </c>
      <c r="R925" s="3" t="s">
        <v>93</v>
      </c>
      <c r="S925" s="7">
        <v>44285.0</v>
      </c>
      <c r="T925" s="3" t="s">
        <v>63</v>
      </c>
      <c r="U925" s="6" t="s">
        <v>80</v>
      </c>
      <c r="V925" s="3" t="s">
        <v>237</v>
      </c>
      <c r="W925" s="3" t="s">
        <v>378</v>
      </c>
    </row>
    <row r="926" ht="15.75" customHeight="1">
      <c r="A926" s="6" t="s">
        <v>6083</v>
      </c>
      <c r="B926" s="3" t="s">
        <v>6799</v>
      </c>
      <c r="C926" s="7">
        <v>29847.0</v>
      </c>
      <c r="D926" s="3" t="s">
        <v>63</v>
      </c>
      <c r="E926" s="3">
        <v>44.0</v>
      </c>
      <c r="F926" s="3" t="s">
        <v>183</v>
      </c>
      <c r="G926" s="6" t="s">
        <v>8514</v>
      </c>
      <c r="H926" s="3" t="s">
        <v>6801</v>
      </c>
      <c r="I926" s="3" t="s">
        <v>6802</v>
      </c>
      <c r="J926" s="3" t="s">
        <v>349</v>
      </c>
      <c r="K926" s="3" t="s">
        <v>45</v>
      </c>
      <c r="L926" s="6" t="s">
        <v>6189</v>
      </c>
      <c r="M926" s="3" t="s">
        <v>63</v>
      </c>
      <c r="N926" s="6" t="s">
        <v>6190</v>
      </c>
      <c r="O926" s="3" t="s">
        <v>63</v>
      </c>
      <c r="P926" s="3" t="s">
        <v>160</v>
      </c>
      <c r="Q926" s="3"/>
      <c r="R926" s="3" t="s">
        <v>258</v>
      </c>
      <c r="S926" s="7">
        <v>38838.0</v>
      </c>
      <c r="T926" s="3" t="s">
        <v>63</v>
      </c>
      <c r="U926" s="6" t="s">
        <v>401</v>
      </c>
      <c r="V926" s="3" t="s">
        <v>237</v>
      </c>
      <c r="W926" s="3" t="s">
        <v>378</v>
      </c>
    </row>
    <row r="927" ht="15.75" customHeight="1">
      <c r="A927" s="6" t="s">
        <v>6022</v>
      </c>
      <c r="B927" s="3" t="s">
        <v>8515</v>
      </c>
      <c r="C927" s="7">
        <v>36909.0</v>
      </c>
      <c r="D927" s="3" t="s">
        <v>63</v>
      </c>
      <c r="E927" s="3">
        <v>25.0</v>
      </c>
      <c r="F927" s="3" t="s">
        <v>70</v>
      </c>
      <c r="G927" s="6" t="s">
        <v>8516</v>
      </c>
      <c r="H927" s="3" t="s">
        <v>8517</v>
      </c>
      <c r="I927" s="3" t="s">
        <v>8104</v>
      </c>
      <c r="J927" s="3" t="s">
        <v>134</v>
      </c>
      <c r="K927" s="3" t="s">
        <v>137</v>
      </c>
      <c r="L927" s="6" t="s">
        <v>2843</v>
      </c>
      <c r="M927" s="3" t="s">
        <v>63</v>
      </c>
      <c r="N927" s="6" t="s">
        <v>2845</v>
      </c>
      <c r="O927" s="3" t="s">
        <v>63</v>
      </c>
      <c r="P927" s="3" t="s">
        <v>464</v>
      </c>
      <c r="Q927" s="8">
        <v>2218463.0</v>
      </c>
      <c r="R927" s="3" t="s">
        <v>93</v>
      </c>
      <c r="S927" s="7">
        <v>41401.0</v>
      </c>
      <c r="T927" s="3" t="s">
        <v>63</v>
      </c>
      <c r="U927" s="6" t="s">
        <v>397</v>
      </c>
      <c r="V927" s="3" t="s">
        <v>4</v>
      </c>
      <c r="W927" s="3" t="s">
        <v>378</v>
      </c>
    </row>
    <row r="928" ht="15.75" customHeight="1">
      <c r="A928" s="6" t="s">
        <v>2665</v>
      </c>
      <c r="B928" s="3" t="s">
        <v>8518</v>
      </c>
      <c r="C928" s="7">
        <v>29557.0</v>
      </c>
      <c r="D928" s="3" t="s">
        <v>63</v>
      </c>
      <c r="E928" s="3">
        <v>45.0</v>
      </c>
      <c r="F928" s="3" t="s">
        <v>183</v>
      </c>
      <c r="G928" s="6" t="s">
        <v>8519</v>
      </c>
      <c r="H928" s="3" t="s">
        <v>8520</v>
      </c>
      <c r="I928" s="3" t="s">
        <v>2521</v>
      </c>
      <c r="J928" s="3" t="s">
        <v>134</v>
      </c>
      <c r="K928" s="3" t="s">
        <v>137</v>
      </c>
      <c r="L928" s="6" t="s">
        <v>4510</v>
      </c>
      <c r="M928" s="3" t="s">
        <v>63</v>
      </c>
      <c r="N928" s="6" t="s">
        <v>4511</v>
      </c>
      <c r="O928" s="3" t="s">
        <v>63</v>
      </c>
      <c r="P928" s="3" t="s">
        <v>396</v>
      </c>
      <c r="Q928" s="8">
        <v>1999246.0</v>
      </c>
      <c r="R928" s="3" t="s">
        <v>93</v>
      </c>
      <c r="S928" s="7">
        <v>39043.0</v>
      </c>
      <c r="T928" s="3" t="s">
        <v>63</v>
      </c>
      <c r="U928" s="6" t="s">
        <v>197</v>
      </c>
      <c r="V928" s="3" t="s">
        <v>4</v>
      </c>
      <c r="W928" s="3" t="s">
        <v>102</v>
      </c>
    </row>
    <row r="929" ht="15.75" customHeight="1">
      <c r="A929" s="6" t="s">
        <v>573</v>
      </c>
      <c r="B929" s="3" t="s">
        <v>8521</v>
      </c>
      <c r="C929" s="7">
        <v>23439.0</v>
      </c>
      <c r="D929" s="3" t="s">
        <v>63</v>
      </c>
      <c r="E929" s="3">
        <v>62.0</v>
      </c>
      <c r="F929" s="3" t="s">
        <v>183</v>
      </c>
      <c r="G929" s="6" t="s">
        <v>8522</v>
      </c>
      <c r="H929" s="3" t="s">
        <v>8523</v>
      </c>
      <c r="I929" s="3" t="s">
        <v>8524</v>
      </c>
      <c r="J929" s="3" t="s">
        <v>167</v>
      </c>
      <c r="K929" s="3" t="s">
        <v>169</v>
      </c>
      <c r="L929" s="6" t="s">
        <v>696</v>
      </c>
      <c r="M929" s="3" t="s">
        <v>63</v>
      </c>
      <c r="N929" s="6" t="s">
        <v>699</v>
      </c>
      <c r="O929" s="3" t="s">
        <v>63</v>
      </c>
      <c r="P929" s="3" t="s">
        <v>127</v>
      </c>
      <c r="Q929" s="3"/>
      <c r="R929" s="3" t="s">
        <v>258</v>
      </c>
      <c r="S929" s="7">
        <v>45876.0</v>
      </c>
      <c r="T929" s="3" t="s">
        <v>63</v>
      </c>
      <c r="U929" s="6" t="s">
        <v>208</v>
      </c>
      <c r="V929" s="3" t="s">
        <v>237</v>
      </c>
      <c r="W929" s="3" t="s">
        <v>102</v>
      </c>
    </row>
    <row r="930" ht="15.75" customHeight="1">
      <c r="A930" s="6" t="s">
        <v>1199</v>
      </c>
      <c r="B930" s="3" t="s">
        <v>8525</v>
      </c>
      <c r="C930" s="7">
        <v>26912.0</v>
      </c>
      <c r="D930" s="3" t="s">
        <v>63</v>
      </c>
      <c r="E930" s="3">
        <v>52.0</v>
      </c>
      <c r="F930" s="3" t="s">
        <v>70</v>
      </c>
      <c r="G930" s="6" t="s">
        <v>8526</v>
      </c>
      <c r="H930" s="3" t="s">
        <v>8527</v>
      </c>
      <c r="I930" s="3" t="s">
        <v>8528</v>
      </c>
      <c r="J930" s="3" t="s">
        <v>134</v>
      </c>
      <c r="K930" s="3" t="s">
        <v>137</v>
      </c>
      <c r="L930" s="6" t="s">
        <v>1200</v>
      </c>
      <c r="M930" s="3" t="s">
        <v>63</v>
      </c>
      <c r="N930" s="6" t="s">
        <v>1201</v>
      </c>
      <c r="O930" s="3" t="s">
        <v>63</v>
      </c>
      <c r="P930" s="3" t="s">
        <v>160</v>
      </c>
      <c r="Q930" s="3"/>
      <c r="R930" s="3" t="s">
        <v>258</v>
      </c>
      <c r="S930" s="7">
        <v>42336.0</v>
      </c>
      <c r="T930" s="3" t="s">
        <v>63</v>
      </c>
      <c r="U930" s="6" t="s">
        <v>80</v>
      </c>
      <c r="V930" s="3" t="s">
        <v>4</v>
      </c>
      <c r="W930" s="3" t="s">
        <v>102</v>
      </c>
    </row>
    <row r="931" ht="15.75" customHeight="1">
      <c r="A931" s="6" t="s">
        <v>2223</v>
      </c>
      <c r="B931" s="3" t="s">
        <v>8529</v>
      </c>
      <c r="C931" s="7">
        <v>28686.0</v>
      </c>
      <c r="D931" s="3" t="s">
        <v>63</v>
      </c>
      <c r="E931" s="3">
        <v>48.0</v>
      </c>
      <c r="F931" s="3" t="s">
        <v>70</v>
      </c>
      <c r="G931" s="6" t="s">
        <v>8530</v>
      </c>
      <c r="H931" s="3" t="s">
        <v>8531</v>
      </c>
      <c r="I931" s="3" t="s">
        <v>7764</v>
      </c>
      <c r="J931" s="3" t="s">
        <v>337</v>
      </c>
      <c r="K931" s="3" t="s">
        <v>137</v>
      </c>
      <c r="L931" s="6" t="s">
        <v>8532</v>
      </c>
      <c r="M931" s="3" t="s">
        <v>63</v>
      </c>
      <c r="N931" s="6" t="s">
        <v>8533</v>
      </c>
      <c r="O931" s="3" t="s">
        <v>63</v>
      </c>
      <c r="P931" s="3" t="s">
        <v>464</v>
      </c>
      <c r="Q931" s="3"/>
      <c r="R931" s="3" t="s">
        <v>258</v>
      </c>
      <c r="S931" s="7">
        <v>44872.0</v>
      </c>
      <c r="T931" s="3" t="s">
        <v>63</v>
      </c>
      <c r="U931" s="6" t="s">
        <v>197</v>
      </c>
      <c r="V931" s="3" t="s">
        <v>4</v>
      </c>
      <c r="W931" s="3" t="s">
        <v>102</v>
      </c>
    </row>
    <row r="932" ht="15.75" customHeight="1">
      <c r="A932" s="6" t="s">
        <v>3698</v>
      </c>
      <c r="B932" s="3" t="s">
        <v>8534</v>
      </c>
      <c r="C932" s="7">
        <v>20984.0</v>
      </c>
      <c r="D932" s="3" t="s">
        <v>63</v>
      </c>
      <c r="E932" s="3">
        <v>69.0</v>
      </c>
      <c r="F932" s="3" t="s">
        <v>70</v>
      </c>
      <c r="G932" s="6" t="s">
        <v>8535</v>
      </c>
      <c r="H932" s="3" t="s">
        <v>8536</v>
      </c>
      <c r="I932" s="3" t="s">
        <v>8537</v>
      </c>
      <c r="J932" s="3" t="s">
        <v>251</v>
      </c>
      <c r="K932" s="3" t="s">
        <v>251</v>
      </c>
      <c r="L932" s="6" t="s">
        <v>3700</v>
      </c>
      <c r="M932" s="3" t="s">
        <v>63</v>
      </c>
      <c r="N932" s="6" t="s">
        <v>3703</v>
      </c>
      <c r="O932" s="3" t="s">
        <v>63</v>
      </c>
      <c r="P932" s="3" t="s">
        <v>372</v>
      </c>
      <c r="Q932" s="8">
        <v>1786074.0</v>
      </c>
      <c r="R932" s="3" t="s">
        <v>93</v>
      </c>
      <c r="S932" s="7">
        <v>40504.0</v>
      </c>
      <c r="T932" s="3" t="s">
        <v>63</v>
      </c>
      <c r="U932" s="6" t="s">
        <v>277</v>
      </c>
      <c r="V932" s="3" t="s">
        <v>4</v>
      </c>
      <c r="W932" s="3" t="s">
        <v>102</v>
      </c>
    </row>
    <row r="933" ht="15.75" customHeight="1">
      <c r="A933" s="6" t="s">
        <v>1534</v>
      </c>
      <c r="B933" s="3" t="s">
        <v>8538</v>
      </c>
      <c r="C933" s="7">
        <v>33235.0</v>
      </c>
      <c r="D933" s="3" t="s">
        <v>63</v>
      </c>
      <c r="E933" s="3">
        <v>35.0</v>
      </c>
      <c r="F933" s="3" t="s">
        <v>70</v>
      </c>
      <c r="G933" s="6" t="s">
        <v>8539</v>
      </c>
      <c r="H933" s="3" t="s">
        <v>8540</v>
      </c>
      <c r="I933" s="3" t="s">
        <v>8541</v>
      </c>
      <c r="J933" s="3" t="s">
        <v>151</v>
      </c>
      <c r="K933" s="3" t="s">
        <v>121</v>
      </c>
      <c r="L933" s="6" t="s">
        <v>5284</v>
      </c>
      <c r="M933" s="3" t="s">
        <v>63</v>
      </c>
      <c r="N933" s="6" t="s">
        <v>5287</v>
      </c>
      <c r="O933" s="3" t="s">
        <v>63</v>
      </c>
      <c r="P933" s="3" t="s">
        <v>160</v>
      </c>
      <c r="Q933" s="3"/>
      <c r="R933" s="3" t="s">
        <v>258</v>
      </c>
      <c r="S933" s="7">
        <v>41232.0</v>
      </c>
      <c r="T933" s="3" t="s">
        <v>63</v>
      </c>
      <c r="U933" s="6" t="s">
        <v>262</v>
      </c>
      <c r="V933" s="3" t="s">
        <v>4</v>
      </c>
      <c r="W933" s="3" t="s">
        <v>102</v>
      </c>
    </row>
    <row r="934" ht="15.75" customHeight="1">
      <c r="A934" s="6" t="s">
        <v>1291</v>
      </c>
      <c r="B934" s="3" t="s">
        <v>8542</v>
      </c>
      <c r="C934" s="7">
        <v>23312.0</v>
      </c>
      <c r="D934" s="3" t="s">
        <v>63</v>
      </c>
      <c r="E934" s="3">
        <v>62.0</v>
      </c>
      <c r="F934" s="3" t="s">
        <v>70</v>
      </c>
      <c r="G934" s="6" t="s">
        <v>8543</v>
      </c>
      <c r="H934" s="3" t="s">
        <v>8544</v>
      </c>
      <c r="I934" s="3" t="s">
        <v>8545</v>
      </c>
      <c r="J934" s="3" t="s">
        <v>8345</v>
      </c>
      <c r="K934" s="3" t="s">
        <v>101</v>
      </c>
      <c r="L934" s="6" t="s">
        <v>2368</v>
      </c>
      <c r="M934" s="3" t="s">
        <v>63</v>
      </c>
      <c r="N934" s="6" t="s">
        <v>2369</v>
      </c>
      <c r="O934" s="3" t="s">
        <v>63</v>
      </c>
      <c r="P934" s="3" t="s">
        <v>464</v>
      </c>
      <c r="Q934" s="8">
        <v>2476898.0</v>
      </c>
      <c r="R934" s="3" t="s">
        <v>93</v>
      </c>
      <c r="S934" s="7">
        <v>38726.0</v>
      </c>
      <c r="T934" s="3" t="s">
        <v>63</v>
      </c>
      <c r="U934" s="6" t="s">
        <v>262</v>
      </c>
      <c r="V934" s="3" t="s">
        <v>4</v>
      </c>
      <c r="W934" s="3" t="s">
        <v>102</v>
      </c>
    </row>
    <row r="935" ht="15.75" customHeight="1">
      <c r="A935" s="6" t="s">
        <v>1063</v>
      </c>
      <c r="B935" s="3" t="s">
        <v>8546</v>
      </c>
      <c r="C935" s="7">
        <v>21240.0</v>
      </c>
      <c r="D935" s="3" t="s">
        <v>63</v>
      </c>
      <c r="E935" s="3">
        <v>68.0</v>
      </c>
      <c r="F935" s="3" t="s">
        <v>70</v>
      </c>
      <c r="G935" s="6" t="s">
        <v>8547</v>
      </c>
      <c r="H935" s="3" t="s">
        <v>8548</v>
      </c>
      <c r="I935" s="3" t="s">
        <v>8549</v>
      </c>
      <c r="J935" s="3" t="s">
        <v>358</v>
      </c>
      <c r="K935" s="3" t="s">
        <v>360</v>
      </c>
      <c r="L935" s="6" t="s">
        <v>1066</v>
      </c>
      <c r="M935" s="3" t="s">
        <v>63</v>
      </c>
      <c r="N935" s="6" t="s">
        <v>1067</v>
      </c>
      <c r="O935" s="3" t="s">
        <v>63</v>
      </c>
      <c r="P935" s="3" t="s">
        <v>324</v>
      </c>
      <c r="Q935" s="3"/>
      <c r="R935" s="3" t="s">
        <v>258</v>
      </c>
      <c r="S935" s="7">
        <v>44176.0</v>
      </c>
      <c r="T935" s="3" t="s">
        <v>63</v>
      </c>
      <c r="U935" s="6" t="s">
        <v>97</v>
      </c>
      <c r="V935" s="3" t="s">
        <v>4</v>
      </c>
      <c r="W935" s="3" t="s">
        <v>102</v>
      </c>
    </row>
    <row r="936" ht="15.75" customHeight="1">
      <c r="A936" s="6" t="s">
        <v>3108</v>
      </c>
      <c r="B936" s="3" t="s">
        <v>8550</v>
      </c>
      <c r="C936" s="7">
        <v>31594.0</v>
      </c>
      <c r="D936" s="3" t="s">
        <v>63</v>
      </c>
      <c r="E936" s="3">
        <v>40.0</v>
      </c>
      <c r="F936" s="3" t="s">
        <v>70</v>
      </c>
      <c r="G936" s="6" t="s">
        <v>8551</v>
      </c>
      <c r="H936" s="3" t="s">
        <v>8552</v>
      </c>
      <c r="I936" s="3" t="s">
        <v>8553</v>
      </c>
      <c r="J936" s="3" t="s">
        <v>337</v>
      </c>
      <c r="K936" s="3" t="s">
        <v>137</v>
      </c>
      <c r="L936" s="6" t="s">
        <v>3110</v>
      </c>
      <c r="M936" s="3" t="s">
        <v>63</v>
      </c>
      <c r="N936" s="6" t="s">
        <v>3111</v>
      </c>
      <c r="O936" s="3" t="s">
        <v>63</v>
      </c>
      <c r="P936" s="3" t="s">
        <v>464</v>
      </c>
      <c r="Q936" s="8">
        <v>2045820.0</v>
      </c>
      <c r="R936" s="3" t="s">
        <v>93</v>
      </c>
      <c r="S936" s="7">
        <v>38790.0</v>
      </c>
      <c r="T936" s="3" t="s">
        <v>63</v>
      </c>
      <c r="U936" s="6" t="s">
        <v>288</v>
      </c>
      <c r="V936" s="3" t="s">
        <v>4</v>
      </c>
      <c r="W936" s="3" t="s">
        <v>102</v>
      </c>
    </row>
    <row r="937" ht="15.75" customHeight="1">
      <c r="A937" s="6" t="s">
        <v>3264</v>
      </c>
      <c r="B937" s="3" t="s">
        <v>8554</v>
      </c>
      <c r="C937" s="7">
        <v>30795.0</v>
      </c>
      <c r="D937" s="3" t="s">
        <v>63</v>
      </c>
      <c r="E937" s="3">
        <v>42.0</v>
      </c>
      <c r="F937" s="3" t="s">
        <v>70</v>
      </c>
      <c r="G937" s="6" t="s">
        <v>8555</v>
      </c>
      <c r="H937" s="3"/>
      <c r="I937" s="3" t="s">
        <v>8556</v>
      </c>
      <c r="J937" s="3" t="s">
        <v>119</v>
      </c>
      <c r="K937" s="3" t="s">
        <v>121</v>
      </c>
      <c r="L937" s="6" t="s">
        <v>5505</v>
      </c>
      <c r="M937" s="3" t="s">
        <v>63</v>
      </c>
      <c r="N937" s="6" t="s">
        <v>5506</v>
      </c>
      <c r="O937" s="3" t="s">
        <v>63</v>
      </c>
      <c r="P937" s="3" t="s">
        <v>127</v>
      </c>
      <c r="Q937" s="8">
        <v>506450.0</v>
      </c>
      <c r="R937" s="3" t="s">
        <v>93</v>
      </c>
      <c r="S937" s="7">
        <v>43788.0</v>
      </c>
      <c r="T937" s="3" t="s">
        <v>63</v>
      </c>
      <c r="U937" s="6" t="s">
        <v>197</v>
      </c>
      <c r="V937" s="3" t="s">
        <v>4</v>
      </c>
      <c r="W937" s="3" t="s">
        <v>102</v>
      </c>
    </row>
    <row r="938" ht="15.75" customHeight="1">
      <c r="A938" s="6" t="s">
        <v>2185</v>
      </c>
      <c r="B938" s="3" t="s">
        <v>8557</v>
      </c>
      <c r="C938" s="7">
        <v>32411.0</v>
      </c>
      <c r="D938" s="3" t="s">
        <v>63</v>
      </c>
      <c r="E938" s="3">
        <v>37.0</v>
      </c>
      <c r="F938" s="3" t="s">
        <v>70</v>
      </c>
      <c r="G938" s="6" t="s">
        <v>8558</v>
      </c>
      <c r="H938" s="3" t="s">
        <v>8559</v>
      </c>
      <c r="I938" s="3" t="s">
        <v>8560</v>
      </c>
      <c r="J938" s="3" t="s">
        <v>358</v>
      </c>
      <c r="K938" s="3" t="s">
        <v>360</v>
      </c>
      <c r="L938" s="6" t="s">
        <v>4580</v>
      </c>
      <c r="M938" s="3" t="s">
        <v>620</v>
      </c>
      <c r="N938" s="6" t="s">
        <v>4581</v>
      </c>
      <c r="O938" s="3" t="s">
        <v>63</v>
      </c>
      <c r="P938" s="3" t="s">
        <v>90</v>
      </c>
      <c r="Q938" s="3"/>
      <c r="R938" s="3" t="s">
        <v>258</v>
      </c>
      <c r="S938" s="7">
        <v>44486.0</v>
      </c>
      <c r="T938" s="3" t="s">
        <v>63</v>
      </c>
      <c r="U938" s="6" t="s">
        <v>266</v>
      </c>
      <c r="V938" s="3" t="s">
        <v>4</v>
      </c>
      <c r="W938" s="3" t="s">
        <v>102</v>
      </c>
    </row>
    <row r="939" ht="15.75" customHeight="1">
      <c r="A939" s="6" t="s">
        <v>1131</v>
      </c>
      <c r="B939" s="3" t="s">
        <v>8561</v>
      </c>
      <c r="C939" s="7">
        <v>30834.0</v>
      </c>
      <c r="D939" s="3" t="s">
        <v>63</v>
      </c>
      <c r="E939" s="3">
        <v>42.0</v>
      </c>
      <c r="F939" s="3" t="s">
        <v>70</v>
      </c>
      <c r="G939" s="6" t="s">
        <v>8562</v>
      </c>
      <c r="H939" s="3" t="s">
        <v>8563</v>
      </c>
      <c r="I939" s="3" t="s">
        <v>8564</v>
      </c>
      <c r="J939" s="3" t="s">
        <v>119</v>
      </c>
      <c r="K939" s="3" t="s">
        <v>121</v>
      </c>
      <c r="L939" s="6" t="s">
        <v>5845</v>
      </c>
      <c r="M939" s="3" t="s">
        <v>63</v>
      </c>
      <c r="N939" s="3"/>
      <c r="O939" s="3" t="s">
        <v>88</v>
      </c>
      <c r="P939" s="3" t="s">
        <v>372</v>
      </c>
      <c r="Q939" s="8">
        <v>1533410.0</v>
      </c>
      <c r="R939" s="3" t="s">
        <v>93</v>
      </c>
      <c r="S939" s="7">
        <v>43060.0</v>
      </c>
      <c r="T939" s="3" t="s">
        <v>63</v>
      </c>
      <c r="U939" s="6" t="s">
        <v>277</v>
      </c>
      <c r="V939" s="3" t="s">
        <v>4</v>
      </c>
      <c r="W939" s="3" t="s">
        <v>102</v>
      </c>
    </row>
    <row r="940" ht="15.75" customHeight="1">
      <c r="A940" s="6" t="s">
        <v>4122</v>
      </c>
      <c r="B940" s="3" t="s">
        <v>4357</v>
      </c>
      <c r="C940" s="7">
        <v>38064.0</v>
      </c>
      <c r="D940" s="3" t="s">
        <v>63</v>
      </c>
      <c r="E940" s="3">
        <v>22.0</v>
      </c>
      <c r="F940" s="3" t="s">
        <v>183</v>
      </c>
      <c r="G940" s="6" t="s">
        <v>1049</v>
      </c>
      <c r="H940" s="3" t="s">
        <v>8565</v>
      </c>
      <c r="I940" s="3" t="s">
        <v>8566</v>
      </c>
      <c r="J940" s="3" t="s">
        <v>201</v>
      </c>
      <c r="K940" s="3" t="s">
        <v>203</v>
      </c>
      <c r="L940" s="6" t="s">
        <v>8567</v>
      </c>
      <c r="M940" s="3" t="s">
        <v>63</v>
      </c>
      <c r="N940" s="6" t="s">
        <v>8568</v>
      </c>
      <c r="O940" s="3" t="s">
        <v>63</v>
      </c>
      <c r="P940" s="3" t="s">
        <v>372</v>
      </c>
      <c r="Q940" s="8">
        <v>1784617.0</v>
      </c>
      <c r="R940" s="3" t="s">
        <v>93</v>
      </c>
      <c r="S940" s="7">
        <v>40160.0</v>
      </c>
      <c r="T940" s="3" t="s">
        <v>63</v>
      </c>
      <c r="U940" s="6" t="s">
        <v>80</v>
      </c>
      <c r="V940" s="3" t="s">
        <v>4</v>
      </c>
      <c r="W940" s="3" t="s">
        <v>102</v>
      </c>
    </row>
    <row r="941" ht="15.75" customHeight="1">
      <c r="A941" s="6" t="s">
        <v>453</v>
      </c>
      <c r="B941" s="3" t="s">
        <v>8569</v>
      </c>
      <c r="C941" s="7">
        <v>38234.0</v>
      </c>
      <c r="D941" s="3" t="s">
        <v>63</v>
      </c>
      <c r="E941" s="3">
        <v>21.0</v>
      </c>
      <c r="F941" s="3" t="s">
        <v>183</v>
      </c>
      <c r="G941" s="6" t="s">
        <v>8570</v>
      </c>
      <c r="H941" s="3" t="s">
        <v>8571</v>
      </c>
      <c r="I941" s="3" t="s">
        <v>8572</v>
      </c>
      <c r="J941" s="3" t="s">
        <v>379</v>
      </c>
      <c r="K941" s="3" t="s">
        <v>229</v>
      </c>
      <c r="L941" s="6" t="s">
        <v>454</v>
      </c>
      <c r="M941" s="3" t="s">
        <v>63</v>
      </c>
      <c r="N941" s="6" t="s">
        <v>455</v>
      </c>
      <c r="O941" s="3" t="s">
        <v>63</v>
      </c>
      <c r="P941" s="3" t="s">
        <v>372</v>
      </c>
      <c r="Q941" s="8">
        <v>933628.0</v>
      </c>
      <c r="R941" s="3" t="s">
        <v>93</v>
      </c>
      <c r="S941" s="7">
        <v>39707.0</v>
      </c>
      <c r="T941" s="3" t="s">
        <v>63</v>
      </c>
      <c r="U941" s="6" t="s">
        <v>266</v>
      </c>
      <c r="V941" s="3" t="s">
        <v>4</v>
      </c>
      <c r="W941" s="3" t="s">
        <v>102</v>
      </c>
    </row>
    <row r="942" ht="15.75" customHeight="1">
      <c r="A942" s="6" t="s">
        <v>8573</v>
      </c>
      <c r="B942" s="3" t="s">
        <v>3248</v>
      </c>
      <c r="C942" s="7">
        <v>20302.0</v>
      </c>
      <c r="D942" s="3" t="s">
        <v>63</v>
      </c>
      <c r="E942" s="3">
        <v>71.0</v>
      </c>
      <c r="F942" s="3" t="s">
        <v>70</v>
      </c>
      <c r="G942" s="6" t="s">
        <v>8574</v>
      </c>
      <c r="H942" s="3" t="s">
        <v>3251</v>
      </c>
      <c r="I942" s="3" t="s">
        <v>3253</v>
      </c>
      <c r="J942" s="3" t="s">
        <v>134</v>
      </c>
      <c r="K942" s="3" t="s">
        <v>137</v>
      </c>
      <c r="L942" s="6" t="s">
        <v>2821</v>
      </c>
      <c r="M942" s="3" t="s">
        <v>63</v>
      </c>
      <c r="N942" s="6" t="s">
        <v>2822</v>
      </c>
      <c r="O942" s="3" t="s">
        <v>63</v>
      </c>
      <c r="P942" s="3" t="s">
        <v>324</v>
      </c>
      <c r="Q942" s="3"/>
      <c r="R942" s="3" t="s">
        <v>258</v>
      </c>
      <c r="S942" s="7">
        <v>41241.0</v>
      </c>
      <c r="T942" s="3" t="s">
        <v>63</v>
      </c>
      <c r="U942" s="6" t="s">
        <v>352</v>
      </c>
      <c r="V942" s="3" t="s">
        <v>4</v>
      </c>
      <c r="W942" s="3" t="s">
        <v>378</v>
      </c>
    </row>
    <row r="943" ht="15.75" customHeight="1">
      <c r="A943" s="6" t="s">
        <v>5627</v>
      </c>
      <c r="B943" s="3" t="s">
        <v>8575</v>
      </c>
      <c r="C943" s="7">
        <v>35218.0</v>
      </c>
      <c r="D943" s="3" t="s">
        <v>63</v>
      </c>
      <c r="E943" s="3">
        <v>30.0</v>
      </c>
      <c r="F943" s="3" t="s">
        <v>183</v>
      </c>
      <c r="G943" s="6" t="s">
        <v>8576</v>
      </c>
      <c r="H943" s="3" t="s">
        <v>8577</v>
      </c>
      <c r="I943" s="3" t="s">
        <v>8578</v>
      </c>
      <c r="J943" s="3" t="s">
        <v>271</v>
      </c>
      <c r="K943" s="3" t="s">
        <v>273</v>
      </c>
      <c r="L943" s="6" t="s">
        <v>5629</v>
      </c>
      <c r="M943" s="3" t="s">
        <v>63</v>
      </c>
      <c r="N943" s="6" t="s">
        <v>5630</v>
      </c>
      <c r="O943" s="3" t="s">
        <v>63</v>
      </c>
      <c r="P943" s="3" t="s">
        <v>90</v>
      </c>
      <c r="Q943" s="8">
        <v>777130.0</v>
      </c>
      <c r="R943" s="3" t="s">
        <v>93</v>
      </c>
      <c r="S943" s="7">
        <v>39263.0</v>
      </c>
      <c r="T943" s="3" t="s">
        <v>63</v>
      </c>
      <c r="U943" s="6" t="s">
        <v>163</v>
      </c>
      <c r="V943" s="3" t="s">
        <v>4</v>
      </c>
      <c r="W943" s="3" t="s">
        <v>102</v>
      </c>
    </row>
    <row r="944" ht="15.75" customHeight="1">
      <c r="A944" s="6" t="s">
        <v>2685</v>
      </c>
      <c r="B944" s="3" t="s">
        <v>8579</v>
      </c>
      <c r="C944" s="7">
        <v>29906.0</v>
      </c>
      <c r="D944" s="3" t="s">
        <v>63</v>
      </c>
      <c r="E944" s="3">
        <v>44.0</v>
      </c>
      <c r="F944" s="3" t="s">
        <v>70</v>
      </c>
      <c r="G944" s="6" t="s">
        <v>8580</v>
      </c>
      <c r="H944" s="3" t="s">
        <v>8581</v>
      </c>
      <c r="I944" s="3" t="s">
        <v>8582</v>
      </c>
      <c r="J944" s="3" t="s">
        <v>119</v>
      </c>
      <c r="K944" s="3" t="s">
        <v>121</v>
      </c>
      <c r="L944" s="6" t="s">
        <v>5523</v>
      </c>
      <c r="M944" s="3" t="s">
        <v>63</v>
      </c>
      <c r="N944" s="6" t="s">
        <v>5524</v>
      </c>
      <c r="O944" s="3" t="s">
        <v>63</v>
      </c>
      <c r="P944" s="3" t="s">
        <v>300</v>
      </c>
      <c r="Q944" s="8">
        <v>1387034.0</v>
      </c>
      <c r="R944" s="3" t="s">
        <v>93</v>
      </c>
      <c r="S944" s="7">
        <v>43939.0</v>
      </c>
      <c r="T944" s="3" t="s">
        <v>63</v>
      </c>
      <c r="U944" s="6" t="s">
        <v>60</v>
      </c>
      <c r="V944" s="3" t="s">
        <v>4</v>
      </c>
      <c r="W944" s="3" t="s">
        <v>102</v>
      </c>
    </row>
    <row r="945" ht="15.75" customHeight="1">
      <c r="A945" s="6" t="s">
        <v>2986</v>
      </c>
      <c r="B945" s="3" t="s">
        <v>8583</v>
      </c>
      <c r="C945" s="7">
        <v>30917.0</v>
      </c>
      <c r="D945" s="3" t="s">
        <v>63</v>
      </c>
      <c r="E945" s="3">
        <v>41.0</v>
      </c>
      <c r="F945" s="3" t="s">
        <v>70</v>
      </c>
      <c r="G945" s="6" t="s">
        <v>8584</v>
      </c>
      <c r="H945" s="3" t="s">
        <v>8585</v>
      </c>
      <c r="I945" s="3" t="s">
        <v>8586</v>
      </c>
      <c r="J945" s="3" t="s">
        <v>153</v>
      </c>
      <c r="K945" s="3" t="s">
        <v>67</v>
      </c>
      <c r="L945" s="6" t="s">
        <v>2988</v>
      </c>
      <c r="M945" s="3" t="s">
        <v>63</v>
      </c>
      <c r="N945" s="6" t="s">
        <v>2990</v>
      </c>
      <c r="O945" s="3" t="s">
        <v>63</v>
      </c>
      <c r="P945" s="3" t="s">
        <v>464</v>
      </c>
      <c r="Q945" s="8">
        <v>1727258.0</v>
      </c>
      <c r="R945" s="3" t="s">
        <v>93</v>
      </c>
      <c r="S945" s="7">
        <v>38752.0</v>
      </c>
      <c r="T945" s="3" t="s">
        <v>63</v>
      </c>
      <c r="U945" s="6" t="s">
        <v>234</v>
      </c>
      <c r="V945" s="3" t="s">
        <v>4</v>
      </c>
      <c r="W945" s="3" t="s">
        <v>102</v>
      </c>
    </row>
    <row r="946" ht="15.75" customHeight="1">
      <c r="A946" s="6" t="s">
        <v>3084</v>
      </c>
      <c r="B946" s="3" t="s">
        <v>8587</v>
      </c>
      <c r="C946" s="7">
        <v>33342.0</v>
      </c>
      <c r="D946" s="3" t="s">
        <v>63</v>
      </c>
      <c r="E946" s="3">
        <v>35.0</v>
      </c>
      <c r="F946" s="3" t="s">
        <v>70</v>
      </c>
      <c r="G946" s="6" t="s">
        <v>8588</v>
      </c>
      <c r="H946" s="3" t="s">
        <v>8589</v>
      </c>
      <c r="I946" s="3" t="s">
        <v>8384</v>
      </c>
      <c r="J946" s="3" t="s">
        <v>271</v>
      </c>
      <c r="K946" s="3" t="s">
        <v>273</v>
      </c>
      <c r="L946" s="6" t="s">
        <v>3085</v>
      </c>
      <c r="M946" s="3" t="s">
        <v>63</v>
      </c>
      <c r="N946" s="3"/>
      <c r="O946" s="3" t="s">
        <v>88</v>
      </c>
      <c r="P946" s="3" t="s">
        <v>160</v>
      </c>
      <c r="Q946" s="3"/>
      <c r="R946" s="3" t="s">
        <v>258</v>
      </c>
      <c r="S946" s="7">
        <v>44625.0</v>
      </c>
      <c r="T946" s="3" t="s">
        <v>63</v>
      </c>
      <c r="U946" s="6" t="s">
        <v>171</v>
      </c>
      <c r="V946" s="3" t="s">
        <v>4</v>
      </c>
      <c r="W946" s="3" t="s">
        <v>102</v>
      </c>
    </row>
    <row r="947" ht="15.75" customHeight="1">
      <c r="A947" s="6" t="s">
        <v>3939</v>
      </c>
      <c r="B947" s="3" t="s">
        <v>1719</v>
      </c>
      <c r="C947" s="7">
        <v>21411.0</v>
      </c>
      <c r="D947" s="3" t="s">
        <v>63</v>
      </c>
      <c r="E947" s="3">
        <v>67.0</v>
      </c>
      <c r="F947" s="3" t="s">
        <v>70</v>
      </c>
      <c r="G947" s="6" t="s">
        <v>8590</v>
      </c>
      <c r="H947" s="3" t="s">
        <v>8591</v>
      </c>
      <c r="I947" s="3" t="s">
        <v>8592</v>
      </c>
      <c r="J947" s="3" t="s">
        <v>151</v>
      </c>
      <c r="K947" s="3" t="s">
        <v>121</v>
      </c>
      <c r="L947" s="6" t="s">
        <v>8593</v>
      </c>
      <c r="M947" s="3" t="s">
        <v>63</v>
      </c>
      <c r="N947" s="6" t="s">
        <v>8594</v>
      </c>
      <c r="O947" s="3" t="s">
        <v>620</v>
      </c>
      <c r="P947" s="3" t="s">
        <v>372</v>
      </c>
      <c r="Q947" s="8">
        <v>2482664.0</v>
      </c>
      <c r="R947" s="3" t="s">
        <v>93</v>
      </c>
      <c r="S947" s="7">
        <v>39952.0</v>
      </c>
      <c r="T947" s="3" t="s">
        <v>63</v>
      </c>
      <c r="U947" s="6" t="s">
        <v>129</v>
      </c>
      <c r="V947" s="3" t="s">
        <v>4</v>
      </c>
      <c r="W947" s="3" t="s">
        <v>102</v>
      </c>
    </row>
    <row r="948" ht="15.75" customHeight="1">
      <c r="A948" s="6" t="s">
        <v>759</v>
      </c>
      <c r="B948" s="3" t="s">
        <v>8595</v>
      </c>
      <c r="C948" s="7">
        <v>27491.0</v>
      </c>
      <c r="D948" s="3" t="s">
        <v>63</v>
      </c>
      <c r="E948" s="3">
        <v>51.0</v>
      </c>
      <c r="F948" s="3" t="s">
        <v>70</v>
      </c>
      <c r="G948" s="6" t="s">
        <v>8596</v>
      </c>
      <c r="H948" s="3" t="s">
        <v>8597</v>
      </c>
      <c r="I948" s="3" t="s">
        <v>8598</v>
      </c>
      <c r="J948" s="3" t="s">
        <v>271</v>
      </c>
      <c r="K948" s="3" t="s">
        <v>273</v>
      </c>
      <c r="L948" s="6" t="s">
        <v>6430</v>
      </c>
      <c r="M948" s="3" t="s">
        <v>63</v>
      </c>
      <c r="N948" s="6" t="s">
        <v>6431</v>
      </c>
      <c r="O948" s="3" t="s">
        <v>63</v>
      </c>
      <c r="P948" s="3" t="s">
        <v>372</v>
      </c>
      <c r="Q948" s="3"/>
      <c r="R948" s="3" t="s">
        <v>258</v>
      </c>
      <c r="S948" s="7">
        <v>45283.0</v>
      </c>
      <c r="T948" s="3" t="s">
        <v>63</v>
      </c>
      <c r="U948" s="6" t="s">
        <v>179</v>
      </c>
      <c r="V948" s="3" t="s">
        <v>4</v>
      </c>
      <c r="W948" s="3" t="s">
        <v>102</v>
      </c>
    </row>
    <row r="949" ht="15.75" customHeight="1">
      <c r="A949" s="6" t="s">
        <v>3176</v>
      </c>
      <c r="B949" s="3" t="s">
        <v>8599</v>
      </c>
      <c r="C949" s="7">
        <v>28450.0</v>
      </c>
      <c r="D949" s="3" t="s">
        <v>63</v>
      </c>
      <c r="E949" s="3">
        <v>48.0</v>
      </c>
      <c r="F949" s="3" t="s">
        <v>183</v>
      </c>
      <c r="G949" s="6" t="s">
        <v>8600</v>
      </c>
      <c r="H949" s="3" t="s">
        <v>8601</v>
      </c>
      <c r="I949" s="3" t="s">
        <v>8602</v>
      </c>
      <c r="J949" s="3" t="s">
        <v>153</v>
      </c>
      <c r="K949" s="3" t="s">
        <v>67</v>
      </c>
      <c r="L949" s="6" t="s">
        <v>4637</v>
      </c>
      <c r="M949" s="3" t="s">
        <v>63</v>
      </c>
      <c r="N949" s="6" t="s">
        <v>4639</v>
      </c>
      <c r="O949" s="3" t="s">
        <v>63</v>
      </c>
      <c r="P949" s="3" t="s">
        <v>202</v>
      </c>
      <c r="Q949" s="3"/>
      <c r="R949" s="3" t="s">
        <v>258</v>
      </c>
      <c r="S949" s="7">
        <v>38945.0</v>
      </c>
      <c r="T949" s="3" t="s">
        <v>63</v>
      </c>
      <c r="U949" s="6" t="s">
        <v>284</v>
      </c>
      <c r="V949" s="3" t="s">
        <v>237</v>
      </c>
      <c r="W949" s="3" t="s">
        <v>102</v>
      </c>
    </row>
    <row r="950" ht="15.75" customHeight="1">
      <c r="A950" s="6" t="s">
        <v>6046</v>
      </c>
      <c r="B950" s="3" t="s">
        <v>8550</v>
      </c>
      <c r="C950" s="7">
        <v>28835.0</v>
      </c>
      <c r="D950" s="3" t="s">
        <v>63</v>
      </c>
      <c r="E950" s="3">
        <v>47.0</v>
      </c>
      <c r="F950" s="3" t="s">
        <v>70</v>
      </c>
      <c r="G950" s="6" t="s">
        <v>8603</v>
      </c>
      <c r="H950" s="3" t="s">
        <v>8604</v>
      </c>
      <c r="I950" s="3" t="s">
        <v>7009</v>
      </c>
      <c r="J950" s="3" t="s">
        <v>227</v>
      </c>
      <c r="K950" s="3" t="s">
        <v>229</v>
      </c>
      <c r="L950" s="3"/>
      <c r="M950" s="3" t="s">
        <v>88</v>
      </c>
      <c r="N950" s="6" t="s">
        <v>6047</v>
      </c>
      <c r="O950" s="3" t="s">
        <v>63</v>
      </c>
      <c r="P950" s="3" t="s">
        <v>372</v>
      </c>
      <c r="Q950" s="3"/>
      <c r="R950" s="3" t="s">
        <v>258</v>
      </c>
      <c r="S950" s="7">
        <v>38602.0</v>
      </c>
      <c r="T950" s="3" t="s">
        <v>63</v>
      </c>
      <c r="U950" s="6" t="s">
        <v>146</v>
      </c>
      <c r="V950" s="3" t="s">
        <v>4</v>
      </c>
      <c r="W950" s="3" t="s">
        <v>102</v>
      </c>
    </row>
    <row r="951" ht="15.75" customHeight="1">
      <c r="A951" s="6" t="s">
        <v>2491</v>
      </c>
      <c r="B951" s="3" t="s">
        <v>8605</v>
      </c>
      <c r="C951" s="7">
        <v>32821.0</v>
      </c>
      <c r="D951" s="3" t="s">
        <v>63</v>
      </c>
      <c r="E951" s="3">
        <v>36.0</v>
      </c>
      <c r="F951" s="3" t="s">
        <v>183</v>
      </c>
      <c r="G951" s="6" t="s">
        <v>8606</v>
      </c>
      <c r="H951" s="3" t="s">
        <v>8607</v>
      </c>
      <c r="I951" s="3" t="s">
        <v>7302</v>
      </c>
      <c r="J951" s="3" t="s">
        <v>43</v>
      </c>
      <c r="K951" s="3" t="s">
        <v>45</v>
      </c>
      <c r="L951" s="6" t="s">
        <v>3814</v>
      </c>
      <c r="M951" s="3" t="s">
        <v>63</v>
      </c>
      <c r="N951" s="6" t="s">
        <v>3817</v>
      </c>
      <c r="O951" s="3" t="s">
        <v>63</v>
      </c>
      <c r="P951" s="3" t="s">
        <v>396</v>
      </c>
      <c r="Q951" s="3"/>
      <c r="R951" s="3" t="s">
        <v>258</v>
      </c>
      <c r="S951" s="7">
        <v>45091.0</v>
      </c>
      <c r="T951" s="3" t="s">
        <v>63</v>
      </c>
      <c r="U951" s="6" t="s">
        <v>333</v>
      </c>
      <c r="V951" s="3" t="s">
        <v>4</v>
      </c>
      <c r="W951" s="3" t="s">
        <v>102</v>
      </c>
    </row>
    <row r="952" ht="15.75" customHeight="1">
      <c r="A952" s="6" t="s">
        <v>628</v>
      </c>
      <c r="B952" s="3" t="s">
        <v>6826</v>
      </c>
      <c r="C952" s="7">
        <v>21326.0</v>
      </c>
      <c r="D952" s="3" t="s">
        <v>63</v>
      </c>
      <c r="E952" s="3">
        <v>68.0</v>
      </c>
      <c r="F952" s="3" t="s">
        <v>70</v>
      </c>
      <c r="G952" s="6" t="s">
        <v>8608</v>
      </c>
      <c r="H952" s="3" t="s">
        <v>8609</v>
      </c>
      <c r="I952" s="3" t="s">
        <v>8610</v>
      </c>
      <c r="J952" s="3" t="s">
        <v>225</v>
      </c>
      <c r="K952" s="3" t="s">
        <v>101</v>
      </c>
      <c r="L952" s="6" t="s">
        <v>3745</v>
      </c>
      <c r="M952" s="3" t="s">
        <v>63</v>
      </c>
      <c r="N952" s="6" t="s">
        <v>3747</v>
      </c>
      <c r="O952" s="3" t="s">
        <v>63</v>
      </c>
      <c r="P952" s="3" t="s">
        <v>372</v>
      </c>
      <c r="Q952" s="8">
        <v>451173.0</v>
      </c>
      <c r="R952" s="3" t="s">
        <v>93</v>
      </c>
      <c r="S952" s="7">
        <v>45654.0</v>
      </c>
      <c r="T952" s="3" t="s">
        <v>63</v>
      </c>
      <c r="U952" s="6" t="s">
        <v>163</v>
      </c>
      <c r="V952" s="3" t="s">
        <v>4</v>
      </c>
      <c r="W952" s="3" t="s">
        <v>102</v>
      </c>
    </row>
    <row r="953" ht="15.75" customHeight="1">
      <c r="A953" s="6" t="s">
        <v>3894</v>
      </c>
      <c r="B953" s="3" t="s">
        <v>8611</v>
      </c>
      <c r="C953" s="7">
        <v>22221.0</v>
      </c>
      <c r="D953" s="3" t="s">
        <v>63</v>
      </c>
      <c r="E953" s="3">
        <v>65.0</v>
      </c>
      <c r="F953" s="3" t="s">
        <v>70</v>
      </c>
      <c r="G953" s="6" t="s">
        <v>8612</v>
      </c>
      <c r="H953" s="3" t="s">
        <v>8613</v>
      </c>
      <c r="I953" s="3" t="s">
        <v>5654</v>
      </c>
      <c r="J953" s="3" t="s">
        <v>358</v>
      </c>
      <c r="K953" s="3" t="s">
        <v>360</v>
      </c>
      <c r="L953" s="6" t="s">
        <v>5711</v>
      </c>
      <c r="M953" s="3" t="s">
        <v>63</v>
      </c>
      <c r="N953" s="6" t="s">
        <v>5712</v>
      </c>
      <c r="O953" s="3" t="s">
        <v>63</v>
      </c>
      <c r="P953" s="3" t="s">
        <v>160</v>
      </c>
      <c r="Q953" s="3"/>
      <c r="R953" s="3" t="s">
        <v>258</v>
      </c>
      <c r="S953" s="7">
        <v>44814.0</v>
      </c>
      <c r="T953" s="3" t="s">
        <v>63</v>
      </c>
      <c r="U953" s="6" t="s">
        <v>146</v>
      </c>
      <c r="V953" s="3" t="s">
        <v>4</v>
      </c>
      <c r="W953" s="3" t="s">
        <v>102</v>
      </c>
    </row>
    <row r="954" ht="15.75" customHeight="1">
      <c r="A954" s="6" t="s">
        <v>2881</v>
      </c>
      <c r="B954" s="3" t="s">
        <v>4618</v>
      </c>
      <c r="C954" s="7">
        <v>35393.0</v>
      </c>
      <c r="D954" s="3" t="s">
        <v>63</v>
      </c>
      <c r="E954" s="3">
        <v>29.0</v>
      </c>
      <c r="F954" s="3" t="s">
        <v>183</v>
      </c>
      <c r="G954" s="6" t="s">
        <v>8614</v>
      </c>
      <c r="H954" s="3" t="s">
        <v>8615</v>
      </c>
      <c r="I954" s="3" t="s">
        <v>8616</v>
      </c>
      <c r="J954" s="3" t="s">
        <v>305</v>
      </c>
      <c r="K954" s="3" t="s">
        <v>193</v>
      </c>
      <c r="L954" s="6" t="s">
        <v>5071</v>
      </c>
      <c r="M954" s="3" t="s">
        <v>63</v>
      </c>
      <c r="N954" s="6" t="s">
        <v>5072</v>
      </c>
      <c r="O954" s="3" t="s">
        <v>63</v>
      </c>
      <c r="P954" s="3" t="s">
        <v>372</v>
      </c>
      <c r="Q954" s="3"/>
      <c r="R954" s="3" t="s">
        <v>258</v>
      </c>
      <c r="S954" s="7">
        <v>39319.0</v>
      </c>
      <c r="T954" s="3" t="s">
        <v>63</v>
      </c>
      <c r="U954" s="6" t="s">
        <v>301</v>
      </c>
      <c r="V954" s="3" t="s">
        <v>4</v>
      </c>
      <c r="W954" s="3" t="s">
        <v>102</v>
      </c>
    </row>
    <row r="955" ht="15.75" customHeight="1">
      <c r="A955" s="6" t="s">
        <v>962</v>
      </c>
      <c r="B955" s="3" t="s">
        <v>8617</v>
      </c>
      <c r="C955" s="7">
        <v>30137.0</v>
      </c>
      <c r="D955" s="3" t="s">
        <v>63</v>
      </c>
      <c r="E955" s="3">
        <v>44.0</v>
      </c>
      <c r="F955" s="3" t="s">
        <v>183</v>
      </c>
      <c r="G955" s="6" t="s">
        <v>8618</v>
      </c>
      <c r="H955" s="3" t="s">
        <v>8619</v>
      </c>
      <c r="I955" s="3" t="s">
        <v>8620</v>
      </c>
      <c r="J955" s="3" t="s">
        <v>114</v>
      </c>
      <c r="K955" s="3" t="s">
        <v>118</v>
      </c>
      <c r="L955" s="6" t="s">
        <v>965</v>
      </c>
      <c r="M955" s="3" t="s">
        <v>63</v>
      </c>
      <c r="N955" s="6" t="s">
        <v>966</v>
      </c>
      <c r="O955" s="3" t="s">
        <v>63</v>
      </c>
      <c r="P955" s="3" t="s">
        <v>464</v>
      </c>
      <c r="Q955" s="8">
        <v>705773.0</v>
      </c>
      <c r="R955" s="3" t="s">
        <v>93</v>
      </c>
      <c r="S955" s="7">
        <v>44397.0</v>
      </c>
      <c r="T955" s="3" t="s">
        <v>63</v>
      </c>
      <c r="U955" s="6" t="s">
        <v>221</v>
      </c>
      <c r="V955" s="3" t="s">
        <v>4</v>
      </c>
      <c r="W955" s="3" t="s">
        <v>102</v>
      </c>
    </row>
    <row r="956" ht="15.75" customHeight="1">
      <c r="A956" s="6" t="s">
        <v>2950</v>
      </c>
      <c r="B956" s="3" t="s">
        <v>1762</v>
      </c>
      <c r="C956" s="7">
        <v>38601.0</v>
      </c>
      <c r="D956" s="3" t="s">
        <v>63</v>
      </c>
      <c r="E956" s="3">
        <v>20.0</v>
      </c>
      <c r="F956" s="3" t="s">
        <v>183</v>
      </c>
      <c r="G956" s="6" t="s">
        <v>8621</v>
      </c>
      <c r="H956" s="3" t="s">
        <v>8622</v>
      </c>
      <c r="I956" s="3" t="s">
        <v>8623</v>
      </c>
      <c r="J956" s="3" t="s">
        <v>114</v>
      </c>
      <c r="K956" s="3" t="s">
        <v>118</v>
      </c>
      <c r="L956" s="6" t="s">
        <v>5688</v>
      </c>
      <c r="M956" s="3" t="s">
        <v>63</v>
      </c>
      <c r="N956" s="6" t="s">
        <v>5690</v>
      </c>
      <c r="O956" s="3" t="s">
        <v>63</v>
      </c>
      <c r="P956" s="3" t="s">
        <v>464</v>
      </c>
      <c r="Q956" s="3"/>
      <c r="R956" s="3" t="s">
        <v>258</v>
      </c>
      <c r="S956" s="7">
        <v>41096.0</v>
      </c>
      <c r="T956" s="3" t="s">
        <v>63</v>
      </c>
      <c r="U956" s="6" t="s">
        <v>197</v>
      </c>
      <c r="V956" s="3" t="s">
        <v>4</v>
      </c>
      <c r="W956" s="3" t="s">
        <v>102</v>
      </c>
    </row>
    <row r="957" ht="15.75" customHeight="1">
      <c r="A957" s="6" t="s">
        <v>1208</v>
      </c>
      <c r="B957" s="3" t="s">
        <v>8624</v>
      </c>
      <c r="C957" s="7">
        <v>28849.0</v>
      </c>
      <c r="D957" s="3" t="s">
        <v>63</v>
      </c>
      <c r="E957" s="3">
        <v>47.0</v>
      </c>
      <c r="F957" s="3" t="s">
        <v>70</v>
      </c>
      <c r="G957" s="6" t="s">
        <v>8625</v>
      </c>
      <c r="H957" s="3" t="s">
        <v>8626</v>
      </c>
      <c r="I957" s="3" t="s">
        <v>8627</v>
      </c>
      <c r="J957" s="3" t="s">
        <v>85</v>
      </c>
      <c r="K957" s="3" t="s">
        <v>67</v>
      </c>
      <c r="L957" s="3"/>
      <c r="M957" s="3" t="s">
        <v>88</v>
      </c>
      <c r="N957" s="6" t="s">
        <v>3199</v>
      </c>
      <c r="O957" s="3" t="s">
        <v>63</v>
      </c>
      <c r="P957" s="3" t="s">
        <v>202</v>
      </c>
      <c r="Q957" s="8">
        <v>496898.0</v>
      </c>
      <c r="R957" s="3" t="s">
        <v>93</v>
      </c>
      <c r="S957" s="7">
        <v>42387.0</v>
      </c>
      <c r="T957" s="3" t="s">
        <v>63</v>
      </c>
      <c r="U957" s="6" t="s">
        <v>208</v>
      </c>
      <c r="V957" s="3" t="s">
        <v>4</v>
      </c>
      <c r="W957" s="3" t="s">
        <v>102</v>
      </c>
    </row>
    <row r="958" ht="15.75" customHeight="1">
      <c r="A958" s="6" t="s">
        <v>1987</v>
      </c>
      <c r="B958" s="3" t="s">
        <v>8628</v>
      </c>
      <c r="C958" s="7">
        <v>36667.0</v>
      </c>
      <c r="D958" s="3" t="s">
        <v>63</v>
      </c>
      <c r="E958" s="3">
        <v>26.0</v>
      </c>
      <c r="F958" s="3" t="s">
        <v>70</v>
      </c>
      <c r="G958" s="6" t="s">
        <v>8629</v>
      </c>
      <c r="H958" s="3" t="s">
        <v>8630</v>
      </c>
      <c r="I958" s="3" t="s">
        <v>8631</v>
      </c>
      <c r="J958" s="3" t="s">
        <v>119</v>
      </c>
      <c r="K958" s="3" t="s">
        <v>121</v>
      </c>
      <c r="L958" s="6" t="s">
        <v>5032</v>
      </c>
      <c r="M958" s="3" t="s">
        <v>63</v>
      </c>
      <c r="N958" s="6" t="s">
        <v>5033</v>
      </c>
      <c r="O958" s="3" t="s">
        <v>63</v>
      </c>
      <c r="P958" s="3" t="s">
        <v>300</v>
      </c>
      <c r="Q958" s="8">
        <v>2330108.0</v>
      </c>
      <c r="R958" s="3" t="s">
        <v>93</v>
      </c>
      <c r="S958" s="7">
        <v>41787.0</v>
      </c>
      <c r="T958" s="3" t="s">
        <v>63</v>
      </c>
      <c r="U958" s="6" t="s">
        <v>262</v>
      </c>
      <c r="V958" s="3" t="s">
        <v>4</v>
      </c>
      <c r="W958" s="3" t="s">
        <v>102</v>
      </c>
    </row>
    <row r="959" ht="15.75" customHeight="1">
      <c r="A959" s="6" t="s">
        <v>3170</v>
      </c>
      <c r="B959" s="3" t="s">
        <v>8632</v>
      </c>
      <c r="C959" s="7">
        <v>32502.0</v>
      </c>
      <c r="D959" s="3" t="s">
        <v>63</v>
      </c>
      <c r="E959" s="3">
        <v>37.0</v>
      </c>
      <c r="F959" s="3" t="s">
        <v>70</v>
      </c>
      <c r="G959" s="6" t="s">
        <v>8633</v>
      </c>
      <c r="H959" s="3" t="s">
        <v>8634</v>
      </c>
      <c r="I959" s="3" t="s">
        <v>8635</v>
      </c>
      <c r="J959" s="3" t="s">
        <v>201</v>
      </c>
      <c r="K959" s="3" t="s">
        <v>203</v>
      </c>
      <c r="L959" s="6" t="s">
        <v>4233</v>
      </c>
      <c r="M959" s="3" t="s">
        <v>63</v>
      </c>
      <c r="N959" s="6" t="s">
        <v>4234</v>
      </c>
      <c r="O959" s="3" t="s">
        <v>63</v>
      </c>
      <c r="P959" s="3" t="s">
        <v>160</v>
      </c>
      <c r="Q959" s="3"/>
      <c r="R959" s="3" t="s">
        <v>258</v>
      </c>
      <c r="S959" s="7">
        <v>45856.0</v>
      </c>
      <c r="T959" s="3" t="s">
        <v>63</v>
      </c>
      <c r="U959" s="6" t="s">
        <v>385</v>
      </c>
      <c r="V959" s="3" t="s">
        <v>4</v>
      </c>
      <c r="W959" s="3" t="s">
        <v>102</v>
      </c>
    </row>
    <row r="960" ht="15.75" customHeight="1">
      <c r="A960" s="6" t="s">
        <v>2258</v>
      </c>
      <c r="B960" s="3" t="s">
        <v>8636</v>
      </c>
      <c r="C960" s="7">
        <v>34615.0</v>
      </c>
      <c r="D960" s="3" t="s">
        <v>63</v>
      </c>
      <c r="E960" s="3">
        <v>31.0</v>
      </c>
      <c r="F960" s="3" t="s">
        <v>183</v>
      </c>
      <c r="G960" s="6" t="s">
        <v>8637</v>
      </c>
      <c r="H960" s="3" t="s">
        <v>8638</v>
      </c>
      <c r="I960" s="3" t="s">
        <v>8639</v>
      </c>
      <c r="J960" s="3" t="s">
        <v>358</v>
      </c>
      <c r="K960" s="3" t="s">
        <v>360</v>
      </c>
      <c r="L960" s="6" t="s">
        <v>3079</v>
      </c>
      <c r="M960" s="3" t="s">
        <v>63</v>
      </c>
      <c r="N960" s="6" t="s">
        <v>3080</v>
      </c>
      <c r="O960" s="3" t="s">
        <v>63</v>
      </c>
      <c r="P960" s="3" t="s">
        <v>464</v>
      </c>
      <c r="Q960" s="8">
        <v>554643.0</v>
      </c>
      <c r="R960" s="3" t="s">
        <v>93</v>
      </c>
      <c r="S960" s="7">
        <v>45612.0</v>
      </c>
      <c r="T960" s="3" t="s">
        <v>63</v>
      </c>
      <c r="U960" s="6" t="s">
        <v>146</v>
      </c>
      <c r="V960" s="3" t="s">
        <v>4</v>
      </c>
      <c r="W960" s="3" t="s">
        <v>102</v>
      </c>
    </row>
    <row r="961" ht="15.75" customHeight="1">
      <c r="A961" s="6" t="s">
        <v>1190</v>
      </c>
      <c r="B961" s="3" t="s">
        <v>3767</v>
      </c>
      <c r="C961" s="7">
        <v>29692.0</v>
      </c>
      <c r="D961" s="3" t="s">
        <v>63</v>
      </c>
      <c r="E961" s="3">
        <v>45.0</v>
      </c>
      <c r="F961" s="3" t="s">
        <v>70</v>
      </c>
      <c r="G961" s="6" t="s">
        <v>8640</v>
      </c>
      <c r="H961" s="3" t="s">
        <v>8641</v>
      </c>
      <c r="I961" s="3" t="s">
        <v>8642</v>
      </c>
      <c r="J961" s="3" t="s">
        <v>201</v>
      </c>
      <c r="K961" s="3" t="s">
        <v>203</v>
      </c>
      <c r="L961" s="6" t="s">
        <v>1191</v>
      </c>
      <c r="M961" s="3" t="s">
        <v>63</v>
      </c>
      <c r="N961" s="6" t="s">
        <v>1192</v>
      </c>
      <c r="O961" s="3" t="s">
        <v>63</v>
      </c>
      <c r="P961" s="3" t="s">
        <v>372</v>
      </c>
      <c r="Q961" s="8">
        <v>2438705.0</v>
      </c>
      <c r="R961" s="3" t="s">
        <v>93</v>
      </c>
      <c r="S961" s="7">
        <v>38671.0</v>
      </c>
      <c r="T961" s="3" t="s">
        <v>63</v>
      </c>
      <c r="U961" s="6" t="s">
        <v>171</v>
      </c>
      <c r="V961" s="3" t="s">
        <v>4</v>
      </c>
      <c r="W961" s="3" t="s">
        <v>102</v>
      </c>
    </row>
    <row r="962" ht="15.75" customHeight="1">
      <c r="A962" s="6" t="s">
        <v>1795</v>
      </c>
      <c r="B962" s="3" t="s">
        <v>8643</v>
      </c>
      <c r="C962" s="7">
        <v>22509.0</v>
      </c>
      <c r="D962" s="3" t="s">
        <v>63</v>
      </c>
      <c r="E962" s="3">
        <v>64.0</v>
      </c>
      <c r="F962" s="3" t="s">
        <v>70</v>
      </c>
      <c r="G962" s="6" t="s">
        <v>8644</v>
      </c>
      <c r="H962" s="3" t="s">
        <v>8645</v>
      </c>
      <c r="I962" s="3" t="s">
        <v>8646</v>
      </c>
      <c r="J962" s="3" t="s">
        <v>85</v>
      </c>
      <c r="K962" s="3" t="s">
        <v>67</v>
      </c>
      <c r="L962" s="6" t="s">
        <v>3806</v>
      </c>
      <c r="M962" s="3" t="s">
        <v>63</v>
      </c>
      <c r="N962" s="6" t="s">
        <v>3807</v>
      </c>
      <c r="O962" s="3" t="s">
        <v>63</v>
      </c>
      <c r="P962" s="3" t="s">
        <v>300</v>
      </c>
      <c r="Q962" s="3"/>
      <c r="R962" s="3" t="s">
        <v>258</v>
      </c>
      <c r="S962" s="7">
        <v>44066.0</v>
      </c>
      <c r="T962" s="3" t="s">
        <v>63</v>
      </c>
      <c r="U962" s="6" t="s">
        <v>311</v>
      </c>
      <c r="V962" s="3" t="s">
        <v>4</v>
      </c>
      <c r="W962" s="3" t="s">
        <v>102</v>
      </c>
    </row>
    <row r="963" ht="15.75" customHeight="1">
      <c r="A963" s="6" t="s">
        <v>3070</v>
      </c>
      <c r="B963" s="3" t="s">
        <v>8647</v>
      </c>
      <c r="C963" s="7">
        <v>33762.0</v>
      </c>
      <c r="D963" s="3" t="s">
        <v>63</v>
      </c>
      <c r="E963" s="3">
        <v>34.0</v>
      </c>
      <c r="F963" s="3" t="s">
        <v>183</v>
      </c>
      <c r="G963" s="6" t="s">
        <v>8648</v>
      </c>
      <c r="H963" s="3" t="s">
        <v>8649</v>
      </c>
      <c r="I963" s="3" t="s">
        <v>8650</v>
      </c>
      <c r="J963" s="3" t="s">
        <v>151</v>
      </c>
      <c r="K963" s="3" t="s">
        <v>121</v>
      </c>
      <c r="L963" s="6" t="s">
        <v>6139</v>
      </c>
      <c r="M963" s="3" t="s">
        <v>63</v>
      </c>
      <c r="N963" s="6" t="s">
        <v>6140</v>
      </c>
      <c r="O963" s="3" t="s">
        <v>63</v>
      </c>
      <c r="P963" s="3" t="s">
        <v>396</v>
      </c>
      <c r="Q963" s="3"/>
      <c r="R963" s="3" t="s">
        <v>258</v>
      </c>
      <c r="S963" s="7">
        <v>44491.0</v>
      </c>
      <c r="T963" s="3" t="s">
        <v>63</v>
      </c>
      <c r="U963" s="6" t="s">
        <v>277</v>
      </c>
      <c r="V963" s="3" t="s">
        <v>237</v>
      </c>
      <c r="W963" s="3" t="s">
        <v>102</v>
      </c>
    </row>
    <row r="964" ht="15.75" customHeight="1">
      <c r="A964" s="6" t="s">
        <v>407</v>
      </c>
      <c r="B964" s="3" t="s">
        <v>7369</v>
      </c>
      <c r="C964" s="7">
        <v>32093.0</v>
      </c>
      <c r="D964" s="3" t="s">
        <v>63</v>
      </c>
      <c r="E964" s="3">
        <v>38.0</v>
      </c>
      <c r="F964" s="3" t="s">
        <v>183</v>
      </c>
      <c r="G964" s="6" t="s">
        <v>8651</v>
      </c>
      <c r="H964" s="3" t="s">
        <v>8652</v>
      </c>
      <c r="I964" s="3" t="s">
        <v>5058</v>
      </c>
      <c r="J964" s="3" t="s">
        <v>327</v>
      </c>
      <c r="K964" s="3" t="s">
        <v>169</v>
      </c>
      <c r="L964" s="6" t="s">
        <v>409</v>
      </c>
      <c r="M964" s="3" t="s">
        <v>63</v>
      </c>
      <c r="N964" s="6" t="s">
        <v>410</v>
      </c>
      <c r="O964" s="3" t="s">
        <v>63</v>
      </c>
      <c r="P964" s="3" t="s">
        <v>464</v>
      </c>
      <c r="Q964" s="8">
        <v>1005181.0</v>
      </c>
      <c r="R964" s="3" t="s">
        <v>93</v>
      </c>
      <c r="S964" s="7">
        <v>38757.0</v>
      </c>
      <c r="T964" s="3" t="s">
        <v>63</v>
      </c>
      <c r="U964" s="6" t="s">
        <v>262</v>
      </c>
      <c r="V964" s="3" t="s">
        <v>4</v>
      </c>
      <c r="W964" s="3" t="s">
        <v>102</v>
      </c>
    </row>
    <row r="965" ht="15.75" customHeight="1">
      <c r="A965" s="6" t="s">
        <v>4144</v>
      </c>
      <c r="B965" s="3" t="s">
        <v>8653</v>
      </c>
      <c r="C965" s="7">
        <v>37752.0</v>
      </c>
      <c r="D965" s="3" t="s">
        <v>63</v>
      </c>
      <c r="E965" s="3">
        <v>23.0</v>
      </c>
      <c r="F965" s="3" t="s">
        <v>70</v>
      </c>
      <c r="G965" s="6" t="s">
        <v>8654</v>
      </c>
      <c r="H965" s="3" t="s">
        <v>8655</v>
      </c>
      <c r="I965" s="3" t="s">
        <v>8656</v>
      </c>
      <c r="J965" s="3" t="s">
        <v>79</v>
      </c>
      <c r="K965" s="3" t="s">
        <v>81</v>
      </c>
      <c r="L965" s="6" t="s">
        <v>4145</v>
      </c>
      <c r="M965" s="3" t="s">
        <v>63</v>
      </c>
      <c r="N965" s="3"/>
      <c r="O965" s="3" t="s">
        <v>88</v>
      </c>
      <c r="P965" s="3" t="s">
        <v>160</v>
      </c>
      <c r="Q965" s="3"/>
      <c r="R965" s="3" t="s">
        <v>258</v>
      </c>
      <c r="S965" s="7">
        <v>44252.0</v>
      </c>
      <c r="T965" s="3" t="s">
        <v>63</v>
      </c>
      <c r="U965" s="6" t="s">
        <v>323</v>
      </c>
      <c r="V965" s="3" t="s">
        <v>4</v>
      </c>
      <c r="W965" s="3" t="s">
        <v>102</v>
      </c>
    </row>
    <row r="966" ht="15.75" customHeight="1">
      <c r="A966" s="6" t="s">
        <v>572</v>
      </c>
      <c r="B966" s="3" t="s">
        <v>7381</v>
      </c>
      <c r="C966" s="7">
        <v>36783.0</v>
      </c>
      <c r="D966" s="3" t="s">
        <v>63</v>
      </c>
      <c r="E966" s="3">
        <v>25.0</v>
      </c>
      <c r="F966" s="3" t="s">
        <v>183</v>
      </c>
      <c r="G966" s="6" t="s">
        <v>8657</v>
      </c>
      <c r="H966" s="3" t="s">
        <v>7383</v>
      </c>
      <c r="I966" s="3" t="s">
        <v>7384</v>
      </c>
      <c r="J966" s="3" t="s">
        <v>282</v>
      </c>
      <c r="K966" s="3" t="s">
        <v>229</v>
      </c>
      <c r="L966" s="6" t="s">
        <v>574</v>
      </c>
      <c r="M966" s="3" t="s">
        <v>63</v>
      </c>
      <c r="N966" s="6" t="s">
        <v>575</v>
      </c>
      <c r="O966" s="3" t="s">
        <v>63</v>
      </c>
      <c r="P966" s="3" t="s">
        <v>396</v>
      </c>
      <c r="Q966" s="3"/>
      <c r="R966" s="3" t="s">
        <v>258</v>
      </c>
      <c r="S966" s="7">
        <v>38999.0</v>
      </c>
      <c r="T966" s="3" t="s">
        <v>63</v>
      </c>
      <c r="U966" s="6" t="s">
        <v>60</v>
      </c>
      <c r="V966" s="3" t="s">
        <v>4</v>
      </c>
      <c r="W966" s="3" t="s">
        <v>378</v>
      </c>
    </row>
    <row r="967" ht="15.75" customHeight="1">
      <c r="A967" s="6" t="s">
        <v>1252</v>
      </c>
      <c r="B967" s="3" t="s">
        <v>8658</v>
      </c>
      <c r="C967" s="7">
        <v>27998.0</v>
      </c>
      <c r="D967" s="3" t="s">
        <v>63</v>
      </c>
      <c r="E967" s="3">
        <v>49.0</v>
      </c>
      <c r="F967" s="3" t="s">
        <v>183</v>
      </c>
      <c r="G967" s="6" t="s">
        <v>8659</v>
      </c>
      <c r="H967" s="3" t="s">
        <v>8660</v>
      </c>
      <c r="I967" s="3" t="s">
        <v>8661</v>
      </c>
      <c r="J967" s="3" t="s">
        <v>327</v>
      </c>
      <c r="K967" s="3" t="s">
        <v>169</v>
      </c>
      <c r="L967" s="6" t="s">
        <v>1255</v>
      </c>
      <c r="M967" s="3" t="s">
        <v>63</v>
      </c>
      <c r="N967" s="6" t="s">
        <v>1258</v>
      </c>
      <c r="O967" s="3" t="s">
        <v>63</v>
      </c>
      <c r="P967" s="3" t="s">
        <v>160</v>
      </c>
      <c r="Q967" s="8">
        <v>975028.0</v>
      </c>
      <c r="R967" s="3" t="s">
        <v>93</v>
      </c>
      <c r="S967" s="7">
        <v>45589.0</v>
      </c>
      <c r="T967" s="3" t="s">
        <v>63</v>
      </c>
      <c r="U967" s="6" t="s">
        <v>197</v>
      </c>
      <c r="V967" s="3" t="s">
        <v>4</v>
      </c>
      <c r="W967" s="3" t="s">
        <v>102</v>
      </c>
    </row>
    <row r="968" ht="15.75" customHeight="1">
      <c r="A968" s="6" t="s">
        <v>519</v>
      </c>
      <c r="B968" s="3" t="s">
        <v>8662</v>
      </c>
      <c r="C968" s="7">
        <v>33496.0</v>
      </c>
      <c r="D968" s="3" t="s">
        <v>63</v>
      </c>
      <c r="E968" s="3">
        <v>34.0</v>
      </c>
      <c r="F968" s="3" t="s">
        <v>70</v>
      </c>
      <c r="G968" s="6" t="s">
        <v>8663</v>
      </c>
      <c r="H968" s="3" t="s">
        <v>8664</v>
      </c>
      <c r="I968" s="3" t="s">
        <v>8665</v>
      </c>
      <c r="J968" s="3" t="s">
        <v>114</v>
      </c>
      <c r="K968" s="3" t="s">
        <v>118</v>
      </c>
      <c r="L968" s="6" t="s">
        <v>521</v>
      </c>
      <c r="M968" s="3" t="s">
        <v>63</v>
      </c>
      <c r="N968" s="6" t="s">
        <v>523</v>
      </c>
      <c r="O968" s="3" t="s">
        <v>63</v>
      </c>
      <c r="P968" s="3" t="s">
        <v>202</v>
      </c>
      <c r="Q968" s="3"/>
      <c r="R968" s="3" t="s">
        <v>258</v>
      </c>
      <c r="S968" s="7">
        <v>43566.0</v>
      </c>
      <c r="T968" s="3" t="s">
        <v>63</v>
      </c>
      <c r="U968" s="6" t="s">
        <v>163</v>
      </c>
      <c r="V968" s="3" t="s">
        <v>4</v>
      </c>
      <c r="W968" s="3" t="s">
        <v>102</v>
      </c>
    </row>
    <row r="969" ht="15.75" customHeight="1">
      <c r="A969" s="6" t="s">
        <v>166</v>
      </c>
      <c r="B969" s="3" t="s">
        <v>8666</v>
      </c>
      <c r="C969" s="7">
        <v>22552.0</v>
      </c>
      <c r="D969" s="3" t="s">
        <v>63</v>
      </c>
      <c r="E969" s="3">
        <v>64.0</v>
      </c>
      <c r="F969" s="3" t="s">
        <v>183</v>
      </c>
      <c r="G969" s="6" t="s">
        <v>8667</v>
      </c>
      <c r="H969" s="3" t="s">
        <v>8668</v>
      </c>
      <c r="I969" s="3" t="s">
        <v>8669</v>
      </c>
      <c r="J969" s="3" t="s">
        <v>98</v>
      </c>
      <c r="K969" s="3" t="s">
        <v>101</v>
      </c>
      <c r="L969" s="6" t="s">
        <v>168</v>
      </c>
      <c r="M969" s="3" t="s">
        <v>63</v>
      </c>
      <c r="N969" s="6" t="s">
        <v>170</v>
      </c>
      <c r="O969" s="3" t="s">
        <v>63</v>
      </c>
      <c r="P969" s="3" t="s">
        <v>396</v>
      </c>
      <c r="Q969" s="8">
        <v>1319919.0</v>
      </c>
      <c r="R969" s="3" t="s">
        <v>93</v>
      </c>
      <c r="S969" s="7">
        <v>42005.0</v>
      </c>
      <c r="T969" s="3" t="s">
        <v>63</v>
      </c>
      <c r="U969" s="6" t="s">
        <v>80</v>
      </c>
      <c r="V969" s="3" t="s">
        <v>237</v>
      </c>
      <c r="W969" s="3" t="s">
        <v>102</v>
      </c>
    </row>
    <row r="970" ht="15.75" customHeight="1">
      <c r="A970" s="6" t="s">
        <v>2923</v>
      </c>
      <c r="B970" s="3" t="s">
        <v>5406</v>
      </c>
      <c r="C970" s="7">
        <v>21860.0</v>
      </c>
      <c r="D970" s="3" t="s">
        <v>63</v>
      </c>
      <c r="E970" s="3">
        <v>66.0</v>
      </c>
      <c r="F970" s="3" t="s">
        <v>70</v>
      </c>
      <c r="G970" s="6" t="s">
        <v>8670</v>
      </c>
      <c r="H970" s="3" t="s">
        <v>8671</v>
      </c>
      <c r="I970" s="3" t="s">
        <v>8672</v>
      </c>
      <c r="J970" s="3" t="s">
        <v>151</v>
      </c>
      <c r="K970" s="3" t="s">
        <v>121</v>
      </c>
      <c r="L970" s="6" t="s">
        <v>3618</v>
      </c>
      <c r="M970" s="3" t="s">
        <v>63</v>
      </c>
      <c r="N970" s="6" t="s">
        <v>3619</v>
      </c>
      <c r="O970" s="3" t="s">
        <v>63</v>
      </c>
      <c r="P970" s="3" t="s">
        <v>464</v>
      </c>
      <c r="Q970" s="8">
        <v>868070.0</v>
      </c>
      <c r="R970" s="3" t="s">
        <v>93</v>
      </c>
      <c r="S970" s="7">
        <v>40154.0</v>
      </c>
      <c r="T970" s="3" t="s">
        <v>63</v>
      </c>
      <c r="U970" s="6" t="s">
        <v>311</v>
      </c>
      <c r="V970" s="3" t="s">
        <v>4</v>
      </c>
      <c r="W970" s="3" t="s">
        <v>102</v>
      </c>
    </row>
    <row r="971" ht="15.75" customHeight="1">
      <c r="A971" s="6" t="s">
        <v>5746</v>
      </c>
      <c r="B971" s="3" t="s">
        <v>8673</v>
      </c>
      <c r="C971" s="7">
        <v>32505.0</v>
      </c>
      <c r="D971" s="3" t="s">
        <v>63</v>
      </c>
      <c r="E971" s="3">
        <v>37.0</v>
      </c>
      <c r="F971" s="3" t="s">
        <v>183</v>
      </c>
      <c r="G971" s="6" t="s">
        <v>8674</v>
      </c>
      <c r="H971" s="3" t="s">
        <v>8675</v>
      </c>
      <c r="I971" s="3" t="s">
        <v>8676</v>
      </c>
      <c r="J971" s="3" t="s">
        <v>379</v>
      </c>
      <c r="K971" s="3" t="s">
        <v>229</v>
      </c>
      <c r="L971" s="6" t="s">
        <v>5750</v>
      </c>
      <c r="M971" s="3" t="s">
        <v>63</v>
      </c>
      <c r="N971" s="6" t="s">
        <v>5752</v>
      </c>
      <c r="O971" s="3" t="s">
        <v>63</v>
      </c>
      <c r="P971" s="3" t="s">
        <v>372</v>
      </c>
      <c r="Q971" s="8">
        <v>2410736.0</v>
      </c>
      <c r="R971" s="3" t="s">
        <v>93</v>
      </c>
      <c r="S971" s="7">
        <v>45203.0</v>
      </c>
      <c r="T971" s="3" t="s">
        <v>63</v>
      </c>
      <c r="U971" s="6" t="s">
        <v>80</v>
      </c>
      <c r="V971" s="3" t="s">
        <v>4</v>
      </c>
      <c r="W971" s="3" t="s">
        <v>102</v>
      </c>
    </row>
    <row r="972" ht="15.75" customHeight="1">
      <c r="A972" s="6" t="s">
        <v>3424</v>
      </c>
      <c r="B972" s="3" t="s">
        <v>8677</v>
      </c>
      <c r="C972" s="7">
        <v>38144.0</v>
      </c>
      <c r="D972" s="3" t="s">
        <v>63</v>
      </c>
      <c r="E972" s="3">
        <v>22.0</v>
      </c>
      <c r="F972" s="3" t="s">
        <v>183</v>
      </c>
      <c r="G972" s="6" t="s">
        <v>8678</v>
      </c>
      <c r="H972" s="3" t="s">
        <v>8679</v>
      </c>
      <c r="I972" s="3" t="s">
        <v>8680</v>
      </c>
      <c r="J972" s="3" t="s">
        <v>85</v>
      </c>
      <c r="K972" s="3" t="s">
        <v>67</v>
      </c>
      <c r="L972" s="6" t="s">
        <v>6490</v>
      </c>
      <c r="M972" s="3" t="s">
        <v>63</v>
      </c>
      <c r="N972" s="6" t="s">
        <v>6491</v>
      </c>
      <c r="O972" s="3" t="s">
        <v>63</v>
      </c>
      <c r="P972" s="3" t="s">
        <v>464</v>
      </c>
      <c r="Q972" s="8">
        <v>721197.0</v>
      </c>
      <c r="R972" s="3" t="s">
        <v>93</v>
      </c>
      <c r="S972" s="7">
        <v>42789.0</v>
      </c>
      <c r="T972" s="3" t="s">
        <v>63</v>
      </c>
      <c r="U972" s="6" t="s">
        <v>129</v>
      </c>
      <c r="V972" s="3" t="s">
        <v>4</v>
      </c>
      <c r="W972" s="3" t="s">
        <v>102</v>
      </c>
    </row>
    <row r="973" ht="15.75" customHeight="1">
      <c r="A973" s="6" t="s">
        <v>100</v>
      </c>
      <c r="B973" s="3" t="s">
        <v>8681</v>
      </c>
      <c r="C973" s="7">
        <v>34954.0</v>
      </c>
      <c r="D973" s="3" t="s">
        <v>63</v>
      </c>
      <c r="E973" s="3">
        <v>30.0</v>
      </c>
      <c r="F973" s="3" t="s">
        <v>183</v>
      </c>
      <c r="G973" s="6" t="s">
        <v>8682</v>
      </c>
      <c r="H973" s="3" t="s">
        <v>8683</v>
      </c>
      <c r="I973" s="3" t="s">
        <v>7243</v>
      </c>
      <c r="J973" s="3" t="s">
        <v>349</v>
      </c>
      <c r="K973" s="3" t="s">
        <v>45</v>
      </c>
      <c r="L973" s="6" t="s">
        <v>103</v>
      </c>
      <c r="M973" s="3" t="s">
        <v>63</v>
      </c>
      <c r="N973" s="6" t="s">
        <v>106</v>
      </c>
      <c r="O973" s="3" t="s">
        <v>63</v>
      </c>
      <c r="P973" s="3" t="s">
        <v>300</v>
      </c>
      <c r="Q973" s="3"/>
      <c r="R973" s="3" t="s">
        <v>258</v>
      </c>
      <c r="S973" s="7">
        <v>40364.0</v>
      </c>
      <c r="T973" s="3" t="s">
        <v>63</v>
      </c>
      <c r="U973" s="6" t="s">
        <v>146</v>
      </c>
      <c r="V973" s="3" t="s">
        <v>237</v>
      </c>
      <c r="W973" s="3" t="s">
        <v>102</v>
      </c>
    </row>
    <row r="974" ht="15.75" customHeight="1">
      <c r="A974" s="6" t="s">
        <v>1022</v>
      </c>
      <c r="B974" s="3" t="s">
        <v>8684</v>
      </c>
      <c r="C974" s="7">
        <v>28497.0</v>
      </c>
      <c r="D974" s="3" t="s">
        <v>63</v>
      </c>
      <c r="E974" s="3">
        <v>48.0</v>
      </c>
      <c r="F974" s="3" t="s">
        <v>183</v>
      </c>
      <c r="G974" s="6" t="s">
        <v>8685</v>
      </c>
      <c r="H974" s="3"/>
      <c r="I974" s="3" t="s">
        <v>8686</v>
      </c>
      <c r="J974" s="3" t="s">
        <v>227</v>
      </c>
      <c r="K974" s="3" t="s">
        <v>229</v>
      </c>
      <c r="L974" s="6" t="s">
        <v>3843</v>
      </c>
      <c r="M974" s="3" t="s">
        <v>63</v>
      </c>
      <c r="N974" s="6" t="s">
        <v>3845</v>
      </c>
      <c r="O974" s="3" t="s">
        <v>63</v>
      </c>
      <c r="P974" s="3" t="s">
        <v>90</v>
      </c>
      <c r="Q974" s="8">
        <v>1533482.0</v>
      </c>
      <c r="R974" s="3" t="s">
        <v>93</v>
      </c>
      <c r="S974" s="7">
        <v>38522.0</v>
      </c>
      <c r="T974" s="3" t="s">
        <v>63</v>
      </c>
      <c r="U974" s="6" t="s">
        <v>171</v>
      </c>
      <c r="V974" s="3" t="s">
        <v>4</v>
      </c>
      <c r="W974" s="3" t="s">
        <v>102</v>
      </c>
    </row>
    <row r="975" ht="15.75" customHeight="1">
      <c r="A975" s="6" t="s">
        <v>5351</v>
      </c>
      <c r="B975" s="3" t="s">
        <v>8687</v>
      </c>
      <c r="C975" s="7">
        <v>32028.0</v>
      </c>
      <c r="D975" s="3" t="s">
        <v>63</v>
      </c>
      <c r="E975" s="3">
        <v>38.0</v>
      </c>
      <c r="F975" s="3" t="s">
        <v>183</v>
      </c>
      <c r="G975" s="6" t="s">
        <v>8688</v>
      </c>
      <c r="H975" s="3" t="s">
        <v>8689</v>
      </c>
      <c r="I975" s="3" t="s">
        <v>8690</v>
      </c>
      <c r="J975" s="3" t="s">
        <v>119</v>
      </c>
      <c r="K975" s="3" t="s">
        <v>121</v>
      </c>
      <c r="L975" s="3"/>
      <c r="M975" s="3" t="s">
        <v>88</v>
      </c>
      <c r="N975" s="6" t="s">
        <v>5352</v>
      </c>
      <c r="O975" s="3" t="s">
        <v>63</v>
      </c>
      <c r="P975" s="3" t="s">
        <v>324</v>
      </c>
      <c r="Q975" s="3"/>
      <c r="R975" s="3" t="s">
        <v>258</v>
      </c>
      <c r="S975" s="7">
        <v>39368.0</v>
      </c>
      <c r="T975" s="3" t="s">
        <v>63</v>
      </c>
      <c r="U975" s="6" t="s">
        <v>385</v>
      </c>
      <c r="V975" s="3" t="s">
        <v>4</v>
      </c>
      <c r="W975" s="3" t="s">
        <v>102</v>
      </c>
    </row>
    <row r="976" ht="15.75" customHeight="1">
      <c r="A976" s="6" t="s">
        <v>4366</v>
      </c>
      <c r="B976" s="3" t="s">
        <v>8691</v>
      </c>
      <c r="C976" s="7">
        <v>37888.0</v>
      </c>
      <c r="D976" s="3" t="s">
        <v>63</v>
      </c>
      <c r="E976" s="3">
        <v>22.0</v>
      </c>
      <c r="F976" s="3" t="s">
        <v>183</v>
      </c>
      <c r="G976" s="6" t="s">
        <v>8692</v>
      </c>
      <c r="H976" s="3" t="s">
        <v>8693</v>
      </c>
      <c r="I976" s="3" t="s">
        <v>8694</v>
      </c>
      <c r="J976" s="3" t="s">
        <v>225</v>
      </c>
      <c r="K976" s="3" t="s">
        <v>101</v>
      </c>
      <c r="L976" s="6" t="s">
        <v>4368</v>
      </c>
      <c r="M976" s="3" t="s">
        <v>63</v>
      </c>
      <c r="N976" s="6" t="s">
        <v>4370</v>
      </c>
      <c r="O976" s="3" t="s">
        <v>63</v>
      </c>
      <c r="P976" s="3" t="s">
        <v>127</v>
      </c>
      <c r="Q976" s="3"/>
      <c r="R976" s="3" t="s">
        <v>258</v>
      </c>
      <c r="S976" s="7">
        <v>40369.0</v>
      </c>
      <c r="T976" s="3" t="s">
        <v>63</v>
      </c>
      <c r="U976" s="6" t="s">
        <v>401</v>
      </c>
      <c r="V976" s="3" t="s">
        <v>4</v>
      </c>
      <c r="W976" s="3" t="s">
        <v>102</v>
      </c>
    </row>
    <row r="977" ht="15.75" customHeight="1">
      <c r="A977" s="6" t="s">
        <v>5826</v>
      </c>
      <c r="B977" s="3" t="s">
        <v>8695</v>
      </c>
      <c r="C977" s="7">
        <v>28885.0</v>
      </c>
      <c r="D977" s="3" t="s">
        <v>63</v>
      </c>
      <c r="E977" s="3">
        <v>47.0</v>
      </c>
      <c r="F977" s="3" t="s">
        <v>183</v>
      </c>
      <c r="G977" s="6" t="s">
        <v>8696</v>
      </c>
      <c r="H977" s="3" t="s">
        <v>8697</v>
      </c>
      <c r="I977" s="3" t="s">
        <v>8698</v>
      </c>
      <c r="J977" s="3" t="s">
        <v>225</v>
      </c>
      <c r="K977" s="3" t="s">
        <v>101</v>
      </c>
      <c r="L977" s="6" t="s">
        <v>5827</v>
      </c>
      <c r="M977" s="3" t="s">
        <v>63</v>
      </c>
      <c r="N977" s="6" t="s">
        <v>5828</v>
      </c>
      <c r="O977" s="3" t="s">
        <v>63</v>
      </c>
      <c r="P977" s="3" t="s">
        <v>160</v>
      </c>
      <c r="Q977" s="8">
        <v>835876.0</v>
      </c>
      <c r="R977" s="3" t="s">
        <v>93</v>
      </c>
      <c r="S977" s="7">
        <v>42162.0</v>
      </c>
      <c r="T977" s="3" t="s">
        <v>63</v>
      </c>
      <c r="U977" s="6" t="s">
        <v>234</v>
      </c>
      <c r="V977" s="3" t="s">
        <v>4</v>
      </c>
      <c r="W977" s="3" t="s">
        <v>102</v>
      </c>
    </row>
    <row r="978" ht="15.75" customHeight="1">
      <c r="A978" s="6" t="s">
        <v>3821</v>
      </c>
      <c r="B978" s="3" t="s">
        <v>8699</v>
      </c>
      <c r="C978" s="7">
        <v>21849.0</v>
      </c>
      <c r="D978" s="3" t="s">
        <v>63</v>
      </c>
      <c r="E978" s="3">
        <v>66.0</v>
      </c>
      <c r="F978" s="3" t="s">
        <v>183</v>
      </c>
      <c r="G978" s="6" t="s">
        <v>8700</v>
      </c>
      <c r="H978" s="3" t="s">
        <v>8701</v>
      </c>
      <c r="I978" s="3" t="s">
        <v>6427</v>
      </c>
      <c r="J978" s="3" t="s">
        <v>43</v>
      </c>
      <c r="K978" s="3" t="s">
        <v>45</v>
      </c>
      <c r="L978" s="3"/>
      <c r="M978" s="3" t="s">
        <v>88</v>
      </c>
      <c r="N978" s="6" t="s">
        <v>5908</v>
      </c>
      <c r="O978" s="3" t="s">
        <v>63</v>
      </c>
      <c r="P978" s="3" t="s">
        <v>396</v>
      </c>
      <c r="Q978" s="3"/>
      <c r="R978" s="3" t="s">
        <v>258</v>
      </c>
      <c r="S978" s="7">
        <v>44917.0</v>
      </c>
      <c r="T978" s="3" t="s">
        <v>63</v>
      </c>
      <c r="U978" s="6" t="s">
        <v>397</v>
      </c>
      <c r="V978" s="3" t="s">
        <v>4</v>
      </c>
      <c r="W978" s="3" t="s">
        <v>102</v>
      </c>
    </row>
    <row r="979" ht="15.75" customHeight="1">
      <c r="A979" s="6" t="s">
        <v>1282</v>
      </c>
      <c r="B979" s="3" t="s">
        <v>8168</v>
      </c>
      <c r="C979" s="7">
        <v>26261.0</v>
      </c>
      <c r="D979" s="3" t="s">
        <v>63</v>
      </c>
      <c r="E979" s="3">
        <v>54.0</v>
      </c>
      <c r="F979" s="3" t="s">
        <v>183</v>
      </c>
      <c r="G979" s="6" t="s">
        <v>8702</v>
      </c>
      <c r="H979" s="3" t="s">
        <v>8703</v>
      </c>
      <c r="I979" s="3" t="s">
        <v>8704</v>
      </c>
      <c r="J979" s="3" t="s">
        <v>43</v>
      </c>
      <c r="K979" s="3" t="s">
        <v>45</v>
      </c>
      <c r="L979" s="6" t="s">
        <v>1285</v>
      </c>
      <c r="M979" s="3" t="s">
        <v>63</v>
      </c>
      <c r="N979" s="6" t="s">
        <v>1287</v>
      </c>
      <c r="O979" s="3" t="s">
        <v>63</v>
      </c>
      <c r="P979" s="3" t="s">
        <v>127</v>
      </c>
      <c r="Q979" s="3"/>
      <c r="R979" s="3" t="s">
        <v>258</v>
      </c>
      <c r="S979" s="7">
        <v>41465.0</v>
      </c>
      <c r="T979" s="3" t="s">
        <v>63</v>
      </c>
      <c r="U979" s="6" t="s">
        <v>266</v>
      </c>
      <c r="V979" s="3" t="s">
        <v>4</v>
      </c>
      <c r="W979" s="3" t="s">
        <v>102</v>
      </c>
    </row>
    <row r="980" ht="15.75" customHeight="1">
      <c r="A980" s="6" t="s">
        <v>1286</v>
      </c>
      <c r="B980" s="3" t="s">
        <v>8705</v>
      </c>
      <c r="C980" s="7">
        <v>32572.0</v>
      </c>
      <c r="D980" s="3" t="s">
        <v>63</v>
      </c>
      <c r="E980" s="3">
        <v>37.0</v>
      </c>
      <c r="F980" s="3" t="s">
        <v>70</v>
      </c>
      <c r="G980" s="6" t="s">
        <v>8706</v>
      </c>
      <c r="H980" s="3" t="s">
        <v>8707</v>
      </c>
      <c r="I980" s="3" t="s">
        <v>3896</v>
      </c>
      <c r="J980" s="3" t="s">
        <v>250</v>
      </c>
      <c r="K980" s="3" t="s">
        <v>252</v>
      </c>
      <c r="L980" s="6" t="s">
        <v>8708</v>
      </c>
      <c r="M980" s="3" t="s">
        <v>63</v>
      </c>
      <c r="N980" s="6" t="s">
        <v>8709</v>
      </c>
      <c r="O980" s="3" t="s">
        <v>63</v>
      </c>
      <c r="P980" s="3" t="s">
        <v>160</v>
      </c>
      <c r="Q980" s="8">
        <v>1518891.0</v>
      </c>
      <c r="R980" s="3" t="s">
        <v>93</v>
      </c>
      <c r="S980" s="7">
        <v>41107.0</v>
      </c>
      <c r="T980" s="3" t="s">
        <v>63</v>
      </c>
      <c r="U980" s="6" t="s">
        <v>146</v>
      </c>
      <c r="V980" s="3" t="s">
        <v>4</v>
      </c>
      <c r="W980" s="3" t="s">
        <v>102</v>
      </c>
    </row>
    <row r="981" ht="15.75" customHeight="1">
      <c r="A981" s="6" t="s">
        <v>5354</v>
      </c>
      <c r="B981" s="3" t="s">
        <v>8710</v>
      </c>
      <c r="C981" s="7">
        <v>34951.0</v>
      </c>
      <c r="D981" s="3" t="s">
        <v>63</v>
      </c>
      <c r="E981" s="3">
        <v>30.0</v>
      </c>
      <c r="F981" s="3" t="s">
        <v>183</v>
      </c>
      <c r="G981" s="6" t="s">
        <v>8711</v>
      </c>
      <c r="H981" s="3" t="s">
        <v>8712</v>
      </c>
      <c r="I981" s="3" t="s">
        <v>8713</v>
      </c>
      <c r="J981" s="3" t="s">
        <v>151</v>
      </c>
      <c r="K981" s="3" t="s">
        <v>121</v>
      </c>
      <c r="L981" s="3"/>
      <c r="M981" s="3" t="s">
        <v>88</v>
      </c>
      <c r="N981" s="6" t="s">
        <v>5355</v>
      </c>
      <c r="O981" s="3" t="s">
        <v>63</v>
      </c>
      <c r="P981" s="3" t="s">
        <v>464</v>
      </c>
      <c r="Q981" s="3"/>
      <c r="R981" s="3" t="s">
        <v>258</v>
      </c>
      <c r="S981" s="7">
        <v>41574.0</v>
      </c>
      <c r="T981" s="3" t="s">
        <v>63</v>
      </c>
      <c r="U981" s="6" t="s">
        <v>171</v>
      </c>
      <c r="V981" s="3" t="s">
        <v>4</v>
      </c>
      <c r="W981" s="3" t="s">
        <v>102</v>
      </c>
    </row>
    <row r="982" ht="15.75" customHeight="1">
      <c r="A982" s="6" t="s">
        <v>909</v>
      </c>
      <c r="B982" s="3" t="s">
        <v>8714</v>
      </c>
      <c r="C982" s="7">
        <v>22378.0</v>
      </c>
      <c r="D982" s="3" t="s">
        <v>63</v>
      </c>
      <c r="E982" s="3">
        <v>65.0</v>
      </c>
      <c r="F982" s="3" t="s">
        <v>70</v>
      </c>
      <c r="G982" s="6" t="s">
        <v>8715</v>
      </c>
      <c r="H982" s="3" t="s">
        <v>8716</v>
      </c>
      <c r="I982" s="3" t="s">
        <v>8717</v>
      </c>
      <c r="J982" s="3" t="s">
        <v>213</v>
      </c>
      <c r="K982" s="3" t="s">
        <v>67</v>
      </c>
      <c r="L982" s="6" t="s">
        <v>2858</v>
      </c>
      <c r="M982" s="3" t="s">
        <v>63</v>
      </c>
      <c r="N982" s="6" t="s">
        <v>2860</v>
      </c>
      <c r="O982" s="3" t="s">
        <v>620</v>
      </c>
      <c r="P982" s="3" t="s">
        <v>202</v>
      </c>
      <c r="Q982" s="3"/>
      <c r="R982" s="3" t="s">
        <v>258</v>
      </c>
      <c r="S982" s="7">
        <v>41418.0</v>
      </c>
      <c r="T982" s="3" t="s">
        <v>63</v>
      </c>
      <c r="U982" s="6" t="s">
        <v>129</v>
      </c>
      <c r="V982" s="3" t="s">
        <v>4</v>
      </c>
      <c r="W982" s="3" t="s">
        <v>102</v>
      </c>
    </row>
    <row r="983" ht="15.75" customHeight="1">
      <c r="A983" s="6" t="s">
        <v>2681</v>
      </c>
      <c r="B983" s="3" t="s">
        <v>8718</v>
      </c>
      <c r="C983" s="7">
        <v>25063.0</v>
      </c>
      <c r="D983" s="3" t="s">
        <v>63</v>
      </c>
      <c r="E983" s="3">
        <v>57.0</v>
      </c>
      <c r="F983" s="3" t="s">
        <v>70</v>
      </c>
      <c r="G983" s="3"/>
      <c r="H983" s="3" t="s">
        <v>8719</v>
      </c>
      <c r="I983" s="3" t="s">
        <v>8720</v>
      </c>
      <c r="J983" s="3" t="s">
        <v>98</v>
      </c>
      <c r="K983" s="3" t="s">
        <v>101</v>
      </c>
      <c r="L983" s="6" t="s">
        <v>5426</v>
      </c>
      <c r="M983" s="3" t="s">
        <v>63</v>
      </c>
      <c r="N983" s="6" t="s">
        <v>5427</v>
      </c>
      <c r="O983" s="3" t="s">
        <v>63</v>
      </c>
      <c r="P983" s="3" t="s">
        <v>300</v>
      </c>
      <c r="Q983" s="3"/>
      <c r="R983" s="3" t="s">
        <v>258</v>
      </c>
      <c r="S983" s="7">
        <v>42292.0</v>
      </c>
      <c r="T983" s="3" t="s">
        <v>63</v>
      </c>
      <c r="U983" s="6" t="s">
        <v>136</v>
      </c>
      <c r="V983" s="3" t="s">
        <v>4</v>
      </c>
      <c r="W983" s="3" t="s">
        <v>102</v>
      </c>
    </row>
    <row r="984" ht="15.75" customHeight="1">
      <c r="A984" s="6" t="s">
        <v>1084</v>
      </c>
      <c r="B984" s="3" t="s">
        <v>2384</v>
      </c>
      <c r="C984" s="7">
        <v>30664.0</v>
      </c>
      <c r="D984" s="3" t="s">
        <v>63</v>
      </c>
      <c r="E984" s="3">
        <v>42.0</v>
      </c>
      <c r="F984" s="3" t="s">
        <v>70</v>
      </c>
      <c r="G984" s="6" t="s">
        <v>8721</v>
      </c>
      <c r="H984" s="3" t="s">
        <v>8722</v>
      </c>
      <c r="I984" s="3" t="s">
        <v>8723</v>
      </c>
      <c r="J984" s="3" t="s">
        <v>43</v>
      </c>
      <c r="K984" s="3" t="s">
        <v>45</v>
      </c>
      <c r="L984" s="3"/>
      <c r="M984" s="3" t="s">
        <v>88</v>
      </c>
      <c r="N984" s="6" t="s">
        <v>1583</v>
      </c>
      <c r="O984" s="3" t="s">
        <v>63</v>
      </c>
      <c r="P984" s="3" t="s">
        <v>372</v>
      </c>
      <c r="Q984" s="8">
        <v>2083943.0</v>
      </c>
      <c r="R984" s="3" t="s">
        <v>93</v>
      </c>
      <c r="S984" s="7">
        <v>39760.0</v>
      </c>
      <c r="T984" s="3" t="s">
        <v>63</v>
      </c>
      <c r="U984" s="6" t="s">
        <v>197</v>
      </c>
      <c r="V984" s="3" t="s">
        <v>4</v>
      </c>
      <c r="W984" s="3" t="s">
        <v>102</v>
      </c>
    </row>
    <row r="985" ht="15.75" customHeight="1">
      <c r="A985" s="6" t="s">
        <v>2842</v>
      </c>
      <c r="B985" s="3" t="s">
        <v>8515</v>
      </c>
      <c r="C985" s="7">
        <v>36909.0</v>
      </c>
      <c r="D985" s="3" t="s">
        <v>63</v>
      </c>
      <c r="E985" s="3">
        <v>25.0</v>
      </c>
      <c r="F985" s="3" t="s">
        <v>70</v>
      </c>
      <c r="G985" s="6" t="s">
        <v>8724</v>
      </c>
      <c r="H985" s="3" t="s">
        <v>8517</v>
      </c>
      <c r="I985" s="3" t="s">
        <v>8104</v>
      </c>
      <c r="J985" s="3" t="s">
        <v>134</v>
      </c>
      <c r="K985" s="3" t="s">
        <v>137</v>
      </c>
      <c r="L985" s="6" t="s">
        <v>2843</v>
      </c>
      <c r="M985" s="3" t="s">
        <v>63</v>
      </c>
      <c r="N985" s="6" t="s">
        <v>2845</v>
      </c>
      <c r="O985" s="3" t="s">
        <v>63</v>
      </c>
      <c r="P985" s="3" t="s">
        <v>464</v>
      </c>
      <c r="Q985" s="8">
        <v>2218463.0</v>
      </c>
      <c r="R985" s="3" t="s">
        <v>93</v>
      </c>
      <c r="S985" s="7">
        <v>41401.0</v>
      </c>
      <c r="T985" s="3" t="s">
        <v>63</v>
      </c>
      <c r="U985" s="6" t="s">
        <v>397</v>
      </c>
      <c r="V985" s="3" t="s">
        <v>4</v>
      </c>
      <c r="W985" s="3" t="s">
        <v>378</v>
      </c>
    </row>
    <row r="986" ht="15.75" customHeight="1">
      <c r="A986" s="6" t="s">
        <v>4026</v>
      </c>
      <c r="B986" s="3" t="s">
        <v>8725</v>
      </c>
      <c r="C986" s="7">
        <v>37274.0</v>
      </c>
      <c r="D986" s="3" t="s">
        <v>63</v>
      </c>
      <c r="E986" s="3">
        <v>24.0</v>
      </c>
      <c r="F986" s="3" t="s">
        <v>183</v>
      </c>
      <c r="G986" s="6" t="s">
        <v>8726</v>
      </c>
      <c r="H986" s="3" t="s">
        <v>8727</v>
      </c>
      <c r="I986" s="3" t="s">
        <v>8728</v>
      </c>
      <c r="J986" s="3" t="s">
        <v>251</v>
      </c>
      <c r="K986" s="3" t="s">
        <v>251</v>
      </c>
      <c r="L986" s="6" t="s">
        <v>4262</v>
      </c>
      <c r="M986" s="3" t="s">
        <v>63</v>
      </c>
      <c r="N986" s="6" t="s">
        <v>4264</v>
      </c>
      <c r="O986" s="3" t="s">
        <v>63</v>
      </c>
      <c r="P986" s="3" t="s">
        <v>127</v>
      </c>
      <c r="Q986" s="3"/>
      <c r="R986" s="3" t="s">
        <v>258</v>
      </c>
      <c r="S986" s="7">
        <v>41139.0</v>
      </c>
      <c r="T986" s="3" t="s">
        <v>63</v>
      </c>
      <c r="U986" s="6" t="s">
        <v>208</v>
      </c>
      <c r="V986" s="3" t="s">
        <v>4</v>
      </c>
      <c r="W986" s="3" t="s">
        <v>102</v>
      </c>
    </row>
    <row r="987" ht="15.75" customHeight="1">
      <c r="A987" s="6" t="s">
        <v>2139</v>
      </c>
      <c r="B987" s="3" t="s">
        <v>7846</v>
      </c>
      <c r="C987" s="7">
        <v>32985.0</v>
      </c>
      <c r="D987" s="3" t="s">
        <v>63</v>
      </c>
      <c r="E987" s="3">
        <v>36.0</v>
      </c>
      <c r="F987" s="3" t="s">
        <v>183</v>
      </c>
      <c r="G987" s="6" t="s">
        <v>8729</v>
      </c>
      <c r="H987" s="3" t="s">
        <v>7848</v>
      </c>
      <c r="I987" s="3" t="s">
        <v>7849</v>
      </c>
      <c r="J987" s="3" t="s">
        <v>305</v>
      </c>
      <c r="K987" s="3" t="s">
        <v>193</v>
      </c>
      <c r="L987" s="3"/>
      <c r="M987" s="3" t="s">
        <v>88</v>
      </c>
      <c r="N987" s="6" t="s">
        <v>2141</v>
      </c>
      <c r="O987" s="3" t="s">
        <v>63</v>
      </c>
      <c r="P987" s="3" t="s">
        <v>372</v>
      </c>
      <c r="Q987" s="8">
        <v>1910541.0</v>
      </c>
      <c r="R987" s="3" t="s">
        <v>93</v>
      </c>
      <c r="S987" s="7">
        <v>39107.0</v>
      </c>
      <c r="T987" s="3" t="s">
        <v>63</v>
      </c>
      <c r="U987" s="6" t="s">
        <v>234</v>
      </c>
      <c r="V987" s="3" t="s">
        <v>4</v>
      </c>
      <c r="W987" s="3" t="s">
        <v>378</v>
      </c>
    </row>
    <row r="988" ht="15.75" customHeight="1">
      <c r="A988" s="6" t="s">
        <v>5470</v>
      </c>
      <c r="B988" s="3" t="s">
        <v>8730</v>
      </c>
      <c r="C988" s="7">
        <v>36378.0</v>
      </c>
      <c r="D988" s="3" t="s">
        <v>63</v>
      </c>
      <c r="E988" s="3">
        <v>27.0</v>
      </c>
      <c r="F988" s="3" t="s">
        <v>70</v>
      </c>
      <c r="G988" s="6" t="s">
        <v>8731</v>
      </c>
      <c r="H988" s="3" t="s">
        <v>8732</v>
      </c>
      <c r="I988" s="3" t="s">
        <v>8733</v>
      </c>
      <c r="J988" s="3" t="s">
        <v>153</v>
      </c>
      <c r="K988" s="3" t="s">
        <v>67</v>
      </c>
      <c r="L988" s="6" t="s">
        <v>5471</v>
      </c>
      <c r="M988" s="3" t="s">
        <v>63</v>
      </c>
      <c r="N988" s="6" t="s">
        <v>5472</v>
      </c>
      <c r="O988" s="3" t="s">
        <v>63</v>
      </c>
      <c r="P988" s="3" t="s">
        <v>90</v>
      </c>
      <c r="Q988" s="8">
        <v>1154593.0</v>
      </c>
      <c r="R988" s="3" t="s">
        <v>93</v>
      </c>
      <c r="S988" s="7">
        <v>46006.0</v>
      </c>
      <c r="T988" s="3" t="s">
        <v>63</v>
      </c>
      <c r="U988" s="6" t="s">
        <v>234</v>
      </c>
      <c r="V988" s="3" t="s">
        <v>4</v>
      </c>
      <c r="W988" s="3" t="s">
        <v>102</v>
      </c>
    </row>
    <row r="989" ht="15.75" customHeight="1">
      <c r="A989" s="6" t="s">
        <v>2445</v>
      </c>
      <c r="B989" s="3" t="s">
        <v>7314</v>
      </c>
      <c r="C989" s="7">
        <v>26572.0</v>
      </c>
      <c r="D989" s="3" t="s">
        <v>63</v>
      </c>
      <c r="E989" s="3">
        <v>53.0</v>
      </c>
      <c r="F989" s="3" t="s">
        <v>183</v>
      </c>
      <c r="G989" s="6" t="s">
        <v>8734</v>
      </c>
      <c r="H989" s="3" t="s">
        <v>7316</v>
      </c>
      <c r="I989" s="3" t="s">
        <v>7317</v>
      </c>
      <c r="J989" s="3" t="s">
        <v>184</v>
      </c>
      <c r="K989" s="3" t="s">
        <v>187</v>
      </c>
      <c r="L989" s="6" t="s">
        <v>1137</v>
      </c>
      <c r="M989" s="3" t="s">
        <v>63</v>
      </c>
      <c r="N989" s="6" t="s">
        <v>1138</v>
      </c>
      <c r="O989" s="3" t="s">
        <v>63</v>
      </c>
      <c r="P989" s="3" t="s">
        <v>160</v>
      </c>
      <c r="Q989" s="8">
        <v>2228147.0</v>
      </c>
      <c r="R989" s="3" t="s">
        <v>93</v>
      </c>
      <c r="S989" s="7">
        <v>43780.0</v>
      </c>
      <c r="T989" s="3" t="s">
        <v>63</v>
      </c>
      <c r="U989" s="6" t="s">
        <v>385</v>
      </c>
      <c r="V989" s="3" t="s">
        <v>4</v>
      </c>
      <c r="W989" s="3" t="s">
        <v>378</v>
      </c>
    </row>
    <row r="990" ht="15.75" customHeight="1">
      <c r="A990" s="6" t="s">
        <v>3665</v>
      </c>
      <c r="B990" s="3" t="s">
        <v>8735</v>
      </c>
      <c r="C990" s="7">
        <v>25536.0</v>
      </c>
      <c r="D990" s="3" t="s">
        <v>63</v>
      </c>
      <c r="E990" s="3">
        <v>56.0</v>
      </c>
      <c r="F990" s="3" t="s">
        <v>70</v>
      </c>
      <c r="G990" s="6" t="s">
        <v>8736</v>
      </c>
      <c r="H990" s="3" t="s">
        <v>8737</v>
      </c>
      <c r="I990" s="3" t="s">
        <v>6743</v>
      </c>
      <c r="J990" s="3" t="s">
        <v>282</v>
      </c>
      <c r="K990" s="3" t="s">
        <v>229</v>
      </c>
      <c r="L990" s="6" t="s">
        <v>3666</v>
      </c>
      <c r="M990" s="3" t="s">
        <v>63</v>
      </c>
      <c r="N990" s="3"/>
      <c r="O990" s="3" t="s">
        <v>88</v>
      </c>
      <c r="P990" s="3" t="s">
        <v>324</v>
      </c>
      <c r="Q990" s="8">
        <v>2257038.0</v>
      </c>
      <c r="R990" s="3" t="s">
        <v>93</v>
      </c>
      <c r="S990" s="7">
        <v>42360.0</v>
      </c>
      <c r="T990" s="3" t="s">
        <v>63</v>
      </c>
      <c r="U990" s="6" t="s">
        <v>311</v>
      </c>
      <c r="V990" s="3" t="s">
        <v>4</v>
      </c>
      <c r="W990" s="3" t="s">
        <v>102</v>
      </c>
    </row>
    <row r="991" ht="15.75" customHeight="1">
      <c r="A991" s="6" t="s">
        <v>2718</v>
      </c>
      <c r="B991" s="3" t="s">
        <v>8738</v>
      </c>
      <c r="C991" s="7">
        <v>33990.0</v>
      </c>
      <c r="D991" s="3" t="s">
        <v>63</v>
      </c>
      <c r="E991" s="3">
        <v>33.0</v>
      </c>
      <c r="F991" s="3" t="s">
        <v>70</v>
      </c>
      <c r="G991" s="6" t="s">
        <v>8739</v>
      </c>
      <c r="H991" s="3" t="s">
        <v>8740</v>
      </c>
      <c r="I991" s="3" t="s">
        <v>8741</v>
      </c>
      <c r="J991" s="3" t="s">
        <v>225</v>
      </c>
      <c r="K991" s="3" t="s">
        <v>101</v>
      </c>
      <c r="L991" s="6" t="s">
        <v>2719</v>
      </c>
      <c r="M991" s="3" t="s">
        <v>63</v>
      </c>
      <c r="N991" s="6" t="s">
        <v>2721</v>
      </c>
      <c r="O991" s="3" t="s">
        <v>63</v>
      </c>
      <c r="P991" s="3" t="s">
        <v>396</v>
      </c>
      <c r="Q991" s="8">
        <v>754296.0</v>
      </c>
      <c r="R991" s="3" t="s">
        <v>93</v>
      </c>
      <c r="S991" s="7">
        <v>43901.0</v>
      </c>
      <c r="T991" s="3" t="s">
        <v>63</v>
      </c>
      <c r="U991" s="6" t="s">
        <v>36</v>
      </c>
      <c r="V991" s="3" t="s">
        <v>237</v>
      </c>
      <c r="W991" s="3" t="s">
        <v>102</v>
      </c>
    </row>
    <row r="992" ht="15.75" customHeight="1">
      <c r="A992" s="6" t="s">
        <v>8742</v>
      </c>
      <c r="B992" s="3" t="s">
        <v>8743</v>
      </c>
      <c r="C992" s="7">
        <v>25648.0</v>
      </c>
      <c r="D992" s="3" t="s">
        <v>63</v>
      </c>
      <c r="E992" s="3">
        <v>56.0</v>
      </c>
      <c r="F992" s="3" t="s">
        <v>70</v>
      </c>
      <c r="G992" s="6" t="s">
        <v>8744</v>
      </c>
      <c r="H992" s="3" t="s">
        <v>8745</v>
      </c>
      <c r="I992" s="3" t="s">
        <v>8746</v>
      </c>
      <c r="J992" s="3" t="s">
        <v>349</v>
      </c>
      <c r="K992" s="3" t="s">
        <v>45</v>
      </c>
      <c r="L992" s="6" t="s">
        <v>8747</v>
      </c>
      <c r="M992" s="3" t="s">
        <v>63</v>
      </c>
      <c r="N992" s="6" t="s">
        <v>8748</v>
      </c>
      <c r="O992" s="3" t="s">
        <v>63</v>
      </c>
      <c r="P992" s="3" t="s">
        <v>324</v>
      </c>
      <c r="Q992" s="8">
        <v>1558346.0</v>
      </c>
      <c r="R992" s="3" t="s">
        <v>93</v>
      </c>
      <c r="S992" s="7">
        <v>39351.0</v>
      </c>
      <c r="T992" s="3" t="s">
        <v>63</v>
      </c>
      <c r="U992" s="6" t="s">
        <v>146</v>
      </c>
      <c r="V992" s="3" t="s">
        <v>4</v>
      </c>
      <c r="W992" s="3" t="s">
        <v>102</v>
      </c>
    </row>
    <row r="993" ht="15.75" customHeight="1">
      <c r="A993" s="6" t="s">
        <v>1485</v>
      </c>
      <c r="B993" s="3" t="s">
        <v>8579</v>
      </c>
      <c r="C993" s="7">
        <v>26105.0</v>
      </c>
      <c r="D993" s="3" t="s">
        <v>63</v>
      </c>
      <c r="E993" s="3">
        <v>55.0</v>
      </c>
      <c r="F993" s="3" t="s">
        <v>70</v>
      </c>
      <c r="G993" s="6" t="s">
        <v>8749</v>
      </c>
      <c r="H993" s="3" t="s">
        <v>8750</v>
      </c>
      <c r="I993" s="3" t="s">
        <v>8751</v>
      </c>
      <c r="J993" s="3" t="s">
        <v>327</v>
      </c>
      <c r="K993" s="3" t="s">
        <v>169</v>
      </c>
      <c r="L993" s="6" t="s">
        <v>2913</v>
      </c>
      <c r="M993" s="3" t="s">
        <v>63</v>
      </c>
      <c r="N993" s="6" t="s">
        <v>2914</v>
      </c>
      <c r="O993" s="3" t="s">
        <v>620</v>
      </c>
      <c r="P993" s="3" t="s">
        <v>396</v>
      </c>
      <c r="Q993" s="8">
        <v>709412.0</v>
      </c>
      <c r="R993" s="3" t="s">
        <v>93</v>
      </c>
      <c r="S993" s="7">
        <v>39505.0</v>
      </c>
      <c r="T993" s="3" t="s">
        <v>63</v>
      </c>
      <c r="U993" s="6" t="s">
        <v>129</v>
      </c>
      <c r="V993" s="3" t="s">
        <v>4</v>
      </c>
      <c r="W993" s="3" t="s">
        <v>102</v>
      </c>
    </row>
    <row r="994" ht="15.75" customHeight="1">
      <c r="A994" s="6" t="s">
        <v>2119</v>
      </c>
      <c r="B994" s="3" t="s">
        <v>7199</v>
      </c>
      <c r="C994" s="7">
        <v>21508.0</v>
      </c>
      <c r="D994" s="3" t="s">
        <v>63</v>
      </c>
      <c r="E994" s="3">
        <v>67.0</v>
      </c>
      <c r="F994" s="3" t="s">
        <v>183</v>
      </c>
      <c r="G994" s="6" t="s">
        <v>8752</v>
      </c>
      <c r="H994" s="3" t="s">
        <v>8753</v>
      </c>
      <c r="I994" s="3" t="s">
        <v>8754</v>
      </c>
      <c r="J994" s="3" t="s">
        <v>201</v>
      </c>
      <c r="K994" s="3" t="s">
        <v>203</v>
      </c>
      <c r="L994" s="3"/>
      <c r="M994" s="3" t="s">
        <v>88</v>
      </c>
      <c r="N994" s="3"/>
      <c r="O994" s="3" t="s">
        <v>88</v>
      </c>
      <c r="P994" s="3" t="s">
        <v>127</v>
      </c>
      <c r="Q994" s="3"/>
      <c r="R994" s="3" t="s">
        <v>258</v>
      </c>
      <c r="S994" s="7">
        <v>43207.0</v>
      </c>
      <c r="T994" s="3" t="s">
        <v>63</v>
      </c>
      <c r="U994" s="6" t="s">
        <v>60</v>
      </c>
      <c r="V994" s="3" t="s">
        <v>4</v>
      </c>
      <c r="W994" s="3" t="s">
        <v>102</v>
      </c>
    </row>
    <row r="995" ht="15.75" customHeight="1">
      <c r="A995" s="6" t="s">
        <v>851</v>
      </c>
      <c r="B995" s="3" t="s">
        <v>8755</v>
      </c>
      <c r="C995" s="7">
        <v>33197.0</v>
      </c>
      <c r="D995" s="3" t="s">
        <v>63</v>
      </c>
      <c r="E995" s="3">
        <v>35.0</v>
      </c>
      <c r="F995" s="3" t="s">
        <v>183</v>
      </c>
      <c r="G995" s="6" t="s">
        <v>8756</v>
      </c>
      <c r="H995" s="3" t="s">
        <v>8757</v>
      </c>
      <c r="I995" s="3" t="s">
        <v>8758</v>
      </c>
      <c r="J995" s="3" t="s">
        <v>65</v>
      </c>
      <c r="K995" s="3" t="s">
        <v>67</v>
      </c>
      <c r="L995" s="6" t="s">
        <v>852</v>
      </c>
      <c r="M995" s="3" t="s">
        <v>63</v>
      </c>
      <c r="N995" s="6" t="s">
        <v>853</v>
      </c>
      <c r="O995" s="3" t="s">
        <v>63</v>
      </c>
      <c r="P995" s="3" t="s">
        <v>372</v>
      </c>
      <c r="Q995" s="3"/>
      <c r="R995" s="3" t="s">
        <v>258</v>
      </c>
      <c r="S995" s="7">
        <v>38369.0</v>
      </c>
      <c r="T995" s="3" t="s">
        <v>63</v>
      </c>
      <c r="U995" s="6" t="s">
        <v>266</v>
      </c>
      <c r="V995" s="3" t="s">
        <v>237</v>
      </c>
      <c r="W995" s="3" t="s">
        <v>102</v>
      </c>
    </row>
    <row r="996" ht="15.75" customHeight="1">
      <c r="A996" s="6" t="s">
        <v>506</v>
      </c>
      <c r="B996" s="3" t="s">
        <v>8759</v>
      </c>
      <c r="C996" s="7">
        <v>28859.0</v>
      </c>
      <c r="D996" s="3" t="s">
        <v>63</v>
      </c>
      <c r="E996" s="3">
        <v>47.0</v>
      </c>
      <c r="F996" s="3" t="s">
        <v>70</v>
      </c>
      <c r="G996" s="6" t="s">
        <v>8760</v>
      </c>
      <c r="H996" s="3" t="s">
        <v>8761</v>
      </c>
      <c r="I996" s="3" t="s">
        <v>8762</v>
      </c>
      <c r="J996" s="3" t="s">
        <v>184</v>
      </c>
      <c r="K996" s="3" t="s">
        <v>187</v>
      </c>
      <c r="L996" s="6" t="s">
        <v>507</v>
      </c>
      <c r="M996" s="3" t="s">
        <v>63</v>
      </c>
      <c r="N996" s="6" t="s">
        <v>509</v>
      </c>
      <c r="O996" s="3" t="s">
        <v>63</v>
      </c>
      <c r="P996" s="3" t="s">
        <v>396</v>
      </c>
      <c r="Q996" s="3"/>
      <c r="R996" s="3" t="s">
        <v>258</v>
      </c>
      <c r="S996" s="7">
        <v>40857.0</v>
      </c>
      <c r="T996" s="3" t="s">
        <v>63</v>
      </c>
      <c r="U996" s="6" t="s">
        <v>266</v>
      </c>
      <c r="V996" s="3" t="s">
        <v>4</v>
      </c>
      <c r="W996" s="3" t="s">
        <v>102</v>
      </c>
    </row>
    <row r="997" ht="15.75" customHeight="1">
      <c r="A997" s="6" t="s">
        <v>8763</v>
      </c>
      <c r="B997" s="3" t="s">
        <v>8764</v>
      </c>
      <c r="C997" s="7">
        <v>21202.0</v>
      </c>
      <c r="D997" s="3" t="s">
        <v>63</v>
      </c>
      <c r="E997" s="3">
        <v>68.0</v>
      </c>
      <c r="F997" s="3" t="s">
        <v>183</v>
      </c>
      <c r="G997" s="6" t="s">
        <v>8765</v>
      </c>
      <c r="H997" s="3" t="s">
        <v>8766</v>
      </c>
      <c r="I997" s="3" t="s">
        <v>8767</v>
      </c>
      <c r="J997" s="3" t="s">
        <v>358</v>
      </c>
      <c r="K997" s="3" t="s">
        <v>360</v>
      </c>
      <c r="L997" s="6" t="s">
        <v>8768</v>
      </c>
      <c r="M997" s="3" t="s">
        <v>63</v>
      </c>
      <c r="N997" s="6" t="s">
        <v>8769</v>
      </c>
      <c r="O997" s="3" t="s">
        <v>620</v>
      </c>
      <c r="P997" s="3" t="s">
        <v>160</v>
      </c>
      <c r="Q997" s="3"/>
      <c r="R997" s="3" t="s">
        <v>258</v>
      </c>
      <c r="S997" s="7">
        <v>42577.0</v>
      </c>
      <c r="T997" s="3" t="s">
        <v>63</v>
      </c>
      <c r="U997" s="6" t="s">
        <v>146</v>
      </c>
      <c r="V997" s="3" t="s">
        <v>4</v>
      </c>
      <c r="W997" s="3" t="s">
        <v>102</v>
      </c>
    </row>
    <row r="998" ht="15.75" customHeight="1">
      <c r="A998" s="6" t="s">
        <v>2802</v>
      </c>
      <c r="B998" s="3" t="s">
        <v>8770</v>
      </c>
      <c r="C998" s="7">
        <v>29944.0</v>
      </c>
      <c r="D998" s="3" t="s">
        <v>63</v>
      </c>
      <c r="E998" s="3">
        <v>44.0</v>
      </c>
      <c r="F998" s="3" t="s">
        <v>183</v>
      </c>
      <c r="G998" s="6" t="s">
        <v>8771</v>
      </c>
      <c r="H998" s="3" t="s">
        <v>8772</v>
      </c>
      <c r="I998" s="3" t="s">
        <v>8773</v>
      </c>
      <c r="J998" s="3" t="s">
        <v>98</v>
      </c>
      <c r="K998" s="3" t="s">
        <v>101</v>
      </c>
      <c r="L998" s="6" t="s">
        <v>2804</v>
      </c>
      <c r="M998" s="3" t="s">
        <v>63</v>
      </c>
      <c r="N998" s="6" t="s">
        <v>2807</v>
      </c>
      <c r="O998" s="3" t="s">
        <v>63</v>
      </c>
      <c r="P998" s="3" t="s">
        <v>127</v>
      </c>
      <c r="Q998" s="3"/>
      <c r="R998" s="3" t="s">
        <v>258</v>
      </c>
      <c r="S998" s="7">
        <v>41752.0</v>
      </c>
      <c r="T998" s="3" t="s">
        <v>63</v>
      </c>
      <c r="U998" s="6" t="s">
        <v>97</v>
      </c>
      <c r="V998" s="3" t="s">
        <v>4</v>
      </c>
      <c r="W998" s="3" t="s">
        <v>102</v>
      </c>
    </row>
    <row r="999" ht="15.75" customHeight="1">
      <c r="A999" s="6" t="s">
        <v>2408</v>
      </c>
      <c r="B999" s="3" t="s">
        <v>7994</v>
      </c>
      <c r="C999" s="7">
        <v>21644.0</v>
      </c>
      <c r="D999" s="3" t="s">
        <v>63</v>
      </c>
      <c r="E999" s="3">
        <v>67.0</v>
      </c>
      <c r="F999" s="3" t="s">
        <v>183</v>
      </c>
      <c r="G999" s="6" t="s">
        <v>8774</v>
      </c>
      <c r="H999" s="3" t="s">
        <v>8775</v>
      </c>
      <c r="I999" s="3" t="s">
        <v>8776</v>
      </c>
      <c r="J999" s="3" t="s">
        <v>251</v>
      </c>
      <c r="K999" s="3" t="s">
        <v>251</v>
      </c>
      <c r="L999" s="6" t="s">
        <v>2409</v>
      </c>
      <c r="M999" s="3" t="s">
        <v>63</v>
      </c>
      <c r="N999" s="6" t="s">
        <v>2410</v>
      </c>
      <c r="O999" s="3" t="s">
        <v>63</v>
      </c>
      <c r="P999" s="3" t="s">
        <v>396</v>
      </c>
      <c r="Q999" s="3"/>
      <c r="R999" s="3" t="s">
        <v>258</v>
      </c>
      <c r="S999" s="7">
        <v>45934.0</v>
      </c>
      <c r="T999" s="3" t="s">
        <v>63</v>
      </c>
      <c r="U999" s="6" t="s">
        <v>60</v>
      </c>
      <c r="V999" s="3" t="s">
        <v>4</v>
      </c>
      <c r="W999" s="3" t="s">
        <v>102</v>
      </c>
    </row>
    <row r="1000" ht="15.75" customHeight="1">
      <c r="A1000" s="6" t="s">
        <v>5518</v>
      </c>
      <c r="B1000" s="3" t="s">
        <v>8777</v>
      </c>
      <c r="C1000" s="7">
        <v>31950.0</v>
      </c>
      <c r="D1000" s="3" t="s">
        <v>63</v>
      </c>
      <c r="E1000" s="3">
        <v>39.0</v>
      </c>
      <c r="F1000" s="3" t="s">
        <v>183</v>
      </c>
      <c r="G1000" s="6" t="s">
        <v>8778</v>
      </c>
      <c r="H1000" s="3" t="s">
        <v>8779</v>
      </c>
      <c r="I1000" s="3" t="s">
        <v>8780</v>
      </c>
      <c r="J1000" s="3" t="s">
        <v>151</v>
      </c>
      <c r="K1000" s="3" t="s">
        <v>121</v>
      </c>
      <c r="L1000" s="6" t="s">
        <v>5519</v>
      </c>
      <c r="M1000" s="3" t="s">
        <v>63</v>
      </c>
      <c r="N1000" s="6" t="s">
        <v>5520</v>
      </c>
      <c r="O1000" s="3" t="s">
        <v>63</v>
      </c>
      <c r="P1000" s="3" t="s">
        <v>160</v>
      </c>
      <c r="Q1000" s="8">
        <v>2328801.0</v>
      </c>
      <c r="R1000" s="3" t="s">
        <v>93</v>
      </c>
      <c r="S1000" s="7">
        <v>38867.0</v>
      </c>
      <c r="T1000" s="3" t="s">
        <v>63</v>
      </c>
      <c r="U1000" s="6" t="s">
        <v>136</v>
      </c>
      <c r="V1000" s="3" t="s">
        <v>4</v>
      </c>
      <c r="W1000" s="3" t="s">
        <v>102</v>
      </c>
    </row>
    <row r="1001" ht="15.75" customHeight="1">
      <c r="A1001" s="6" t="s">
        <v>3399</v>
      </c>
      <c r="B1001" s="3" t="s">
        <v>1464</v>
      </c>
      <c r="C1001" s="7">
        <v>22499.0</v>
      </c>
      <c r="D1001" s="3" t="s">
        <v>63</v>
      </c>
      <c r="E1001" s="3">
        <v>65.0</v>
      </c>
      <c r="F1001" s="3" t="s">
        <v>183</v>
      </c>
      <c r="G1001" s="6" t="s">
        <v>8781</v>
      </c>
      <c r="H1001" s="3" t="s">
        <v>8782</v>
      </c>
      <c r="I1001" s="3" t="s">
        <v>8783</v>
      </c>
      <c r="J1001" s="3" t="s">
        <v>167</v>
      </c>
      <c r="K1001" s="3" t="s">
        <v>169</v>
      </c>
      <c r="L1001" s="6" t="s">
        <v>5202</v>
      </c>
      <c r="M1001" s="3" t="s">
        <v>63</v>
      </c>
      <c r="N1001" s="6" t="s">
        <v>5203</v>
      </c>
      <c r="O1001" s="3" t="s">
        <v>63</v>
      </c>
      <c r="P1001" s="3" t="s">
        <v>127</v>
      </c>
      <c r="Q1001" s="3"/>
      <c r="R1001" s="3" t="s">
        <v>258</v>
      </c>
      <c r="S1001" s="7">
        <v>39496.0</v>
      </c>
      <c r="T1001" s="3" t="s">
        <v>63</v>
      </c>
      <c r="U1001" s="6" t="s">
        <v>385</v>
      </c>
      <c r="V1001" s="3" t="s">
        <v>4</v>
      </c>
      <c r="W1001" s="3" t="s">
        <v>102</v>
      </c>
    </row>
    <row r="1002" ht="15.75" customHeight="1">
      <c r="A1002" s="6" t="s">
        <v>1968</v>
      </c>
      <c r="B1002" s="3" t="s">
        <v>7338</v>
      </c>
      <c r="C1002" s="7">
        <v>25515.0</v>
      </c>
      <c r="D1002" s="3" t="s">
        <v>63</v>
      </c>
      <c r="E1002" s="3">
        <v>56.0</v>
      </c>
      <c r="F1002" s="3" t="s">
        <v>70</v>
      </c>
      <c r="G1002" s="6" t="s">
        <v>8784</v>
      </c>
      <c r="H1002" s="3" t="s">
        <v>8785</v>
      </c>
      <c r="I1002" s="3" t="s">
        <v>8786</v>
      </c>
      <c r="J1002" s="3" t="s">
        <v>119</v>
      </c>
      <c r="K1002" s="3" t="s">
        <v>121</v>
      </c>
      <c r="L1002" s="6" t="s">
        <v>6073</v>
      </c>
      <c r="M1002" s="3" t="s">
        <v>63</v>
      </c>
      <c r="N1002" s="6" t="s">
        <v>6078</v>
      </c>
      <c r="O1002" s="3" t="s">
        <v>63</v>
      </c>
      <c r="P1002" s="3" t="s">
        <v>372</v>
      </c>
      <c r="Q1002" s="8">
        <v>2454988.0</v>
      </c>
      <c r="R1002" s="3" t="s">
        <v>93</v>
      </c>
      <c r="S1002" s="7">
        <v>40905.0</v>
      </c>
      <c r="T1002" s="3" t="s">
        <v>63</v>
      </c>
      <c r="U1002" s="6" t="s">
        <v>234</v>
      </c>
      <c r="V1002" s="3" t="s">
        <v>237</v>
      </c>
      <c r="W1002" s="3" t="s">
        <v>102</v>
      </c>
    </row>
    <row r="1003" ht="15.75" customHeight="1">
      <c r="A1003" s="6" t="s">
        <v>6004</v>
      </c>
      <c r="B1003" s="3" t="s">
        <v>5300</v>
      </c>
      <c r="C1003" s="7">
        <v>35364.0</v>
      </c>
      <c r="D1003" s="3" t="s">
        <v>63</v>
      </c>
      <c r="E1003" s="3">
        <v>29.0</v>
      </c>
      <c r="F1003" s="3" t="s">
        <v>70</v>
      </c>
      <c r="G1003" s="6" t="s">
        <v>8787</v>
      </c>
      <c r="H1003" s="3" t="s">
        <v>5305</v>
      </c>
      <c r="I1003" s="3" t="s">
        <v>5306</v>
      </c>
      <c r="J1003" s="3" t="s">
        <v>167</v>
      </c>
      <c r="K1003" s="3" t="s">
        <v>169</v>
      </c>
      <c r="L1003" s="6" t="s">
        <v>318</v>
      </c>
      <c r="M1003" s="3" t="s">
        <v>63</v>
      </c>
      <c r="N1003" s="6" t="s">
        <v>319</v>
      </c>
      <c r="O1003" s="3" t="s">
        <v>63</v>
      </c>
      <c r="P1003" s="3" t="s">
        <v>324</v>
      </c>
      <c r="Q1003" s="8">
        <v>2362665.0</v>
      </c>
      <c r="R1003" s="3" t="s">
        <v>93</v>
      </c>
      <c r="S1003" s="7">
        <v>39970.0</v>
      </c>
      <c r="T1003" s="3" t="s">
        <v>63</v>
      </c>
      <c r="U1003" s="6" t="s">
        <v>197</v>
      </c>
      <c r="V1003" s="3" t="s">
        <v>237</v>
      </c>
      <c r="W1003" s="3" t="s">
        <v>378</v>
      </c>
    </row>
    <row r="1004" ht="15.75" customHeight="1">
      <c r="A1004" s="6" t="s">
        <v>1195</v>
      </c>
      <c r="B1004" s="3" t="s">
        <v>8788</v>
      </c>
      <c r="C1004" s="7">
        <v>34880.0</v>
      </c>
      <c r="D1004" s="3" t="s">
        <v>63</v>
      </c>
      <c r="E1004" s="3">
        <v>31.0</v>
      </c>
      <c r="F1004" s="3" t="s">
        <v>183</v>
      </c>
      <c r="G1004" s="6" t="s">
        <v>8789</v>
      </c>
      <c r="H1004" s="3" t="s">
        <v>8790</v>
      </c>
      <c r="I1004" s="3" t="s">
        <v>8791</v>
      </c>
      <c r="J1004" s="3" t="s">
        <v>225</v>
      </c>
      <c r="K1004" s="3" t="s">
        <v>101</v>
      </c>
      <c r="L1004" s="6" t="s">
        <v>5948</v>
      </c>
      <c r="M1004" s="3" t="s">
        <v>63</v>
      </c>
      <c r="N1004" s="6" t="s">
        <v>5949</v>
      </c>
      <c r="O1004" s="3" t="s">
        <v>63</v>
      </c>
      <c r="P1004" s="3" t="s">
        <v>396</v>
      </c>
      <c r="Q1004" s="3"/>
      <c r="R1004" s="3" t="s">
        <v>258</v>
      </c>
      <c r="S1004" s="7">
        <v>40694.0</v>
      </c>
      <c r="T1004" s="3" t="s">
        <v>63</v>
      </c>
      <c r="U1004" s="6" t="s">
        <v>323</v>
      </c>
      <c r="V1004" s="3" t="s">
        <v>4</v>
      </c>
      <c r="W1004" s="3" t="s">
        <v>102</v>
      </c>
    </row>
    <row r="1005" ht="15.75" customHeight="1">
      <c r="A1005" s="6" t="s">
        <v>3781</v>
      </c>
      <c r="B1005" s="3" t="s">
        <v>8792</v>
      </c>
      <c r="C1005" s="7">
        <v>29524.0</v>
      </c>
      <c r="D1005" s="3" t="s">
        <v>63</v>
      </c>
      <c r="E1005" s="3">
        <v>45.0</v>
      </c>
      <c r="F1005" s="3" t="s">
        <v>183</v>
      </c>
      <c r="G1005" s="6" t="s">
        <v>8793</v>
      </c>
      <c r="H1005" s="3" t="s">
        <v>8794</v>
      </c>
      <c r="I1005" s="3" t="s">
        <v>6694</v>
      </c>
      <c r="J1005" s="3" t="s">
        <v>271</v>
      </c>
      <c r="K1005" s="3" t="s">
        <v>273</v>
      </c>
      <c r="L1005" s="6" t="s">
        <v>8795</v>
      </c>
      <c r="M1005" s="3" t="s">
        <v>63</v>
      </c>
      <c r="N1005" s="6" t="s">
        <v>8796</v>
      </c>
      <c r="O1005" s="3" t="s">
        <v>63</v>
      </c>
      <c r="P1005" s="3" t="s">
        <v>160</v>
      </c>
      <c r="Q1005" s="3"/>
      <c r="R1005" s="3" t="s">
        <v>258</v>
      </c>
      <c r="S1005" s="7">
        <v>44220.0</v>
      </c>
      <c r="T1005" s="3" t="s">
        <v>63</v>
      </c>
      <c r="U1005" s="6" t="s">
        <v>163</v>
      </c>
      <c r="V1005" s="3" t="s">
        <v>4</v>
      </c>
      <c r="W1005" s="3" t="s">
        <v>102</v>
      </c>
    </row>
    <row r="1006" ht="15.75" customHeight="1">
      <c r="A1006" s="6" t="s">
        <v>1380</v>
      </c>
      <c r="B1006" s="3" t="s">
        <v>8797</v>
      </c>
      <c r="C1006" s="7">
        <v>21400.0</v>
      </c>
      <c r="D1006" s="3" t="s">
        <v>63</v>
      </c>
      <c r="E1006" s="3">
        <v>68.0</v>
      </c>
      <c r="F1006" s="3" t="s">
        <v>70</v>
      </c>
      <c r="G1006" s="6" t="s">
        <v>8798</v>
      </c>
      <c r="H1006" s="3" t="s">
        <v>8799</v>
      </c>
      <c r="I1006" s="3" t="s">
        <v>8800</v>
      </c>
      <c r="J1006" s="3" t="s">
        <v>190</v>
      </c>
      <c r="K1006" s="3" t="s">
        <v>193</v>
      </c>
      <c r="L1006" s="6" t="s">
        <v>4851</v>
      </c>
      <c r="M1006" s="3" t="s">
        <v>63</v>
      </c>
      <c r="N1006" s="6" t="s">
        <v>4853</v>
      </c>
      <c r="O1006" s="3" t="s">
        <v>63</v>
      </c>
      <c r="P1006" s="3" t="s">
        <v>396</v>
      </c>
      <c r="Q1006" s="3"/>
      <c r="R1006" s="3" t="s">
        <v>258</v>
      </c>
      <c r="S1006" s="7">
        <v>39772.0</v>
      </c>
      <c r="T1006" s="3" t="s">
        <v>63</v>
      </c>
      <c r="U1006" s="6" t="s">
        <v>171</v>
      </c>
      <c r="V1006" s="3" t="s">
        <v>4</v>
      </c>
      <c r="W1006" s="3" t="s">
        <v>102</v>
      </c>
    </row>
    <row r="1007" ht="15.75" customHeight="1">
      <c r="A1007" s="6" t="s">
        <v>1924</v>
      </c>
      <c r="B1007" s="3" t="s">
        <v>8801</v>
      </c>
      <c r="C1007" s="7">
        <v>27230.0</v>
      </c>
      <c r="D1007" s="3" t="s">
        <v>63</v>
      </c>
      <c r="E1007" s="3">
        <v>52.0</v>
      </c>
      <c r="F1007" s="3" t="s">
        <v>70</v>
      </c>
      <c r="G1007" s="6" t="s">
        <v>8802</v>
      </c>
      <c r="H1007" s="3" t="s">
        <v>8803</v>
      </c>
      <c r="I1007" s="3" t="s">
        <v>8804</v>
      </c>
      <c r="J1007" s="3" t="s">
        <v>251</v>
      </c>
      <c r="K1007" s="3" t="s">
        <v>251</v>
      </c>
      <c r="L1007" s="6" t="s">
        <v>6167</v>
      </c>
      <c r="M1007" s="3" t="s">
        <v>63</v>
      </c>
      <c r="N1007" s="6" t="s">
        <v>6168</v>
      </c>
      <c r="O1007" s="3" t="s">
        <v>63</v>
      </c>
      <c r="P1007" s="3" t="s">
        <v>396</v>
      </c>
      <c r="Q1007" s="3"/>
      <c r="R1007" s="3" t="s">
        <v>258</v>
      </c>
      <c r="S1007" s="7">
        <v>43924.0</v>
      </c>
      <c r="T1007" s="3" t="s">
        <v>63</v>
      </c>
      <c r="U1007" s="6" t="s">
        <v>401</v>
      </c>
      <c r="V1007" s="3" t="s">
        <v>4</v>
      </c>
      <c r="W1007" s="3" t="s">
        <v>102</v>
      </c>
    </row>
    <row r="1008" ht="15.75" customHeight="1">
      <c r="A1008" s="6" t="s">
        <v>2284</v>
      </c>
      <c r="B1008" s="3" t="s">
        <v>6632</v>
      </c>
      <c r="C1008" s="7">
        <v>25708.0</v>
      </c>
      <c r="D1008" s="3" t="s">
        <v>63</v>
      </c>
      <c r="E1008" s="3">
        <v>56.0</v>
      </c>
      <c r="F1008" s="3" t="s">
        <v>183</v>
      </c>
      <c r="G1008" s="6" t="s">
        <v>8805</v>
      </c>
      <c r="H1008" s="3" t="s">
        <v>8806</v>
      </c>
      <c r="I1008" s="3" t="s">
        <v>8807</v>
      </c>
      <c r="J1008" s="3" t="s">
        <v>65</v>
      </c>
      <c r="K1008" s="3" t="s">
        <v>67</v>
      </c>
      <c r="L1008" s="6" t="s">
        <v>6350</v>
      </c>
      <c r="M1008" s="3" t="s">
        <v>63</v>
      </c>
      <c r="N1008" s="6" t="s">
        <v>6351</v>
      </c>
      <c r="O1008" s="3" t="s">
        <v>63</v>
      </c>
      <c r="P1008" s="3" t="s">
        <v>372</v>
      </c>
      <c r="Q1008" s="3"/>
      <c r="R1008" s="3" t="s">
        <v>258</v>
      </c>
      <c r="S1008" s="7">
        <v>40229.0</v>
      </c>
      <c r="T1008" s="3" t="s">
        <v>63</v>
      </c>
      <c r="U1008" s="6" t="s">
        <v>208</v>
      </c>
      <c r="V1008" s="3" t="s">
        <v>237</v>
      </c>
      <c r="W1008" s="3" t="s">
        <v>102</v>
      </c>
    </row>
    <row r="1009" ht="15.75" customHeight="1">
      <c r="A1009" s="6" t="s">
        <v>914</v>
      </c>
      <c r="B1009" s="3" t="s">
        <v>8808</v>
      </c>
      <c r="C1009" s="7">
        <v>29647.0</v>
      </c>
      <c r="D1009" s="3" t="s">
        <v>63</v>
      </c>
      <c r="E1009" s="3">
        <v>45.0</v>
      </c>
      <c r="F1009" s="3" t="s">
        <v>183</v>
      </c>
      <c r="G1009" s="6" t="s">
        <v>8809</v>
      </c>
      <c r="H1009" s="3" t="s">
        <v>8810</v>
      </c>
      <c r="I1009" s="3" t="s">
        <v>7128</v>
      </c>
      <c r="J1009" s="3" t="s">
        <v>282</v>
      </c>
      <c r="K1009" s="3" t="s">
        <v>229</v>
      </c>
      <c r="L1009" s="6" t="s">
        <v>4106</v>
      </c>
      <c r="M1009" s="3" t="s">
        <v>63</v>
      </c>
      <c r="N1009" s="6" t="s">
        <v>4108</v>
      </c>
      <c r="O1009" s="3" t="s">
        <v>63</v>
      </c>
      <c r="P1009" s="3" t="s">
        <v>372</v>
      </c>
      <c r="Q1009" s="8">
        <v>1028038.0</v>
      </c>
      <c r="R1009" s="3" t="s">
        <v>93</v>
      </c>
      <c r="S1009" s="7">
        <v>41025.0</v>
      </c>
      <c r="T1009" s="3" t="s">
        <v>63</v>
      </c>
      <c r="U1009" s="6" t="s">
        <v>129</v>
      </c>
      <c r="V1009" s="3" t="s">
        <v>4</v>
      </c>
      <c r="W1009" s="3" t="s">
        <v>102</v>
      </c>
    </row>
    <row r="1010" ht="15.75" customHeight="1">
      <c r="A1010" s="6" t="s">
        <v>3036</v>
      </c>
      <c r="B1010" s="3" t="s">
        <v>4217</v>
      </c>
      <c r="C1010" s="7">
        <v>21852.0</v>
      </c>
      <c r="D1010" s="3" t="s">
        <v>63</v>
      </c>
      <c r="E1010" s="3">
        <v>66.0</v>
      </c>
      <c r="F1010" s="3" t="s">
        <v>70</v>
      </c>
      <c r="G1010" s="6" t="s">
        <v>8811</v>
      </c>
      <c r="H1010" s="3" t="s">
        <v>8812</v>
      </c>
      <c r="I1010" s="3" t="s">
        <v>8780</v>
      </c>
      <c r="J1010" s="3" t="s">
        <v>251</v>
      </c>
      <c r="K1010" s="3" t="s">
        <v>251</v>
      </c>
      <c r="L1010" s="6" t="s">
        <v>3372</v>
      </c>
      <c r="M1010" s="3" t="s">
        <v>63</v>
      </c>
      <c r="N1010" s="6" t="s">
        <v>3376</v>
      </c>
      <c r="O1010" s="3" t="s">
        <v>63</v>
      </c>
      <c r="P1010" s="3" t="s">
        <v>324</v>
      </c>
      <c r="Q1010" s="3"/>
      <c r="R1010" s="3" t="s">
        <v>258</v>
      </c>
      <c r="S1010" s="7">
        <v>39223.0</v>
      </c>
      <c r="T1010" s="3" t="s">
        <v>63</v>
      </c>
      <c r="U1010" s="6" t="s">
        <v>333</v>
      </c>
      <c r="V1010" s="3" t="s">
        <v>4</v>
      </c>
      <c r="W1010" s="3" t="s">
        <v>102</v>
      </c>
    </row>
    <row r="1011" ht="15.75" customHeight="1">
      <c r="A1011" s="6" t="s">
        <v>3234</v>
      </c>
      <c r="B1011" s="3" t="s">
        <v>8813</v>
      </c>
      <c r="C1011" s="7">
        <v>37109.0</v>
      </c>
      <c r="D1011" s="3" t="s">
        <v>63</v>
      </c>
      <c r="E1011" s="3">
        <v>25.0</v>
      </c>
      <c r="F1011" s="3" t="s">
        <v>70</v>
      </c>
      <c r="G1011" s="6" t="s">
        <v>8814</v>
      </c>
      <c r="H1011" s="3" t="s">
        <v>8815</v>
      </c>
      <c r="I1011" s="3" t="s">
        <v>8816</v>
      </c>
      <c r="J1011" s="3" t="s">
        <v>337</v>
      </c>
      <c r="K1011" s="3" t="s">
        <v>137</v>
      </c>
      <c r="L1011" s="6" t="s">
        <v>8817</v>
      </c>
      <c r="M1011" s="3" t="s">
        <v>63</v>
      </c>
      <c r="N1011" s="6" t="s">
        <v>8818</v>
      </c>
      <c r="O1011" s="3" t="s">
        <v>63</v>
      </c>
      <c r="P1011" s="3" t="s">
        <v>324</v>
      </c>
      <c r="Q1011" s="8">
        <v>1048318.0</v>
      </c>
      <c r="R1011" s="3" t="s">
        <v>93</v>
      </c>
      <c r="S1011" s="7">
        <v>45657.0</v>
      </c>
      <c r="T1011" s="3" t="s">
        <v>63</v>
      </c>
      <c r="U1011" s="6" t="s">
        <v>80</v>
      </c>
      <c r="V1011" s="3" t="s">
        <v>4</v>
      </c>
      <c r="W1011" s="3" t="s">
        <v>102</v>
      </c>
    </row>
    <row r="1012" ht="15.75" customHeight="1">
      <c r="A1012" s="6" t="s">
        <v>1965</v>
      </c>
      <c r="B1012" s="3" t="s">
        <v>7058</v>
      </c>
      <c r="C1012" s="7">
        <v>27073.0</v>
      </c>
      <c r="D1012" s="3" t="s">
        <v>63</v>
      </c>
      <c r="E1012" s="3">
        <v>52.0</v>
      </c>
      <c r="F1012" s="3" t="s">
        <v>183</v>
      </c>
      <c r="G1012" s="6" t="s">
        <v>8819</v>
      </c>
      <c r="H1012" s="3" t="s">
        <v>8820</v>
      </c>
      <c r="I1012" s="3" t="s">
        <v>8821</v>
      </c>
      <c r="J1012" s="3" t="s">
        <v>305</v>
      </c>
      <c r="K1012" s="3" t="s">
        <v>193</v>
      </c>
      <c r="L1012" s="6" t="s">
        <v>4845</v>
      </c>
      <c r="M1012" s="3" t="s">
        <v>63</v>
      </c>
      <c r="N1012" s="6" t="s">
        <v>4846</v>
      </c>
      <c r="O1012" s="3" t="s">
        <v>63</v>
      </c>
      <c r="P1012" s="3" t="s">
        <v>160</v>
      </c>
      <c r="Q1012" s="8">
        <v>1574712.0</v>
      </c>
      <c r="R1012" s="3" t="s">
        <v>93</v>
      </c>
      <c r="S1012" s="7">
        <v>44786.0</v>
      </c>
      <c r="T1012" s="3" t="s">
        <v>63</v>
      </c>
      <c r="U1012" s="6" t="s">
        <v>60</v>
      </c>
      <c r="V1012" s="3" t="s">
        <v>237</v>
      </c>
      <c r="W1012" s="3" t="s">
        <v>102</v>
      </c>
    </row>
    <row r="1013" ht="15.75" customHeight="1">
      <c r="A1013" s="6" t="s">
        <v>1432</v>
      </c>
      <c r="B1013" s="3" t="s">
        <v>1566</v>
      </c>
      <c r="C1013" s="7">
        <v>22515.0</v>
      </c>
      <c r="D1013" s="3" t="s">
        <v>63</v>
      </c>
      <c r="E1013" s="3">
        <v>64.0</v>
      </c>
      <c r="F1013" s="3" t="s">
        <v>70</v>
      </c>
      <c r="G1013" s="6" t="s">
        <v>8822</v>
      </c>
      <c r="H1013" s="3" t="s">
        <v>8823</v>
      </c>
      <c r="I1013" s="3" t="s">
        <v>8824</v>
      </c>
      <c r="J1013" s="3" t="s">
        <v>151</v>
      </c>
      <c r="K1013" s="3" t="s">
        <v>121</v>
      </c>
      <c r="L1013" s="6" t="s">
        <v>3833</v>
      </c>
      <c r="M1013" s="3" t="s">
        <v>63</v>
      </c>
      <c r="N1013" s="6" t="s">
        <v>3836</v>
      </c>
      <c r="O1013" s="3" t="s">
        <v>63</v>
      </c>
      <c r="P1013" s="3" t="s">
        <v>372</v>
      </c>
      <c r="Q1013" s="3"/>
      <c r="R1013" s="3" t="s">
        <v>258</v>
      </c>
      <c r="S1013" s="7">
        <v>44228.0</v>
      </c>
      <c r="T1013" s="3" t="s">
        <v>63</v>
      </c>
      <c r="U1013" s="6" t="s">
        <v>301</v>
      </c>
      <c r="V1013" s="3" t="s">
        <v>4</v>
      </c>
      <c r="W1013" s="3" t="s">
        <v>102</v>
      </c>
    </row>
    <row r="1014" ht="15.75" customHeight="1">
      <c r="A1014" s="6" t="s">
        <v>1106</v>
      </c>
      <c r="B1014" s="3" t="s">
        <v>8825</v>
      </c>
      <c r="C1014" s="7">
        <v>47502.0</v>
      </c>
      <c r="D1014" s="3" t="s">
        <v>1155</v>
      </c>
      <c r="E1014" s="3"/>
      <c r="F1014" s="3" t="s">
        <v>183</v>
      </c>
      <c r="G1014" s="6" t="s">
        <v>8826</v>
      </c>
      <c r="H1014" s="3" t="s">
        <v>8827</v>
      </c>
      <c r="I1014" s="3" t="s">
        <v>8828</v>
      </c>
      <c r="J1014" s="3" t="s">
        <v>251</v>
      </c>
      <c r="K1014" s="3" t="s">
        <v>251</v>
      </c>
      <c r="L1014" s="6" t="s">
        <v>2145</v>
      </c>
      <c r="M1014" s="3" t="s">
        <v>63</v>
      </c>
      <c r="N1014" s="6" t="s">
        <v>2147</v>
      </c>
      <c r="O1014" s="3" t="s">
        <v>63</v>
      </c>
      <c r="P1014" s="3" t="s">
        <v>464</v>
      </c>
      <c r="Q1014" s="8">
        <v>543994.0</v>
      </c>
      <c r="R1014" s="3" t="s">
        <v>93</v>
      </c>
      <c r="S1014" s="7">
        <v>46009.0</v>
      </c>
      <c r="T1014" s="3" t="s">
        <v>1178</v>
      </c>
      <c r="U1014" s="6" t="s">
        <v>333</v>
      </c>
      <c r="V1014" s="3" t="s">
        <v>4</v>
      </c>
      <c r="W1014" s="3" t="s">
        <v>102</v>
      </c>
    </row>
    <row r="1015" ht="15.75" customHeight="1">
      <c r="A1015" s="6" t="s">
        <v>4906</v>
      </c>
      <c r="B1015" s="3" t="s">
        <v>7324</v>
      </c>
      <c r="C1015" s="7">
        <v>32811.0</v>
      </c>
      <c r="D1015" s="3" t="s">
        <v>63</v>
      </c>
      <c r="E1015" s="3">
        <v>36.0</v>
      </c>
      <c r="F1015" s="3" t="s">
        <v>183</v>
      </c>
      <c r="G1015" s="6" t="s">
        <v>8829</v>
      </c>
      <c r="H1015" s="3" t="s">
        <v>8830</v>
      </c>
      <c r="I1015" s="3" t="s">
        <v>8831</v>
      </c>
      <c r="J1015" s="3" t="s">
        <v>305</v>
      </c>
      <c r="K1015" s="3" t="s">
        <v>193</v>
      </c>
      <c r="L1015" s="6" t="s">
        <v>4907</v>
      </c>
      <c r="M1015" s="3" t="s">
        <v>63</v>
      </c>
      <c r="N1015" s="6" t="s">
        <v>4908</v>
      </c>
      <c r="O1015" s="3" t="s">
        <v>63</v>
      </c>
      <c r="P1015" s="3" t="s">
        <v>324</v>
      </c>
      <c r="Q1015" s="3"/>
      <c r="R1015" s="3" t="s">
        <v>258</v>
      </c>
      <c r="S1015" s="7">
        <v>41973.0</v>
      </c>
      <c r="T1015" s="3" t="s">
        <v>63</v>
      </c>
      <c r="U1015" s="6" t="s">
        <v>385</v>
      </c>
      <c r="V1015" s="3" t="s">
        <v>4</v>
      </c>
      <c r="W1015" s="3" t="s">
        <v>102</v>
      </c>
    </row>
    <row r="1016" ht="15.75" customHeight="1">
      <c r="A1016" s="6" t="s">
        <v>1147</v>
      </c>
      <c r="B1016" s="3" t="s">
        <v>8832</v>
      </c>
      <c r="C1016" s="7">
        <v>22213.0</v>
      </c>
      <c r="D1016" s="3" t="s">
        <v>63</v>
      </c>
      <c r="E1016" s="3">
        <v>65.0</v>
      </c>
      <c r="F1016" s="3" t="s">
        <v>70</v>
      </c>
      <c r="G1016" s="6" t="s">
        <v>8833</v>
      </c>
      <c r="H1016" s="3"/>
      <c r="I1016" s="3" t="s">
        <v>8834</v>
      </c>
      <c r="J1016" s="3" t="s">
        <v>282</v>
      </c>
      <c r="K1016" s="3" t="s">
        <v>229</v>
      </c>
      <c r="L1016" s="6" t="s">
        <v>6442</v>
      </c>
      <c r="M1016" s="3" t="s">
        <v>63</v>
      </c>
      <c r="N1016" s="6" t="s">
        <v>6443</v>
      </c>
      <c r="O1016" s="3" t="s">
        <v>63</v>
      </c>
      <c r="P1016" s="3" t="s">
        <v>372</v>
      </c>
      <c r="Q1016" s="3"/>
      <c r="R1016" s="3" t="s">
        <v>258</v>
      </c>
      <c r="S1016" s="7">
        <v>43957.0</v>
      </c>
      <c r="T1016" s="3" t="s">
        <v>63</v>
      </c>
      <c r="U1016" s="6" t="s">
        <v>221</v>
      </c>
      <c r="V1016" s="3" t="s">
        <v>237</v>
      </c>
      <c r="W1016" s="3" t="s">
        <v>102</v>
      </c>
    </row>
    <row r="1017" ht="15.75" customHeight="1">
      <c r="A1017" s="6" t="s">
        <v>3566</v>
      </c>
      <c r="B1017" s="3" t="s">
        <v>4509</v>
      </c>
      <c r="C1017" s="7">
        <v>33692.0</v>
      </c>
      <c r="D1017" s="3" t="s">
        <v>63</v>
      </c>
      <c r="E1017" s="3">
        <v>34.0</v>
      </c>
      <c r="F1017" s="3" t="s">
        <v>70</v>
      </c>
      <c r="G1017" s="6" t="s">
        <v>8835</v>
      </c>
      <c r="H1017" s="3" t="s">
        <v>8836</v>
      </c>
      <c r="I1017" s="3" t="s">
        <v>431</v>
      </c>
      <c r="J1017" s="3" t="s">
        <v>225</v>
      </c>
      <c r="K1017" s="3" t="s">
        <v>101</v>
      </c>
      <c r="L1017" s="6" t="s">
        <v>8837</v>
      </c>
      <c r="M1017" s="3" t="s">
        <v>63</v>
      </c>
      <c r="N1017" s="3"/>
      <c r="O1017" s="3" t="s">
        <v>88</v>
      </c>
      <c r="P1017" s="3" t="s">
        <v>90</v>
      </c>
      <c r="Q1017" s="8">
        <v>308056.0</v>
      </c>
      <c r="R1017" s="3" t="s">
        <v>93</v>
      </c>
      <c r="S1017" s="7">
        <v>38551.0</v>
      </c>
      <c r="T1017" s="3" t="s">
        <v>63</v>
      </c>
      <c r="U1017" s="6" t="s">
        <v>109</v>
      </c>
      <c r="V1017" s="3" t="s">
        <v>4</v>
      </c>
      <c r="W1017" s="3" t="s">
        <v>102</v>
      </c>
    </row>
    <row r="1018" ht="15.75" customHeight="1">
      <c r="A1018" s="6" t="s">
        <v>5142</v>
      </c>
      <c r="B1018" s="3" t="s">
        <v>8838</v>
      </c>
      <c r="C1018" s="7">
        <v>47169.0</v>
      </c>
      <c r="D1018" s="3" t="s">
        <v>1155</v>
      </c>
      <c r="E1018" s="3"/>
      <c r="F1018" s="3" t="s">
        <v>183</v>
      </c>
      <c r="G1018" s="6" t="s">
        <v>8839</v>
      </c>
      <c r="H1018" s="3" t="s">
        <v>8840</v>
      </c>
      <c r="I1018" s="3" t="s">
        <v>8841</v>
      </c>
      <c r="J1018" s="3" t="s">
        <v>153</v>
      </c>
      <c r="K1018" s="3" t="s">
        <v>67</v>
      </c>
      <c r="L1018" s="6" t="s">
        <v>8842</v>
      </c>
      <c r="M1018" s="3" t="s">
        <v>63</v>
      </c>
      <c r="N1018" s="6" t="s">
        <v>8843</v>
      </c>
      <c r="O1018" s="3" t="s">
        <v>63</v>
      </c>
      <c r="P1018" s="3" t="s">
        <v>160</v>
      </c>
      <c r="Q1018" s="3"/>
      <c r="R1018" s="3" t="s">
        <v>258</v>
      </c>
      <c r="S1018" s="7">
        <v>42932.0</v>
      </c>
      <c r="T1018" s="3" t="s">
        <v>1178</v>
      </c>
      <c r="U1018" s="6" t="s">
        <v>311</v>
      </c>
      <c r="V1018" s="3" t="s">
        <v>4</v>
      </c>
      <c r="W1018" s="3" t="s">
        <v>102</v>
      </c>
    </row>
    <row r="1019" ht="15.75" customHeight="1">
      <c r="A1019" s="6" t="s">
        <v>2069</v>
      </c>
      <c r="B1019" s="3" t="s">
        <v>7928</v>
      </c>
      <c r="C1019" s="7">
        <v>23887.0</v>
      </c>
      <c r="D1019" s="3" t="s">
        <v>63</v>
      </c>
      <c r="E1019" s="3">
        <v>61.0</v>
      </c>
      <c r="F1019" s="3" t="s">
        <v>70</v>
      </c>
      <c r="G1019" s="6" t="s">
        <v>8844</v>
      </c>
      <c r="H1019" s="3"/>
      <c r="I1019" s="3" t="s">
        <v>8845</v>
      </c>
      <c r="J1019" s="3" t="s">
        <v>151</v>
      </c>
      <c r="K1019" s="3" t="s">
        <v>121</v>
      </c>
      <c r="L1019" s="6" t="s">
        <v>5243</v>
      </c>
      <c r="M1019" s="3" t="s">
        <v>620</v>
      </c>
      <c r="N1019" s="6" t="s">
        <v>5244</v>
      </c>
      <c r="O1019" s="3" t="s">
        <v>63</v>
      </c>
      <c r="P1019" s="3" t="s">
        <v>127</v>
      </c>
      <c r="Q1019" s="3"/>
      <c r="R1019" s="3" t="s">
        <v>258</v>
      </c>
      <c r="S1019" s="7">
        <v>45466.0</v>
      </c>
      <c r="T1019" s="3" t="s">
        <v>63</v>
      </c>
      <c r="U1019" s="6" t="s">
        <v>136</v>
      </c>
      <c r="V1019" s="3" t="s">
        <v>4</v>
      </c>
      <c r="W1019" s="3" t="s">
        <v>102</v>
      </c>
    </row>
    <row r="1020" ht="15.75" customHeight="1">
      <c r="A1020" s="6" t="s">
        <v>2931</v>
      </c>
      <c r="B1020" s="3" t="s">
        <v>8846</v>
      </c>
      <c r="C1020" s="7">
        <v>21613.0</v>
      </c>
      <c r="D1020" s="3" t="s">
        <v>63</v>
      </c>
      <c r="E1020" s="3">
        <v>67.0</v>
      </c>
      <c r="F1020" s="3" t="s">
        <v>70</v>
      </c>
      <c r="G1020" s="6" t="s">
        <v>8847</v>
      </c>
      <c r="H1020" s="3" t="s">
        <v>8848</v>
      </c>
      <c r="I1020" s="3" t="s">
        <v>8849</v>
      </c>
      <c r="J1020" s="3" t="s">
        <v>167</v>
      </c>
      <c r="K1020" s="3" t="s">
        <v>169</v>
      </c>
      <c r="L1020" s="6" t="s">
        <v>4944</v>
      </c>
      <c r="M1020" s="3" t="s">
        <v>63</v>
      </c>
      <c r="N1020" s="6" t="s">
        <v>4945</v>
      </c>
      <c r="O1020" s="3" t="s">
        <v>63</v>
      </c>
      <c r="P1020" s="3" t="s">
        <v>396</v>
      </c>
      <c r="Q1020" s="3"/>
      <c r="R1020" s="3" t="s">
        <v>258</v>
      </c>
      <c r="S1020" s="7">
        <v>41187.0</v>
      </c>
      <c r="T1020" s="3" t="s">
        <v>63</v>
      </c>
      <c r="U1020" s="6" t="s">
        <v>221</v>
      </c>
      <c r="V1020" s="3" t="s">
        <v>4</v>
      </c>
      <c r="W1020" s="3" t="s">
        <v>102</v>
      </c>
    </row>
    <row r="1021" ht="15.75" customHeight="1">
      <c r="A1021" s="6" t="s">
        <v>3579</v>
      </c>
      <c r="B1021" s="3" t="s">
        <v>8850</v>
      </c>
      <c r="C1021" s="7">
        <v>33382.0</v>
      </c>
      <c r="D1021" s="3" t="s">
        <v>63</v>
      </c>
      <c r="E1021" s="3">
        <v>35.0</v>
      </c>
      <c r="F1021" s="3" t="s">
        <v>70</v>
      </c>
      <c r="G1021" s="6" t="s">
        <v>8851</v>
      </c>
      <c r="H1021" s="3" t="s">
        <v>8852</v>
      </c>
      <c r="I1021" s="3" t="s">
        <v>8853</v>
      </c>
      <c r="J1021" s="3" t="s">
        <v>134</v>
      </c>
      <c r="K1021" s="3" t="s">
        <v>137</v>
      </c>
      <c r="L1021" s="6" t="s">
        <v>4557</v>
      </c>
      <c r="M1021" s="3" t="s">
        <v>63</v>
      </c>
      <c r="N1021" s="6" t="s">
        <v>4558</v>
      </c>
      <c r="O1021" s="3" t="s">
        <v>63</v>
      </c>
      <c r="P1021" s="3" t="s">
        <v>464</v>
      </c>
      <c r="Q1021" s="8">
        <v>1766401.0</v>
      </c>
      <c r="R1021" s="3" t="s">
        <v>93</v>
      </c>
      <c r="S1021" s="7">
        <v>41271.0</v>
      </c>
      <c r="T1021" s="3" t="s">
        <v>63</v>
      </c>
      <c r="U1021" s="6" t="s">
        <v>284</v>
      </c>
      <c r="V1021" s="3" t="s">
        <v>237</v>
      </c>
      <c r="W1021" s="3" t="s">
        <v>102</v>
      </c>
    </row>
    <row r="1022" ht="15.75" customHeight="1">
      <c r="A1022" s="6" t="s">
        <v>4311</v>
      </c>
      <c r="B1022" s="3" t="s">
        <v>8854</v>
      </c>
      <c r="C1022" s="7">
        <v>25847.0</v>
      </c>
      <c r="D1022" s="3" t="s">
        <v>63</v>
      </c>
      <c r="E1022" s="3">
        <v>55.0</v>
      </c>
      <c r="F1022" s="3" t="s">
        <v>70</v>
      </c>
      <c r="G1022" s="6" t="s">
        <v>8855</v>
      </c>
      <c r="H1022" s="3" t="s">
        <v>8856</v>
      </c>
      <c r="I1022" s="3" t="s">
        <v>8857</v>
      </c>
      <c r="J1022" s="3" t="s">
        <v>213</v>
      </c>
      <c r="K1022" s="3" t="s">
        <v>67</v>
      </c>
      <c r="L1022" s="6" t="s">
        <v>4314</v>
      </c>
      <c r="M1022" s="3" t="s">
        <v>63</v>
      </c>
      <c r="N1022" s="6" t="s">
        <v>4317</v>
      </c>
      <c r="O1022" s="3" t="s">
        <v>620</v>
      </c>
      <c r="P1022" s="3" t="s">
        <v>372</v>
      </c>
      <c r="Q1022" s="3"/>
      <c r="R1022" s="3" t="s">
        <v>258</v>
      </c>
      <c r="S1022" s="7">
        <v>39563.0</v>
      </c>
      <c r="T1022" s="3" t="s">
        <v>63</v>
      </c>
      <c r="U1022" s="6" t="s">
        <v>60</v>
      </c>
      <c r="V1022" s="3" t="s">
        <v>237</v>
      </c>
      <c r="W1022" s="3" t="s">
        <v>102</v>
      </c>
    </row>
    <row r="1023" ht="15.75" customHeight="1">
      <c r="A1023" s="6" t="s">
        <v>2335</v>
      </c>
      <c r="B1023" s="3" t="s">
        <v>8858</v>
      </c>
      <c r="C1023" s="7">
        <v>47552.0</v>
      </c>
      <c r="D1023" s="3" t="s">
        <v>1155</v>
      </c>
      <c r="E1023" s="3"/>
      <c r="F1023" s="3" t="s">
        <v>183</v>
      </c>
      <c r="G1023" s="6" t="s">
        <v>8859</v>
      </c>
      <c r="H1023" s="3" t="s">
        <v>8860</v>
      </c>
      <c r="I1023" s="3" t="s">
        <v>8861</v>
      </c>
      <c r="J1023" s="3" t="s">
        <v>119</v>
      </c>
      <c r="K1023" s="3" t="s">
        <v>121</v>
      </c>
      <c r="L1023" s="6" t="s">
        <v>5941</v>
      </c>
      <c r="M1023" s="3" t="s">
        <v>63</v>
      </c>
      <c r="N1023" s="6" t="s">
        <v>5942</v>
      </c>
      <c r="O1023" s="3" t="s">
        <v>63</v>
      </c>
      <c r="P1023" s="3" t="s">
        <v>90</v>
      </c>
      <c r="Q1023" s="3"/>
      <c r="R1023" s="3" t="s">
        <v>258</v>
      </c>
      <c r="S1023" s="7">
        <v>44768.0</v>
      </c>
      <c r="T1023" s="3" t="s">
        <v>1178</v>
      </c>
      <c r="U1023" s="6" t="s">
        <v>397</v>
      </c>
      <c r="V1023" s="3" t="s">
        <v>4</v>
      </c>
      <c r="W1023" s="3" t="s">
        <v>102</v>
      </c>
    </row>
    <row r="1024" ht="15.75" customHeight="1">
      <c r="A1024" s="6" t="s">
        <v>5924</v>
      </c>
      <c r="B1024" s="3" t="s">
        <v>6352</v>
      </c>
      <c r="C1024" s="7">
        <v>21910.0</v>
      </c>
      <c r="D1024" s="3" t="s">
        <v>63</v>
      </c>
      <c r="E1024" s="3">
        <v>66.0</v>
      </c>
      <c r="F1024" s="3" t="s">
        <v>183</v>
      </c>
      <c r="G1024" s="6" t="s">
        <v>8862</v>
      </c>
      <c r="H1024" s="3" t="s">
        <v>6354</v>
      </c>
      <c r="I1024" s="3" t="s">
        <v>6356</v>
      </c>
      <c r="J1024" s="3" t="s">
        <v>271</v>
      </c>
      <c r="K1024" s="3" t="s">
        <v>273</v>
      </c>
      <c r="L1024" s="6" t="s">
        <v>5762</v>
      </c>
      <c r="M1024" s="3" t="s">
        <v>63</v>
      </c>
      <c r="N1024" s="6" t="s">
        <v>5763</v>
      </c>
      <c r="O1024" s="3" t="s">
        <v>63</v>
      </c>
      <c r="P1024" s="3" t="s">
        <v>464</v>
      </c>
      <c r="Q1024" s="8">
        <v>2143008.0</v>
      </c>
      <c r="R1024" s="3" t="s">
        <v>93</v>
      </c>
      <c r="S1024" s="7">
        <v>45689.0</v>
      </c>
      <c r="T1024" s="3" t="s">
        <v>63</v>
      </c>
      <c r="U1024" s="6" t="s">
        <v>179</v>
      </c>
      <c r="V1024" s="3" t="s">
        <v>4</v>
      </c>
      <c r="W1024" s="3" t="s">
        <v>378</v>
      </c>
    </row>
    <row r="1025" ht="15.75" customHeight="1">
      <c r="A1025" s="6" t="s">
        <v>1091</v>
      </c>
      <c r="B1025" s="3" t="s">
        <v>3514</v>
      </c>
      <c r="C1025" s="7">
        <v>47694.0</v>
      </c>
      <c r="D1025" s="3" t="s">
        <v>1155</v>
      </c>
      <c r="E1025" s="3"/>
      <c r="F1025" s="3" t="s">
        <v>70</v>
      </c>
      <c r="G1025" s="6" t="s">
        <v>8863</v>
      </c>
      <c r="H1025" s="3" t="s">
        <v>7746</v>
      </c>
      <c r="I1025" s="3" t="s">
        <v>7747</v>
      </c>
      <c r="J1025" s="3" t="s">
        <v>327</v>
      </c>
      <c r="K1025" s="3" t="s">
        <v>169</v>
      </c>
      <c r="L1025" s="6" t="s">
        <v>4858</v>
      </c>
      <c r="M1025" s="3" t="s">
        <v>63</v>
      </c>
      <c r="N1025" s="6" t="s">
        <v>4859</v>
      </c>
      <c r="O1025" s="3" t="s">
        <v>63</v>
      </c>
      <c r="P1025" s="3" t="s">
        <v>396</v>
      </c>
      <c r="Q1025" s="8">
        <v>1412889.0</v>
      </c>
      <c r="R1025" s="3" t="s">
        <v>93</v>
      </c>
      <c r="S1025" s="7">
        <v>44239.0</v>
      </c>
      <c r="T1025" s="3" t="s">
        <v>1178</v>
      </c>
      <c r="U1025" s="6" t="s">
        <v>92</v>
      </c>
      <c r="V1025" s="3" t="s">
        <v>237</v>
      </c>
      <c r="W1025" s="3" t="s">
        <v>378</v>
      </c>
    </row>
    <row r="1026" ht="15.75" customHeight="1">
      <c r="A1026" s="6" t="s">
        <v>1217</v>
      </c>
      <c r="B1026" s="3" t="s">
        <v>8864</v>
      </c>
      <c r="C1026" s="7">
        <v>22172.0</v>
      </c>
      <c r="D1026" s="3" t="s">
        <v>63</v>
      </c>
      <c r="E1026" s="3">
        <v>65.0</v>
      </c>
      <c r="F1026" s="3" t="s">
        <v>183</v>
      </c>
      <c r="G1026" s="6" t="s">
        <v>8865</v>
      </c>
      <c r="H1026" s="3" t="s">
        <v>8866</v>
      </c>
      <c r="I1026" s="3" t="s">
        <v>8867</v>
      </c>
      <c r="J1026" s="3" t="s">
        <v>250</v>
      </c>
      <c r="K1026" s="3" t="s">
        <v>252</v>
      </c>
      <c r="L1026" s="6" t="s">
        <v>1218</v>
      </c>
      <c r="M1026" s="3" t="s">
        <v>63</v>
      </c>
      <c r="N1026" s="6" t="s">
        <v>1219</v>
      </c>
      <c r="O1026" s="3" t="s">
        <v>63</v>
      </c>
      <c r="P1026" s="3" t="s">
        <v>127</v>
      </c>
      <c r="Q1026" s="3"/>
      <c r="R1026" s="3" t="s">
        <v>258</v>
      </c>
      <c r="S1026" s="7">
        <v>38623.0</v>
      </c>
      <c r="T1026" s="3" t="s">
        <v>63</v>
      </c>
      <c r="U1026" s="6" t="s">
        <v>262</v>
      </c>
      <c r="V1026" s="3" t="s">
        <v>4</v>
      </c>
      <c r="W1026" s="3" t="s">
        <v>102</v>
      </c>
    </row>
    <row r="1027" ht="15.75" customHeight="1">
      <c r="A1027" s="6" t="s">
        <v>804</v>
      </c>
      <c r="B1027" s="3" t="s">
        <v>8868</v>
      </c>
      <c r="C1027" s="7">
        <v>33121.0</v>
      </c>
      <c r="D1027" s="3" t="s">
        <v>63</v>
      </c>
      <c r="E1027" s="3">
        <v>35.0</v>
      </c>
      <c r="F1027" s="3" t="s">
        <v>183</v>
      </c>
      <c r="G1027" s="6" t="s">
        <v>8869</v>
      </c>
      <c r="H1027" s="3" t="s">
        <v>8870</v>
      </c>
      <c r="I1027" s="3" t="s">
        <v>8871</v>
      </c>
      <c r="J1027" s="3" t="s">
        <v>43</v>
      </c>
      <c r="K1027" s="3" t="s">
        <v>45</v>
      </c>
      <c r="L1027" s="6" t="s">
        <v>2127</v>
      </c>
      <c r="M1027" s="3" t="s">
        <v>63</v>
      </c>
      <c r="N1027" s="3"/>
      <c r="O1027" s="3" t="s">
        <v>88</v>
      </c>
      <c r="P1027" s="3" t="s">
        <v>127</v>
      </c>
      <c r="Q1027" s="8">
        <v>2011527.0</v>
      </c>
      <c r="R1027" s="3" t="s">
        <v>93</v>
      </c>
      <c r="S1027" s="7">
        <v>43000.0</v>
      </c>
      <c r="T1027" s="3" t="s">
        <v>63</v>
      </c>
      <c r="U1027" s="6" t="s">
        <v>146</v>
      </c>
      <c r="V1027" s="3" t="s">
        <v>237</v>
      </c>
      <c r="W1027" s="3" t="s">
        <v>102</v>
      </c>
    </row>
    <row r="1028" ht="15.75" customHeight="1">
      <c r="A1028" s="6" t="s">
        <v>3312</v>
      </c>
      <c r="B1028" s="3" t="s">
        <v>8872</v>
      </c>
      <c r="C1028" s="7">
        <v>47397.0</v>
      </c>
      <c r="D1028" s="3" t="s">
        <v>1155</v>
      </c>
      <c r="E1028" s="3"/>
      <c r="F1028" s="3" t="s">
        <v>183</v>
      </c>
      <c r="G1028" s="6" t="s">
        <v>8873</v>
      </c>
      <c r="H1028" s="3" t="s">
        <v>8874</v>
      </c>
      <c r="I1028" s="3" t="s">
        <v>8875</v>
      </c>
      <c r="J1028" s="3" t="s">
        <v>282</v>
      </c>
      <c r="K1028" s="3" t="s">
        <v>229</v>
      </c>
      <c r="L1028" s="6" t="s">
        <v>3314</v>
      </c>
      <c r="M1028" s="3" t="s">
        <v>63</v>
      </c>
      <c r="N1028" s="6" t="s">
        <v>3315</v>
      </c>
      <c r="O1028" s="3" t="s">
        <v>63</v>
      </c>
      <c r="P1028" s="3" t="s">
        <v>90</v>
      </c>
      <c r="Q1028" s="3"/>
      <c r="R1028" s="3" t="s">
        <v>258</v>
      </c>
      <c r="S1028" s="7">
        <v>42505.0</v>
      </c>
      <c r="T1028" s="3" t="s">
        <v>1178</v>
      </c>
      <c r="U1028" s="6" t="s">
        <v>221</v>
      </c>
      <c r="V1028" s="3" t="s">
        <v>4</v>
      </c>
      <c r="W1028" s="3" t="s">
        <v>102</v>
      </c>
    </row>
    <row r="1029" ht="15.75" customHeight="1">
      <c r="A1029" s="6" t="s">
        <v>2090</v>
      </c>
      <c r="B1029" s="3" t="s">
        <v>8876</v>
      </c>
      <c r="C1029" s="7">
        <v>47420.0</v>
      </c>
      <c r="D1029" s="3" t="s">
        <v>1155</v>
      </c>
      <c r="E1029" s="3"/>
      <c r="F1029" s="3" t="s">
        <v>70</v>
      </c>
      <c r="G1029" s="6" t="s">
        <v>8877</v>
      </c>
      <c r="H1029" s="3" t="s">
        <v>8878</v>
      </c>
      <c r="I1029" s="3" t="s">
        <v>8879</v>
      </c>
      <c r="J1029" s="3" t="s">
        <v>358</v>
      </c>
      <c r="K1029" s="3" t="s">
        <v>360</v>
      </c>
      <c r="L1029" s="3"/>
      <c r="M1029" s="3" t="s">
        <v>88</v>
      </c>
      <c r="N1029" s="6" t="s">
        <v>2094</v>
      </c>
      <c r="O1029" s="3" t="s">
        <v>63</v>
      </c>
      <c r="P1029" s="3" t="s">
        <v>464</v>
      </c>
      <c r="Q1029" s="8">
        <v>1859884.0</v>
      </c>
      <c r="R1029" s="3" t="s">
        <v>93</v>
      </c>
      <c r="S1029" s="7">
        <v>41341.0</v>
      </c>
      <c r="T1029" s="3" t="s">
        <v>1178</v>
      </c>
      <c r="U1029" s="6" t="s">
        <v>136</v>
      </c>
      <c r="V1029" s="3" t="s">
        <v>4</v>
      </c>
      <c r="W1029" s="3" t="s">
        <v>102</v>
      </c>
    </row>
    <row r="1030" ht="15.75" customHeight="1">
      <c r="A1030" s="6" t="s">
        <v>5370</v>
      </c>
      <c r="B1030" s="3" t="s">
        <v>8880</v>
      </c>
      <c r="C1030" s="7">
        <v>34439.0</v>
      </c>
      <c r="D1030" s="3" t="s">
        <v>63</v>
      </c>
      <c r="E1030" s="3">
        <v>32.0</v>
      </c>
      <c r="F1030" s="3" t="s">
        <v>183</v>
      </c>
      <c r="G1030" s="6" t="s">
        <v>8881</v>
      </c>
      <c r="H1030" s="3" t="s">
        <v>8882</v>
      </c>
      <c r="I1030" s="3" t="s">
        <v>8883</v>
      </c>
      <c r="J1030" s="3" t="s">
        <v>153</v>
      </c>
      <c r="K1030" s="3" t="s">
        <v>67</v>
      </c>
      <c r="L1030" s="6" t="s">
        <v>5371</v>
      </c>
      <c r="M1030" s="3" t="s">
        <v>63</v>
      </c>
      <c r="N1030" s="3"/>
      <c r="O1030" s="3" t="s">
        <v>88</v>
      </c>
      <c r="P1030" s="3" t="s">
        <v>464</v>
      </c>
      <c r="Q1030" s="3"/>
      <c r="R1030" s="3" t="s">
        <v>258</v>
      </c>
      <c r="S1030" s="7">
        <v>43780.0</v>
      </c>
      <c r="T1030" s="3" t="s">
        <v>63</v>
      </c>
      <c r="U1030" s="6" t="s">
        <v>163</v>
      </c>
      <c r="V1030" s="3" t="s">
        <v>4</v>
      </c>
      <c r="W1030" s="3" t="s">
        <v>102</v>
      </c>
    </row>
    <row r="1031" ht="15.75" customHeight="1">
      <c r="A1031" s="6" t="s">
        <v>2864</v>
      </c>
      <c r="B1031" s="3" t="s">
        <v>8884</v>
      </c>
      <c r="C1031" s="7">
        <v>38289.0</v>
      </c>
      <c r="D1031" s="3" t="s">
        <v>63</v>
      </c>
      <c r="E1031" s="3">
        <v>21.0</v>
      </c>
      <c r="F1031" s="3" t="s">
        <v>183</v>
      </c>
      <c r="G1031" s="6" t="s">
        <v>8885</v>
      </c>
      <c r="H1031" s="3" t="s">
        <v>8886</v>
      </c>
      <c r="I1031" s="3" t="s">
        <v>7302</v>
      </c>
      <c r="J1031" s="3" t="s">
        <v>225</v>
      </c>
      <c r="K1031" s="3" t="s">
        <v>101</v>
      </c>
      <c r="L1031" s="6" t="s">
        <v>5535</v>
      </c>
      <c r="M1031" s="3" t="s">
        <v>63</v>
      </c>
      <c r="N1031" s="6" t="s">
        <v>5536</v>
      </c>
      <c r="O1031" s="3" t="s">
        <v>63</v>
      </c>
      <c r="P1031" s="3" t="s">
        <v>202</v>
      </c>
      <c r="Q1031" s="3"/>
      <c r="R1031" s="3" t="s">
        <v>258</v>
      </c>
      <c r="S1031" s="7">
        <v>40447.0</v>
      </c>
      <c r="T1031" s="3" t="s">
        <v>63</v>
      </c>
      <c r="U1031" s="6" t="s">
        <v>163</v>
      </c>
      <c r="V1031" s="3" t="s">
        <v>4</v>
      </c>
      <c r="W1031" s="3" t="s">
        <v>102</v>
      </c>
    </row>
    <row r="1032" ht="15.75" customHeight="1">
      <c r="A1032" s="6" t="s">
        <v>3190</v>
      </c>
      <c r="B1032" s="3" t="s">
        <v>8887</v>
      </c>
      <c r="C1032" s="7">
        <v>47702.0</v>
      </c>
      <c r="D1032" s="3" t="s">
        <v>1155</v>
      </c>
      <c r="E1032" s="3"/>
      <c r="F1032" s="3" t="s">
        <v>183</v>
      </c>
      <c r="G1032" s="6" t="s">
        <v>8888</v>
      </c>
      <c r="H1032" s="3" t="s">
        <v>8889</v>
      </c>
      <c r="I1032" s="3" t="s">
        <v>8890</v>
      </c>
      <c r="J1032" s="3" t="s">
        <v>79</v>
      </c>
      <c r="K1032" s="3" t="s">
        <v>81</v>
      </c>
      <c r="L1032" s="6" t="s">
        <v>3191</v>
      </c>
      <c r="M1032" s="3" t="s">
        <v>63</v>
      </c>
      <c r="N1032" s="6" t="s">
        <v>3192</v>
      </c>
      <c r="O1032" s="3" t="s">
        <v>63</v>
      </c>
      <c r="P1032" s="3" t="s">
        <v>300</v>
      </c>
      <c r="Q1032" s="3"/>
      <c r="R1032" s="3" t="s">
        <v>258</v>
      </c>
      <c r="S1032" s="7">
        <v>43270.0</v>
      </c>
      <c r="T1032" s="3" t="s">
        <v>1178</v>
      </c>
      <c r="U1032" s="6" t="s">
        <v>36</v>
      </c>
      <c r="V1032" s="3" t="s">
        <v>4</v>
      </c>
      <c r="W1032" s="3" t="s">
        <v>102</v>
      </c>
    </row>
    <row r="1033" ht="15.75" customHeight="1">
      <c r="A1033" s="6" t="s">
        <v>1689</v>
      </c>
      <c r="B1033" s="3" t="s">
        <v>3718</v>
      </c>
      <c r="C1033" s="7">
        <v>25501.0</v>
      </c>
      <c r="D1033" s="3" t="s">
        <v>63</v>
      </c>
      <c r="E1033" s="3">
        <v>56.0</v>
      </c>
      <c r="F1033" s="3" t="s">
        <v>70</v>
      </c>
      <c r="G1033" s="6" t="s">
        <v>8891</v>
      </c>
      <c r="H1033" s="3" t="s">
        <v>3721</v>
      </c>
      <c r="I1033" s="3" t="s">
        <v>3724</v>
      </c>
      <c r="J1033" s="3" t="s">
        <v>250</v>
      </c>
      <c r="K1033" s="3" t="s">
        <v>252</v>
      </c>
      <c r="L1033" s="6" t="s">
        <v>2516</v>
      </c>
      <c r="M1033" s="3" t="s">
        <v>63</v>
      </c>
      <c r="N1033" s="6" t="s">
        <v>2518</v>
      </c>
      <c r="O1033" s="3" t="s">
        <v>63</v>
      </c>
      <c r="P1033" s="3" t="s">
        <v>127</v>
      </c>
      <c r="Q1033" s="8">
        <v>1882705.0</v>
      </c>
      <c r="R1033" s="3" t="s">
        <v>93</v>
      </c>
      <c r="S1033" s="7">
        <v>45089.0</v>
      </c>
      <c r="T1033" s="3" t="s">
        <v>63</v>
      </c>
      <c r="U1033" s="6" t="s">
        <v>208</v>
      </c>
      <c r="V1033" s="3" t="s">
        <v>4</v>
      </c>
      <c r="W1033" s="3" t="s">
        <v>378</v>
      </c>
    </row>
    <row r="1034" ht="15.75" customHeight="1">
      <c r="A1034" s="6" t="s">
        <v>1510</v>
      </c>
      <c r="B1034" s="3" t="s">
        <v>8892</v>
      </c>
      <c r="C1034" s="7">
        <v>27922.0</v>
      </c>
      <c r="D1034" s="3" t="s">
        <v>63</v>
      </c>
      <c r="E1034" s="3">
        <v>50.0</v>
      </c>
      <c r="F1034" s="3" t="s">
        <v>70</v>
      </c>
      <c r="G1034" s="6" t="s">
        <v>8893</v>
      </c>
      <c r="H1034" s="3" t="s">
        <v>8894</v>
      </c>
      <c r="I1034" s="3" t="s">
        <v>8895</v>
      </c>
      <c r="J1034" s="3" t="s">
        <v>250</v>
      </c>
      <c r="K1034" s="3" t="s">
        <v>252</v>
      </c>
      <c r="L1034" s="6" t="s">
        <v>1511</v>
      </c>
      <c r="M1034" s="3" t="s">
        <v>63</v>
      </c>
      <c r="N1034" s="6" t="s">
        <v>1513</v>
      </c>
      <c r="O1034" s="3" t="s">
        <v>63</v>
      </c>
      <c r="P1034" s="3" t="s">
        <v>202</v>
      </c>
      <c r="Q1034" s="8">
        <v>1736267.0</v>
      </c>
      <c r="R1034" s="3" t="s">
        <v>93</v>
      </c>
      <c r="S1034" s="7">
        <v>40957.0</v>
      </c>
      <c r="T1034" s="3" t="s">
        <v>63</v>
      </c>
      <c r="U1034" s="6" t="s">
        <v>245</v>
      </c>
      <c r="V1034" s="3" t="s">
        <v>4</v>
      </c>
      <c r="W1034" s="3" t="s">
        <v>102</v>
      </c>
    </row>
    <row r="1035" ht="15.75" customHeight="1">
      <c r="A1035" s="6" t="s">
        <v>5899</v>
      </c>
      <c r="B1035" s="3" t="s">
        <v>8896</v>
      </c>
      <c r="C1035" s="7">
        <v>31446.0</v>
      </c>
      <c r="D1035" s="3" t="s">
        <v>63</v>
      </c>
      <c r="E1035" s="3">
        <v>40.0</v>
      </c>
      <c r="F1035" s="3" t="s">
        <v>183</v>
      </c>
      <c r="G1035" s="6" t="s">
        <v>8897</v>
      </c>
      <c r="H1035" s="3" t="s">
        <v>8898</v>
      </c>
      <c r="I1035" s="3" t="s">
        <v>8899</v>
      </c>
      <c r="J1035" s="3" t="s">
        <v>85</v>
      </c>
      <c r="K1035" s="3" t="s">
        <v>67</v>
      </c>
      <c r="L1035" s="6" t="s">
        <v>5900</v>
      </c>
      <c r="M1035" s="3" t="s">
        <v>63</v>
      </c>
      <c r="N1035" s="6" t="s">
        <v>5901</v>
      </c>
      <c r="O1035" s="3" t="s">
        <v>63</v>
      </c>
      <c r="P1035" s="3" t="s">
        <v>464</v>
      </c>
      <c r="Q1035" s="3"/>
      <c r="R1035" s="3" t="s">
        <v>258</v>
      </c>
      <c r="S1035" s="7">
        <v>44093.0</v>
      </c>
      <c r="T1035" s="3" t="s">
        <v>63</v>
      </c>
      <c r="U1035" s="6" t="s">
        <v>171</v>
      </c>
      <c r="V1035" s="3" t="s">
        <v>4</v>
      </c>
      <c r="W1035" s="3" t="s">
        <v>102</v>
      </c>
    </row>
    <row r="1036" ht="15.75" customHeight="1">
      <c r="A1036" s="6" t="s">
        <v>3215</v>
      </c>
      <c r="B1036" s="3" t="s">
        <v>8900</v>
      </c>
      <c r="C1036" s="7">
        <v>47374.0</v>
      </c>
      <c r="D1036" s="3" t="s">
        <v>1155</v>
      </c>
      <c r="E1036" s="3"/>
      <c r="F1036" s="3" t="s">
        <v>183</v>
      </c>
      <c r="G1036" s="6" t="s">
        <v>8901</v>
      </c>
      <c r="H1036" s="3" t="s">
        <v>8902</v>
      </c>
      <c r="I1036" s="3" t="s">
        <v>8903</v>
      </c>
      <c r="J1036" s="3" t="s">
        <v>114</v>
      </c>
      <c r="K1036" s="3" t="s">
        <v>118</v>
      </c>
      <c r="L1036" s="6" t="s">
        <v>3922</v>
      </c>
      <c r="M1036" s="3" t="s">
        <v>63</v>
      </c>
      <c r="N1036" s="6" t="s">
        <v>3923</v>
      </c>
      <c r="O1036" s="3" t="s">
        <v>63</v>
      </c>
      <c r="P1036" s="3" t="s">
        <v>127</v>
      </c>
      <c r="Q1036" s="3"/>
      <c r="R1036" s="3" t="s">
        <v>258</v>
      </c>
      <c r="S1036" s="7">
        <v>40411.0</v>
      </c>
      <c r="T1036" s="3" t="s">
        <v>1178</v>
      </c>
      <c r="U1036" s="6" t="s">
        <v>385</v>
      </c>
      <c r="V1036" s="3" t="s">
        <v>237</v>
      </c>
      <c r="W1036" s="3" t="s">
        <v>102</v>
      </c>
    </row>
    <row r="1037" ht="15.75" customHeight="1">
      <c r="A1037" s="6" t="s">
        <v>3497</v>
      </c>
      <c r="B1037" s="3" t="s">
        <v>8904</v>
      </c>
      <c r="C1037" s="7">
        <v>24730.0</v>
      </c>
      <c r="D1037" s="3" t="s">
        <v>63</v>
      </c>
      <c r="E1037" s="3">
        <v>58.0</v>
      </c>
      <c r="F1037" s="3" t="s">
        <v>70</v>
      </c>
      <c r="G1037" s="6" t="s">
        <v>8905</v>
      </c>
      <c r="H1037" s="3" t="s">
        <v>8906</v>
      </c>
      <c r="I1037" s="3" t="s">
        <v>8907</v>
      </c>
      <c r="J1037" s="3" t="s">
        <v>251</v>
      </c>
      <c r="K1037" s="3" t="s">
        <v>251</v>
      </c>
      <c r="L1037" s="6" t="s">
        <v>3498</v>
      </c>
      <c r="M1037" s="3" t="s">
        <v>620</v>
      </c>
      <c r="N1037" s="6" t="s">
        <v>3500</v>
      </c>
      <c r="O1037" s="3" t="s">
        <v>63</v>
      </c>
      <c r="P1037" s="3" t="s">
        <v>372</v>
      </c>
      <c r="Q1037" s="8">
        <v>2085574.0</v>
      </c>
      <c r="R1037" s="3" t="s">
        <v>93</v>
      </c>
      <c r="S1037" s="7">
        <v>43546.0</v>
      </c>
      <c r="T1037" s="3" t="s">
        <v>63</v>
      </c>
      <c r="U1037" s="6" t="s">
        <v>352</v>
      </c>
      <c r="V1037" s="3" t="s">
        <v>4</v>
      </c>
      <c r="W1037" s="3" t="s">
        <v>102</v>
      </c>
    </row>
    <row r="1038" ht="15.75" customHeight="1">
      <c r="A1038" s="6" t="s">
        <v>1620</v>
      </c>
      <c r="B1038" s="3" t="s">
        <v>8808</v>
      </c>
      <c r="C1038" s="7">
        <v>32429.0</v>
      </c>
      <c r="D1038" s="3" t="s">
        <v>63</v>
      </c>
      <c r="E1038" s="3">
        <v>37.0</v>
      </c>
      <c r="F1038" s="3" t="s">
        <v>183</v>
      </c>
      <c r="G1038" s="6" t="s">
        <v>8908</v>
      </c>
      <c r="H1038" s="3" t="s">
        <v>8909</v>
      </c>
      <c r="I1038" s="3" t="s">
        <v>5141</v>
      </c>
      <c r="J1038" s="3" t="s">
        <v>327</v>
      </c>
      <c r="K1038" s="3" t="s">
        <v>169</v>
      </c>
      <c r="L1038" s="6" t="s">
        <v>1621</v>
      </c>
      <c r="M1038" s="3" t="s">
        <v>63</v>
      </c>
      <c r="N1038" s="3"/>
      <c r="O1038" s="3" t="s">
        <v>88</v>
      </c>
      <c r="P1038" s="3" t="s">
        <v>324</v>
      </c>
      <c r="Q1038" s="3"/>
      <c r="R1038" s="3" t="s">
        <v>258</v>
      </c>
      <c r="S1038" s="7">
        <v>43904.0</v>
      </c>
      <c r="T1038" s="3" t="s">
        <v>63</v>
      </c>
      <c r="U1038" s="6" t="s">
        <v>97</v>
      </c>
      <c r="V1038" s="3" t="s">
        <v>4</v>
      </c>
      <c r="W1038" s="3" t="s">
        <v>102</v>
      </c>
    </row>
    <row r="1039" ht="15.75" customHeight="1">
      <c r="A1039" s="6" t="s">
        <v>4367</v>
      </c>
      <c r="B1039" s="3" t="s">
        <v>7649</v>
      </c>
      <c r="C1039" s="7">
        <v>35375.0</v>
      </c>
      <c r="D1039" s="3" t="s">
        <v>63</v>
      </c>
      <c r="E1039" s="3">
        <v>29.0</v>
      </c>
      <c r="F1039" s="3" t="s">
        <v>183</v>
      </c>
      <c r="G1039" s="6" t="s">
        <v>8910</v>
      </c>
      <c r="H1039" s="3" t="s">
        <v>8911</v>
      </c>
      <c r="I1039" s="3" t="s">
        <v>3706</v>
      </c>
      <c r="J1039" s="3" t="s">
        <v>184</v>
      </c>
      <c r="K1039" s="3" t="s">
        <v>187</v>
      </c>
      <c r="L1039" s="6" t="s">
        <v>4976</v>
      </c>
      <c r="M1039" s="3" t="s">
        <v>63</v>
      </c>
      <c r="N1039" s="6" t="s">
        <v>4978</v>
      </c>
      <c r="O1039" s="3" t="s">
        <v>63</v>
      </c>
      <c r="P1039" s="3" t="s">
        <v>160</v>
      </c>
      <c r="Q1039" s="8">
        <v>1801254.0</v>
      </c>
      <c r="R1039" s="3" t="s">
        <v>93</v>
      </c>
      <c r="S1039" s="7">
        <v>45213.0</v>
      </c>
      <c r="T1039" s="3" t="s">
        <v>63</v>
      </c>
      <c r="U1039" s="6" t="s">
        <v>401</v>
      </c>
      <c r="V1039" s="3" t="s">
        <v>4</v>
      </c>
      <c r="W1039" s="3" t="s">
        <v>102</v>
      </c>
    </row>
    <row r="1040" ht="15.75" customHeight="1">
      <c r="A1040" s="6" t="s">
        <v>4524</v>
      </c>
      <c r="B1040" s="3" t="s">
        <v>8912</v>
      </c>
      <c r="C1040" s="7">
        <v>35243.0</v>
      </c>
      <c r="D1040" s="3" t="s">
        <v>63</v>
      </c>
      <c r="E1040" s="3">
        <v>30.0</v>
      </c>
      <c r="F1040" s="3" t="s">
        <v>70</v>
      </c>
      <c r="G1040" s="6" t="s">
        <v>1049</v>
      </c>
      <c r="H1040" s="3" t="s">
        <v>8913</v>
      </c>
      <c r="I1040" s="3" t="s">
        <v>8914</v>
      </c>
      <c r="J1040" s="3" t="s">
        <v>79</v>
      </c>
      <c r="K1040" s="3" t="s">
        <v>81</v>
      </c>
      <c r="L1040" s="6" t="s">
        <v>5963</v>
      </c>
      <c r="M1040" s="3" t="s">
        <v>63</v>
      </c>
      <c r="N1040" s="6" t="s">
        <v>5964</v>
      </c>
      <c r="O1040" s="3" t="s">
        <v>63</v>
      </c>
      <c r="P1040" s="3" t="s">
        <v>160</v>
      </c>
      <c r="Q1040" s="3"/>
      <c r="R1040" s="3" t="s">
        <v>258</v>
      </c>
      <c r="S1040" s="7">
        <v>45912.0</v>
      </c>
      <c r="T1040" s="3" t="s">
        <v>63</v>
      </c>
      <c r="U1040" s="6" t="s">
        <v>163</v>
      </c>
      <c r="V1040" s="3" t="s">
        <v>4</v>
      </c>
      <c r="W1040" s="3" t="s">
        <v>102</v>
      </c>
    </row>
    <row r="1041" ht="15.75" customHeight="1">
      <c r="A1041" s="6" t="s">
        <v>5783</v>
      </c>
      <c r="B1041" s="3" t="s">
        <v>8915</v>
      </c>
      <c r="C1041" s="7">
        <v>28725.0</v>
      </c>
      <c r="D1041" s="3" t="s">
        <v>63</v>
      </c>
      <c r="E1041" s="3">
        <v>47.0</v>
      </c>
      <c r="F1041" s="3" t="s">
        <v>70</v>
      </c>
      <c r="G1041" s="6" t="s">
        <v>8916</v>
      </c>
      <c r="H1041" s="3" t="s">
        <v>8917</v>
      </c>
      <c r="I1041" s="3" t="s">
        <v>3180</v>
      </c>
      <c r="J1041" s="3" t="s">
        <v>251</v>
      </c>
      <c r="K1041" s="3" t="s">
        <v>251</v>
      </c>
      <c r="L1041" s="6" t="s">
        <v>5784</v>
      </c>
      <c r="M1041" s="3" t="s">
        <v>63</v>
      </c>
      <c r="N1041" s="6" t="s">
        <v>5785</v>
      </c>
      <c r="O1041" s="3" t="s">
        <v>63</v>
      </c>
      <c r="P1041" s="3" t="s">
        <v>202</v>
      </c>
      <c r="Q1041" s="8">
        <v>458852.0</v>
      </c>
      <c r="R1041" s="3" t="s">
        <v>93</v>
      </c>
      <c r="S1041" s="7">
        <v>43176.0</v>
      </c>
      <c r="T1041" s="3" t="s">
        <v>63</v>
      </c>
      <c r="U1041" s="6" t="s">
        <v>262</v>
      </c>
      <c r="V1041" s="3" t="s">
        <v>4</v>
      </c>
      <c r="W1041" s="3" t="s">
        <v>102</v>
      </c>
    </row>
    <row r="1042" ht="15.75" customHeight="1">
      <c r="A1042" s="6" t="s">
        <v>4034</v>
      </c>
      <c r="B1042" s="3" t="s">
        <v>8918</v>
      </c>
      <c r="C1042" s="7">
        <v>21492.0</v>
      </c>
      <c r="D1042" s="3" t="s">
        <v>63</v>
      </c>
      <c r="E1042" s="3">
        <v>67.0</v>
      </c>
      <c r="F1042" s="3" t="s">
        <v>183</v>
      </c>
      <c r="G1042" s="6" t="s">
        <v>8919</v>
      </c>
      <c r="H1042" s="3" t="s">
        <v>8920</v>
      </c>
      <c r="I1042" s="3" t="s">
        <v>8921</v>
      </c>
      <c r="J1042" s="3" t="s">
        <v>79</v>
      </c>
      <c r="K1042" s="3" t="s">
        <v>81</v>
      </c>
      <c r="L1042" s="6" t="s">
        <v>4036</v>
      </c>
      <c r="M1042" s="3" t="s">
        <v>63</v>
      </c>
      <c r="N1042" s="6" t="s">
        <v>4038</v>
      </c>
      <c r="O1042" s="3" t="s">
        <v>63</v>
      </c>
      <c r="P1042" s="3" t="s">
        <v>160</v>
      </c>
      <c r="Q1042" s="8">
        <v>854856.0</v>
      </c>
      <c r="R1042" s="3" t="s">
        <v>93</v>
      </c>
      <c r="S1042" s="7">
        <v>42886.0</v>
      </c>
      <c r="T1042" s="3" t="s">
        <v>63</v>
      </c>
      <c r="U1042" s="6" t="s">
        <v>171</v>
      </c>
      <c r="V1042" s="3" t="s">
        <v>4</v>
      </c>
      <c r="W1042" s="3" t="s">
        <v>102</v>
      </c>
    </row>
    <row r="1043" ht="15.75" customHeight="1">
      <c r="A1043" s="6" t="s">
        <v>5971</v>
      </c>
      <c r="B1043" s="3" t="s">
        <v>8922</v>
      </c>
      <c r="C1043" s="7">
        <v>28610.0</v>
      </c>
      <c r="D1043" s="3" t="s">
        <v>63</v>
      </c>
      <c r="E1043" s="3">
        <v>48.0</v>
      </c>
      <c r="F1043" s="3" t="s">
        <v>183</v>
      </c>
      <c r="G1043" s="6" t="s">
        <v>8923</v>
      </c>
      <c r="H1043" s="3" t="s">
        <v>8924</v>
      </c>
      <c r="I1043" s="3" t="s">
        <v>8925</v>
      </c>
      <c r="J1043" s="3" t="s">
        <v>349</v>
      </c>
      <c r="K1043" s="3" t="s">
        <v>45</v>
      </c>
      <c r="L1043" s="6" t="s">
        <v>5972</v>
      </c>
      <c r="M1043" s="3" t="s">
        <v>63</v>
      </c>
      <c r="N1043" s="6" t="s">
        <v>5974</v>
      </c>
      <c r="O1043" s="3" t="s">
        <v>63</v>
      </c>
      <c r="P1043" s="3" t="s">
        <v>127</v>
      </c>
      <c r="Q1043" s="3"/>
      <c r="R1043" s="3" t="s">
        <v>258</v>
      </c>
      <c r="S1043" s="7">
        <v>44195.0</v>
      </c>
      <c r="T1043" s="3" t="s">
        <v>63</v>
      </c>
      <c r="U1043" s="6" t="s">
        <v>234</v>
      </c>
      <c r="V1043" s="3" t="s">
        <v>237</v>
      </c>
      <c r="W1043" s="3" t="s">
        <v>102</v>
      </c>
    </row>
    <row r="1044" ht="15.75" customHeight="1">
      <c r="A1044" s="6" t="s">
        <v>3587</v>
      </c>
      <c r="B1044" s="3" t="s">
        <v>8926</v>
      </c>
      <c r="C1044" s="7">
        <v>27960.0</v>
      </c>
      <c r="D1044" s="3" t="s">
        <v>63</v>
      </c>
      <c r="E1044" s="3">
        <v>50.0</v>
      </c>
      <c r="F1044" s="3" t="s">
        <v>183</v>
      </c>
      <c r="G1044" s="6" t="s">
        <v>8927</v>
      </c>
      <c r="H1044" s="3" t="s">
        <v>8928</v>
      </c>
      <c r="I1044" s="3" t="s">
        <v>8929</v>
      </c>
      <c r="J1044" s="3" t="s">
        <v>114</v>
      </c>
      <c r="K1044" s="3" t="s">
        <v>118</v>
      </c>
      <c r="L1044" s="6" t="s">
        <v>6148</v>
      </c>
      <c r="M1044" s="3" t="s">
        <v>63</v>
      </c>
      <c r="N1044" s="6" t="s">
        <v>6149</v>
      </c>
      <c r="O1044" s="3" t="s">
        <v>63</v>
      </c>
      <c r="P1044" s="3" t="s">
        <v>160</v>
      </c>
      <c r="Q1044" s="8">
        <v>283368.0</v>
      </c>
      <c r="R1044" s="3" t="s">
        <v>93</v>
      </c>
      <c r="S1044" s="7">
        <v>44738.0</v>
      </c>
      <c r="T1044" s="3" t="s">
        <v>63</v>
      </c>
      <c r="U1044" s="6" t="s">
        <v>234</v>
      </c>
      <c r="V1044" s="3" t="s">
        <v>4</v>
      </c>
      <c r="W1044" s="3" t="s">
        <v>102</v>
      </c>
    </row>
    <row r="1045" ht="15.75" customHeight="1">
      <c r="A1045" s="6" t="s">
        <v>1279</v>
      </c>
      <c r="B1045" s="3" t="s">
        <v>7307</v>
      </c>
      <c r="C1045" s="7">
        <v>46981.0</v>
      </c>
      <c r="D1045" s="3" t="s">
        <v>1155</v>
      </c>
      <c r="E1045" s="3"/>
      <c r="F1045" s="3" t="s">
        <v>70</v>
      </c>
      <c r="G1045" s="6" t="s">
        <v>8930</v>
      </c>
      <c r="H1045" s="3" t="s">
        <v>8931</v>
      </c>
      <c r="I1045" s="3" t="s">
        <v>8932</v>
      </c>
      <c r="J1045" s="3" t="s">
        <v>225</v>
      </c>
      <c r="K1045" s="3" t="s">
        <v>101</v>
      </c>
      <c r="L1045" s="6" t="s">
        <v>4196</v>
      </c>
      <c r="M1045" s="3" t="s">
        <v>63</v>
      </c>
      <c r="N1045" s="6" t="s">
        <v>4197</v>
      </c>
      <c r="O1045" s="3" t="s">
        <v>63</v>
      </c>
      <c r="P1045" s="3" t="s">
        <v>202</v>
      </c>
      <c r="Q1045" s="8">
        <v>1422428.0</v>
      </c>
      <c r="R1045" s="3" t="s">
        <v>93</v>
      </c>
      <c r="S1045" s="7">
        <v>42152.0</v>
      </c>
      <c r="T1045" s="3" t="s">
        <v>1178</v>
      </c>
      <c r="U1045" s="6" t="s">
        <v>323</v>
      </c>
      <c r="V1045" s="3" t="s">
        <v>4</v>
      </c>
      <c r="W1045" s="3" t="s">
        <v>102</v>
      </c>
    </row>
    <row r="1046" ht="15.75" customHeight="1">
      <c r="A1046" s="6" t="s">
        <v>1156</v>
      </c>
      <c r="B1046" s="3" t="s">
        <v>8933</v>
      </c>
      <c r="C1046" s="7">
        <v>21380.0</v>
      </c>
      <c r="D1046" s="3" t="s">
        <v>63</v>
      </c>
      <c r="E1046" s="3">
        <v>68.0</v>
      </c>
      <c r="F1046" s="3" t="s">
        <v>183</v>
      </c>
      <c r="G1046" s="6" t="s">
        <v>8934</v>
      </c>
      <c r="H1046" s="3" t="s">
        <v>8935</v>
      </c>
      <c r="I1046" s="3" t="s">
        <v>7239</v>
      </c>
      <c r="J1046" s="3" t="s">
        <v>251</v>
      </c>
      <c r="K1046" s="3" t="s">
        <v>251</v>
      </c>
      <c r="L1046" s="6" t="s">
        <v>1157</v>
      </c>
      <c r="M1046" s="3" t="s">
        <v>63</v>
      </c>
      <c r="N1046" s="3"/>
      <c r="O1046" s="3" t="s">
        <v>88</v>
      </c>
      <c r="P1046" s="3" t="s">
        <v>127</v>
      </c>
      <c r="Q1046" s="3"/>
      <c r="R1046" s="3" t="s">
        <v>258</v>
      </c>
      <c r="S1046" s="7">
        <v>40213.0</v>
      </c>
      <c r="T1046" s="3" t="s">
        <v>63</v>
      </c>
      <c r="U1046" s="6" t="s">
        <v>245</v>
      </c>
      <c r="V1046" s="3" t="s">
        <v>4</v>
      </c>
      <c r="W1046" s="3" t="s">
        <v>102</v>
      </c>
    </row>
    <row r="1047" ht="15.75" customHeight="1">
      <c r="A1047" s="6" t="s">
        <v>3038</v>
      </c>
      <c r="B1047" s="3" t="s">
        <v>8936</v>
      </c>
      <c r="C1047" s="7">
        <v>28245.0</v>
      </c>
      <c r="D1047" s="3" t="s">
        <v>63</v>
      </c>
      <c r="E1047" s="3">
        <v>49.0</v>
      </c>
      <c r="F1047" s="3" t="s">
        <v>183</v>
      </c>
      <c r="G1047" s="3"/>
      <c r="H1047" s="3" t="s">
        <v>8937</v>
      </c>
      <c r="I1047" s="3" t="s">
        <v>8938</v>
      </c>
      <c r="J1047" s="3" t="s">
        <v>337</v>
      </c>
      <c r="K1047" s="3" t="s">
        <v>137</v>
      </c>
      <c r="L1047" s="6" t="s">
        <v>3039</v>
      </c>
      <c r="M1047" s="3" t="s">
        <v>63</v>
      </c>
      <c r="N1047" s="6" t="s">
        <v>3040</v>
      </c>
      <c r="O1047" s="3" t="s">
        <v>63</v>
      </c>
      <c r="P1047" s="3" t="s">
        <v>160</v>
      </c>
      <c r="Q1047" s="3"/>
      <c r="R1047" s="3" t="s">
        <v>258</v>
      </c>
      <c r="S1047" s="7">
        <v>39470.0</v>
      </c>
      <c r="T1047" s="3" t="s">
        <v>63</v>
      </c>
      <c r="U1047" s="6" t="s">
        <v>109</v>
      </c>
      <c r="V1047" s="3" t="s">
        <v>4</v>
      </c>
      <c r="W1047" s="3" t="s">
        <v>102</v>
      </c>
    </row>
    <row r="1048" ht="15.75" customHeight="1">
      <c r="A1048" s="6" t="s">
        <v>2691</v>
      </c>
      <c r="B1048" s="3" t="s">
        <v>5760</v>
      </c>
      <c r="C1048" s="7">
        <v>28703.0</v>
      </c>
      <c r="D1048" s="3" t="s">
        <v>63</v>
      </c>
      <c r="E1048" s="3">
        <v>48.0</v>
      </c>
      <c r="F1048" s="3" t="s">
        <v>183</v>
      </c>
      <c r="G1048" s="6" t="s">
        <v>8939</v>
      </c>
      <c r="H1048" s="3" t="s">
        <v>5765</v>
      </c>
      <c r="I1048" s="3" t="s">
        <v>5766</v>
      </c>
      <c r="J1048" s="3" t="s">
        <v>43</v>
      </c>
      <c r="K1048" s="3" t="s">
        <v>45</v>
      </c>
      <c r="L1048" s="6" t="s">
        <v>5768</v>
      </c>
      <c r="M1048" s="3" t="s">
        <v>63</v>
      </c>
      <c r="N1048" s="3"/>
      <c r="O1048" s="3" t="s">
        <v>88</v>
      </c>
      <c r="P1048" s="3" t="s">
        <v>127</v>
      </c>
      <c r="Q1048" s="3"/>
      <c r="R1048" s="3" t="s">
        <v>258</v>
      </c>
      <c r="S1048" s="7">
        <v>40127.0</v>
      </c>
      <c r="T1048" s="3" t="s">
        <v>63</v>
      </c>
      <c r="U1048" s="6" t="s">
        <v>221</v>
      </c>
      <c r="V1048" s="3" t="s">
        <v>237</v>
      </c>
      <c r="W1048" s="3" t="s">
        <v>378</v>
      </c>
    </row>
    <row r="1049" ht="15.75" customHeight="1">
      <c r="A1049" s="6" t="s">
        <v>1362</v>
      </c>
      <c r="B1049" s="3" t="s">
        <v>8940</v>
      </c>
      <c r="C1049" s="7">
        <v>32237.0</v>
      </c>
      <c r="D1049" s="3" t="s">
        <v>63</v>
      </c>
      <c r="E1049" s="3">
        <v>38.0</v>
      </c>
      <c r="F1049" s="3" t="s">
        <v>70</v>
      </c>
      <c r="G1049" s="6" t="s">
        <v>8941</v>
      </c>
      <c r="H1049" s="3" t="s">
        <v>8942</v>
      </c>
      <c r="I1049" s="3" t="s">
        <v>8943</v>
      </c>
      <c r="J1049" s="3" t="s">
        <v>153</v>
      </c>
      <c r="K1049" s="3" t="s">
        <v>67</v>
      </c>
      <c r="L1049" s="6" t="s">
        <v>6318</v>
      </c>
      <c r="M1049" s="3" t="s">
        <v>63</v>
      </c>
      <c r="N1049" s="6" t="s">
        <v>6319</v>
      </c>
      <c r="O1049" s="3" t="s">
        <v>63</v>
      </c>
      <c r="P1049" s="3" t="s">
        <v>300</v>
      </c>
      <c r="Q1049" s="3"/>
      <c r="R1049" s="3" t="s">
        <v>258</v>
      </c>
      <c r="S1049" s="7">
        <v>39126.0</v>
      </c>
      <c r="T1049" s="3" t="s">
        <v>63</v>
      </c>
      <c r="U1049" s="6" t="s">
        <v>92</v>
      </c>
      <c r="V1049" s="3" t="s">
        <v>4</v>
      </c>
      <c r="W1049" s="3" t="s">
        <v>102</v>
      </c>
    </row>
    <row r="1050" ht="15.75" customHeight="1">
      <c r="A1050" s="6" t="s">
        <v>1937</v>
      </c>
      <c r="B1050" s="3" t="s">
        <v>8944</v>
      </c>
      <c r="C1050" s="7">
        <v>29925.0</v>
      </c>
      <c r="D1050" s="3" t="s">
        <v>63</v>
      </c>
      <c r="E1050" s="3">
        <v>44.0</v>
      </c>
      <c r="F1050" s="3" t="s">
        <v>183</v>
      </c>
      <c r="G1050" s="6" t="s">
        <v>8945</v>
      </c>
      <c r="H1050" s="3" t="s">
        <v>8946</v>
      </c>
      <c r="I1050" s="3" t="s">
        <v>8947</v>
      </c>
      <c r="J1050" s="3" t="s">
        <v>213</v>
      </c>
      <c r="K1050" s="3" t="s">
        <v>67</v>
      </c>
      <c r="L1050" s="6" t="s">
        <v>4354</v>
      </c>
      <c r="M1050" s="3" t="s">
        <v>63</v>
      </c>
      <c r="N1050" s="6" t="s">
        <v>4355</v>
      </c>
      <c r="O1050" s="3" t="s">
        <v>63</v>
      </c>
      <c r="P1050" s="3" t="s">
        <v>127</v>
      </c>
      <c r="Q1050" s="3"/>
      <c r="R1050" s="3" t="s">
        <v>258</v>
      </c>
      <c r="S1050" s="7">
        <v>38822.0</v>
      </c>
      <c r="T1050" s="3" t="s">
        <v>63</v>
      </c>
      <c r="U1050" s="6" t="s">
        <v>333</v>
      </c>
      <c r="V1050" s="3" t="s">
        <v>4</v>
      </c>
      <c r="W1050" s="3" t="s">
        <v>102</v>
      </c>
    </row>
    <row r="1051" ht="15.75" customHeight="1">
      <c r="A1051" s="6" t="s">
        <v>3965</v>
      </c>
      <c r="B1051" s="3" t="s">
        <v>8948</v>
      </c>
      <c r="C1051" s="7">
        <v>26140.0</v>
      </c>
      <c r="D1051" s="3" t="s">
        <v>63</v>
      </c>
      <c r="E1051" s="3">
        <v>55.0</v>
      </c>
      <c r="F1051" s="3" t="s">
        <v>183</v>
      </c>
      <c r="G1051" s="6" t="s">
        <v>8949</v>
      </c>
      <c r="H1051" s="3" t="s">
        <v>8950</v>
      </c>
      <c r="I1051" s="3" t="s">
        <v>8951</v>
      </c>
      <c r="J1051" s="3" t="s">
        <v>327</v>
      </c>
      <c r="K1051" s="3" t="s">
        <v>169</v>
      </c>
      <c r="L1051" s="6" t="s">
        <v>5509</v>
      </c>
      <c r="M1051" s="3" t="s">
        <v>63</v>
      </c>
      <c r="N1051" s="6" t="s">
        <v>5510</v>
      </c>
      <c r="O1051" s="3" t="s">
        <v>63</v>
      </c>
      <c r="P1051" s="3" t="s">
        <v>324</v>
      </c>
      <c r="Q1051" s="8">
        <v>2144927.0</v>
      </c>
      <c r="R1051" s="3" t="s">
        <v>93</v>
      </c>
      <c r="S1051" s="7">
        <v>41819.0</v>
      </c>
      <c r="T1051" s="3" t="s">
        <v>63</v>
      </c>
      <c r="U1051" s="6" t="s">
        <v>136</v>
      </c>
      <c r="V1051" s="3" t="s">
        <v>4</v>
      </c>
      <c r="W1051" s="3" t="s">
        <v>102</v>
      </c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2" width="14.0"/>
    <col customWidth="1" min="3" max="6" width="11.0"/>
    <col customWidth="1" min="7" max="7" width="12.0"/>
    <col customWidth="1" min="8" max="26" width="8.71"/>
  </cols>
  <sheetData>
    <row r="1">
      <c r="A1" s="5" t="s">
        <v>18</v>
      </c>
      <c r="B1" s="5" t="s">
        <v>21</v>
      </c>
      <c r="C1" s="5" t="s">
        <v>24</v>
      </c>
      <c r="D1" s="5" t="s">
        <v>27</v>
      </c>
      <c r="E1" s="5" t="s">
        <v>29</v>
      </c>
      <c r="F1" s="5" t="s">
        <v>31</v>
      </c>
      <c r="G1" s="5" t="s">
        <v>34</v>
      </c>
    </row>
    <row r="2">
      <c r="A2" s="6" t="s">
        <v>36</v>
      </c>
      <c r="B2" s="3" t="s">
        <v>41</v>
      </c>
      <c r="C2" s="3" t="s">
        <v>43</v>
      </c>
      <c r="D2" s="3" t="s">
        <v>45</v>
      </c>
      <c r="E2" s="3" t="s">
        <v>50</v>
      </c>
      <c r="F2" s="3" t="s">
        <v>52</v>
      </c>
      <c r="G2" s="7">
        <v>40348.0</v>
      </c>
    </row>
    <row r="3">
      <c r="A3" s="6" t="s">
        <v>60</v>
      </c>
      <c r="B3" s="3" t="s">
        <v>62</v>
      </c>
      <c r="C3" s="3" t="s">
        <v>65</v>
      </c>
      <c r="D3" s="3" t="s">
        <v>67</v>
      </c>
      <c r="E3" s="3" t="s">
        <v>71</v>
      </c>
      <c r="F3" s="3" t="s">
        <v>73</v>
      </c>
      <c r="G3" s="7">
        <v>37470.0</v>
      </c>
    </row>
    <row r="4">
      <c r="A4" s="6" t="s">
        <v>80</v>
      </c>
      <c r="B4" s="3" t="s">
        <v>82</v>
      </c>
      <c r="C4" s="3" t="s">
        <v>85</v>
      </c>
      <c r="D4" s="3" t="s">
        <v>67</v>
      </c>
      <c r="E4" s="3" t="s">
        <v>71</v>
      </c>
      <c r="F4" s="3" t="s">
        <v>91</v>
      </c>
      <c r="G4" s="7">
        <v>41677.0</v>
      </c>
    </row>
    <row r="5">
      <c r="A5" s="6" t="s">
        <v>92</v>
      </c>
      <c r="B5" s="3" t="s">
        <v>95</v>
      </c>
      <c r="C5" s="3" t="s">
        <v>98</v>
      </c>
      <c r="D5" s="3" t="s">
        <v>101</v>
      </c>
      <c r="E5" s="3" t="s">
        <v>104</v>
      </c>
      <c r="F5" s="3" t="s">
        <v>107</v>
      </c>
      <c r="G5" s="7">
        <v>36507.0</v>
      </c>
    </row>
    <row r="6">
      <c r="A6" s="6" t="s">
        <v>109</v>
      </c>
      <c r="B6" s="3" t="s">
        <v>111</v>
      </c>
      <c r="C6" s="3" t="s">
        <v>114</v>
      </c>
      <c r="D6" s="3" t="s">
        <v>118</v>
      </c>
      <c r="E6" s="3" t="s">
        <v>104</v>
      </c>
      <c r="F6" s="3" t="s">
        <v>125</v>
      </c>
      <c r="G6" s="7">
        <v>41997.0</v>
      </c>
    </row>
    <row r="7">
      <c r="A7" s="6" t="s">
        <v>129</v>
      </c>
      <c r="B7" s="3" t="s">
        <v>131</v>
      </c>
      <c r="C7" s="3" t="s">
        <v>134</v>
      </c>
      <c r="D7" s="3" t="s">
        <v>137</v>
      </c>
      <c r="E7" s="3" t="s">
        <v>104</v>
      </c>
      <c r="F7" s="3" t="s">
        <v>138</v>
      </c>
      <c r="G7" s="7">
        <v>41721.0</v>
      </c>
    </row>
    <row r="8">
      <c r="A8" s="6" t="s">
        <v>146</v>
      </c>
      <c r="B8" s="3" t="s">
        <v>148</v>
      </c>
      <c r="C8" s="3" t="s">
        <v>151</v>
      </c>
      <c r="D8" s="3" t="s">
        <v>121</v>
      </c>
      <c r="E8" s="3" t="s">
        <v>156</v>
      </c>
      <c r="F8" s="3" t="s">
        <v>159</v>
      </c>
      <c r="G8" s="7">
        <v>36546.0</v>
      </c>
    </row>
    <row r="9">
      <c r="A9" s="6" t="s">
        <v>163</v>
      </c>
      <c r="B9" s="3" t="s">
        <v>165</v>
      </c>
      <c r="C9" s="3" t="s">
        <v>167</v>
      </c>
      <c r="D9" s="3" t="s">
        <v>169</v>
      </c>
      <c r="E9" s="3" t="s">
        <v>104</v>
      </c>
      <c r="F9" s="3" t="s">
        <v>172</v>
      </c>
      <c r="G9" s="7">
        <v>39610.0</v>
      </c>
    </row>
    <row r="10">
      <c r="A10" s="6" t="s">
        <v>179</v>
      </c>
      <c r="B10" s="3" t="s">
        <v>181</v>
      </c>
      <c r="C10" s="3" t="s">
        <v>184</v>
      </c>
      <c r="D10" s="3" t="s">
        <v>187</v>
      </c>
      <c r="E10" s="3" t="s">
        <v>189</v>
      </c>
      <c r="F10" s="3" t="s">
        <v>191</v>
      </c>
      <c r="G10" s="7">
        <v>43224.0</v>
      </c>
    </row>
    <row r="11">
      <c r="A11" s="6" t="s">
        <v>197</v>
      </c>
      <c r="B11" s="3" t="s">
        <v>198</v>
      </c>
      <c r="C11" s="3" t="s">
        <v>201</v>
      </c>
      <c r="D11" s="3" t="s">
        <v>203</v>
      </c>
      <c r="E11" s="3" t="s">
        <v>189</v>
      </c>
      <c r="F11" s="3" t="s">
        <v>204</v>
      </c>
      <c r="G11" s="7">
        <v>41616.0</v>
      </c>
    </row>
    <row r="12">
      <c r="A12" s="6" t="s">
        <v>208</v>
      </c>
      <c r="B12" s="3" t="s">
        <v>211</v>
      </c>
      <c r="C12" s="3" t="s">
        <v>213</v>
      </c>
      <c r="D12" s="3" t="s">
        <v>67</v>
      </c>
      <c r="E12" s="3" t="s">
        <v>71</v>
      </c>
      <c r="F12" s="3" t="s">
        <v>216</v>
      </c>
      <c r="G12" s="7">
        <v>38599.0</v>
      </c>
    </row>
    <row r="13">
      <c r="A13" s="6" t="s">
        <v>221</v>
      </c>
      <c r="B13" s="3" t="s">
        <v>224</v>
      </c>
      <c r="C13" s="3" t="s">
        <v>227</v>
      </c>
      <c r="D13" s="3" t="s">
        <v>229</v>
      </c>
      <c r="E13" s="3" t="s">
        <v>156</v>
      </c>
      <c r="F13" s="3" t="s">
        <v>231</v>
      </c>
      <c r="G13" s="7">
        <v>43369.0</v>
      </c>
    </row>
    <row r="14">
      <c r="A14" s="6" t="s">
        <v>234</v>
      </c>
      <c r="B14" s="3" t="s">
        <v>236</v>
      </c>
      <c r="C14" s="3" t="s">
        <v>225</v>
      </c>
      <c r="D14" s="3" t="s">
        <v>101</v>
      </c>
      <c r="E14" s="3" t="s">
        <v>104</v>
      </c>
      <c r="F14" s="3" t="s">
        <v>240</v>
      </c>
      <c r="G14" s="7">
        <v>39394.0</v>
      </c>
    </row>
    <row r="15">
      <c r="A15" s="6" t="s">
        <v>245</v>
      </c>
      <c r="B15" s="3" t="s">
        <v>248</v>
      </c>
      <c r="C15" s="3" t="s">
        <v>250</v>
      </c>
      <c r="D15" s="3" t="s">
        <v>252</v>
      </c>
      <c r="E15" s="3" t="s">
        <v>156</v>
      </c>
      <c r="F15" s="3" t="s">
        <v>254</v>
      </c>
      <c r="G15" s="7">
        <v>36321.0</v>
      </c>
    </row>
    <row r="16">
      <c r="A16" s="6" t="s">
        <v>171</v>
      </c>
      <c r="B16" s="3" t="s">
        <v>259</v>
      </c>
      <c r="C16" s="3" t="s">
        <v>153</v>
      </c>
      <c r="D16" s="3" t="s">
        <v>67</v>
      </c>
      <c r="E16" s="3" t="s">
        <v>71</v>
      </c>
      <c r="F16" s="3" t="s">
        <v>263</v>
      </c>
      <c r="G16" s="7">
        <v>36880.0</v>
      </c>
    </row>
    <row r="17">
      <c r="A17" s="6" t="s">
        <v>266</v>
      </c>
      <c r="B17" s="3" t="s">
        <v>268</v>
      </c>
      <c r="C17" s="3" t="s">
        <v>271</v>
      </c>
      <c r="D17" s="3" t="s">
        <v>273</v>
      </c>
      <c r="E17" s="3" t="s">
        <v>189</v>
      </c>
      <c r="F17" s="3" t="s">
        <v>274</v>
      </c>
      <c r="G17" s="7">
        <v>39279.0</v>
      </c>
    </row>
    <row r="18">
      <c r="A18" s="6" t="s">
        <v>277</v>
      </c>
      <c r="B18" s="3" t="s">
        <v>280</v>
      </c>
      <c r="C18" s="3" t="s">
        <v>282</v>
      </c>
      <c r="D18" s="3" t="s">
        <v>229</v>
      </c>
      <c r="E18" s="3" t="s">
        <v>156</v>
      </c>
      <c r="F18" s="3" t="s">
        <v>285</v>
      </c>
      <c r="G18" s="7">
        <v>38136.0</v>
      </c>
    </row>
    <row r="19">
      <c r="A19" s="6" t="s">
        <v>288</v>
      </c>
      <c r="B19" s="3" t="s">
        <v>290</v>
      </c>
      <c r="C19" s="3" t="s">
        <v>119</v>
      </c>
      <c r="D19" s="3" t="s">
        <v>121</v>
      </c>
      <c r="E19" s="3" t="s">
        <v>156</v>
      </c>
      <c r="F19" s="3" t="s">
        <v>298</v>
      </c>
      <c r="G19" s="7">
        <v>40100.0</v>
      </c>
    </row>
    <row r="20">
      <c r="A20" s="6" t="s">
        <v>301</v>
      </c>
      <c r="B20" s="3" t="s">
        <v>303</v>
      </c>
      <c r="C20" s="3" t="s">
        <v>305</v>
      </c>
      <c r="D20" s="3" t="s">
        <v>193</v>
      </c>
      <c r="E20" s="3" t="s">
        <v>71</v>
      </c>
      <c r="F20" s="3" t="s">
        <v>310</v>
      </c>
      <c r="G20" s="7">
        <v>42339.0</v>
      </c>
    </row>
    <row r="21" ht="15.75" customHeight="1">
      <c r="A21" s="6" t="s">
        <v>311</v>
      </c>
      <c r="B21" s="3" t="s">
        <v>315</v>
      </c>
      <c r="C21" s="3" t="s">
        <v>79</v>
      </c>
      <c r="D21" s="3" t="s">
        <v>81</v>
      </c>
      <c r="E21" s="3" t="s">
        <v>156</v>
      </c>
      <c r="F21" s="3" t="s">
        <v>321</v>
      </c>
      <c r="G21" s="7">
        <v>44144.0</v>
      </c>
    </row>
    <row r="22" ht="15.75" customHeight="1">
      <c r="A22" s="6" t="s">
        <v>323</v>
      </c>
      <c r="B22" s="3" t="s">
        <v>325</v>
      </c>
      <c r="C22" s="3" t="s">
        <v>327</v>
      </c>
      <c r="D22" s="3" t="s">
        <v>169</v>
      </c>
      <c r="E22" s="3" t="s">
        <v>104</v>
      </c>
      <c r="F22" s="3" t="s">
        <v>331</v>
      </c>
      <c r="G22" s="7">
        <v>37592.0</v>
      </c>
    </row>
    <row r="23" ht="15.75" customHeight="1">
      <c r="A23" s="6" t="s">
        <v>333</v>
      </c>
      <c r="B23" s="3" t="s">
        <v>335</v>
      </c>
      <c r="C23" s="3" t="s">
        <v>337</v>
      </c>
      <c r="D23" s="3" t="s">
        <v>137</v>
      </c>
      <c r="E23" s="3" t="s">
        <v>104</v>
      </c>
      <c r="F23" s="3" t="s">
        <v>344</v>
      </c>
      <c r="G23" s="7">
        <v>36836.0</v>
      </c>
    </row>
    <row r="24" ht="15.75" customHeight="1">
      <c r="A24" s="6" t="s">
        <v>97</v>
      </c>
      <c r="B24" s="3" t="s">
        <v>347</v>
      </c>
      <c r="C24" s="3" t="s">
        <v>349</v>
      </c>
      <c r="D24" s="3" t="s">
        <v>45</v>
      </c>
      <c r="E24" s="3" t="s">
        <v>50</v>
      </c>
      <c r="F24" s="3" t="s">
        <v>354</v>
      </c>
      <c r="G24" s="7">
        <v>43464.0</v>
      </c>
    </row>
    <row r="25" ht="15.75" customHeight="1">
      <c r="A25" s="6" t="s">
        <v>284</v>
      </c>
      <c r="B25" s="3" t="s">
        <v>357</v>
      </c>
      <c r="C25" s="3" t="s">
        <v>358</v>
      </c>
      <c r="D25" s="3" t="s">
        <v>360</v>
      </c>
      <c r="E25" s="3" t="s">
        <v>189</v>
      </c>
      <c r="F25" s="3" t="s">
        <v>365</v>
      </c>
      <c r="G25" s="7">
        <v>35984.0</v>
      </c>
    </row>
    <row r="26" ht="15.75" customHeight="1">
      <c r="A26" s="6" t="s">
        <v>136</v>
      </c>
      <c r="B26" s="3" t="s">
        <v>369</v>
      </c>
      <c r="C26" s="3" t="s">
        <v>251</v>
      </c>
      <c r="D26" s="3" t="s">
        <v>251</v>
      </c>
      <c r="E26" s="3" t="s">
        <v>156</v>
      </c>
      <c r="F26" s="3" t="s">
        <v>374</v>
      </c>
      <c r="G26" s="7">
        <v>41369.0</v>
      </c>
    </row>
    <row r="27" ht="15.75" customHeight="1">
      <c r="A27" s="6" t="s">
        <v>352</v>
      </c>
      <c r="B27" s="3" t="s">
        <v>377</v>
      </c>
      <c r="C27" s="3" t="s">
        <v>379</v>
      </c>
      <c r="D27" s="3" t="s">
        <v>229</v>
      </c>
      <c r="E27" s="3" t="s">
        <v>156</v>
      </c>
      <c r="F27" s="3" t="s">
        <v>383</v>
      </c>
      <c r="G27" s="7">
        <v>38387.0</v>
      </c>
    </row>
    <row r="28" ht="15.75" customHeight="1">
      <c r="A28" s="6" t="s">
        <v>385</v>
      </c>
      <c r="B28" s="3" t="s">
        <v>387</v>
      </c>
      <c r="C28" s="3" t="s">
        <v>190</v>
      </c>
      <c r="D28" s="3" t="s">
        <v>193</v>
      </c>
      <c r="E28" s="3" t="s">
        <v>71</v>
      </c>
      <c r="F28" s="3" t="s">
        <v>393</v>
      </c>
      <c r="G28" s="7">
        <v>43997.0</v>
      </c>
    </row>
    <row r="29" ht="15.75" customHeight="1">
      <c r="A29" s="6" t="s">
        <v>397</v>
      </c>
      <c r="B29" s="3" t="s">
        <v>399</v>
      </c>
      <c r="C29" s="3" t="s">
        <v>184</v>
      </c>
      <c r="D29" s="3" t="s">
        <v>187</v>
      </c>
      <c r="E29" s="3" t="s">
        <v>189</v>
      </c>
      <c r="F29" s="3" t="s">
        <v>404</v>
      </c>
      <c r="G29" s="7">
        <v>40685.0</v>
      </c>
    </row>
    <row r="30" ht="15.75" customHeight="1">
      <c r="A30" s="6" t="s">
        <v>262</v>
      </c>
      <c r="B30" s="3" t="s">
        <v>408</v>
      </c>
      <c r="C30" s="3" t="s">
        <v>85</v>
      </c>
      <c r="D30" s="3" t="s">
        <v>67</v>
      </c>
      <c r="E30" s="3" t="s">
        <v>71</v>
      </c>
      <c r="F30" s="3" t="s">
        <v>412</v>
      </c>
      <c r="G30" s="7">
        <v>38300.0</v>
      </c>
    </row>
    <row r="31" ht="15.75" customHeight="1">
      <c r="A31" s="6" t="s">
        <v>401</v>
      </c>
      <c r="B31" s="3" t="s">
        <v>416</v>
      </c>
      <c r="C31" s="3" t="s">
        <v>225</v>
      </c>
      <c r="D31" s="3" t="s">
        <v>101</v>
      </c>
      <c r="E31" s="3" t="s">
        <v>104</v>
      </c>
      <c r="F31" s="3" t="s">
        <v>422</v>
      </c>
      <c r="G31" s="7">
        <v>35805.0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6" width="11.0"/>
    <col customWidth="1" min="7" max="7" width="16.0"/>
    <col customWidth="1" min="8" max="26" width="8.71"/>
  </cols>
  <sheetData>
    <row r="1">
      <c r="A1" s="5" t="s">
        <v>32</v>
      </c>
      <c r="B1" s="5" t="s">
        <v>14</v>
      </c>
      <c r="C1" s="5" t="s">
        <v>35</v>
      </c>
      <c r="D1" s="5" t="s">
        <v>39</v>
      </c>
      <c r="E1" s="5" t="s">
        <v>33</v>
      </c>
      <c r="F1" s="5" t="s">
        <v>51</v>
      </c>
      <c r="G1" s="5" t="s">
        <v>55</v>
      </c>
    </row>
    <row r="2">
      <c r="A2" s="6" t="s">
        <v>58</v>
      </c>
      <c r="B2" s="6" t="s">
        <v>61</v>
      </c>
      <c r="C2" s="6" t="s">
        <v>64</v>
      </c>
      <c r="D2" s="6" t="s">
        <v>69</v>
      </c>
      <c r="E2" s="3" t="s">
        <v>47</v>
      </c>
      <c r="F2" s="7">
        <v>44251.0</v>
      </c>
      <c r="G2" s="3" t="s">
        <v>78</v>
      </c>
    </row>
    <row r="3">
      <c r="A3" s="6" t="s">
        <v>83</v>
      </c>
      <c r="B3" s="6" t="s">
        <v>86</v>
      </c>
      <c r="C3" s="6" t="s">
        <v>87</v>
      </c>
      <c r="D3" s="6" t="s">
        <v>89</v>
      </c>
      <c r="E3" s="3" t="s">
        <v>54</v>
      </c>
      <c r="F3" s="7">
        <v>42564.0</v>
      </c>
      <c r="G3" s="3" t="s">
        <v>94</v>
      </c>
    </row>
    <row r="4">
      <c r="A4" s="6" t="s">
        <v>96</v>
      </c>
      <c r="B4" s="6" t="s">
        <v>100</v>
      </c>
      <c r="C4" s="6" t="s">
        <v>103</v>
      </c>
      <c r="D4" s="6" t="s">
        <v>106</v>
      </c>
      <c r="E4" s="3" t="s">
        <v>54</v>
      </c>
      <c r="F4" s="7">
        <v>44197.0</v>
      </c>
      <c r="G4" s="3" t="s">
        <v>110</v>
      </c>
    </row>
    <row r="5">
      <c r="A5" s="6" t="s">
        <v>113</v>
      </c>
      <c r="B5" s="6" t="s">
        <v>116</v>
      </c>
      <c r="C5" s="6" t="s">
        <v>120</v>
      </c>
      <c r="D5" s="6" t="s">
        <v>122</v>
      </c>
      <c r="E5" s="3" t="s">
        <v>47</v>
      </c>
      <c r="F5" s="7">
        <v>40993.0</v>
      </c>
      <c r="G5" s="3" t="s">
        <v>128</v>
      </c>
    </row>
    <row r="6">
      <c r="A6" s="6" t="s">
        <v>130</v>
      </c>
      <c r="B6" s="6" t="s">
        <v>132</v>
      </c>
      <c r="C6" s="6" t="s">
        <v>133</v>
      </c>
      <c r="D6" s="6" t="s">
        <v>135</v>
      </c>
      <c r="E6" s="3" t="s">
        <v>54</v>
      </c>
      <c r="F6" s="7">
        <v>42619.0</v>
      </c>
      <c r="G6" s="3" t="s">
        <v>94</v>
      </c>
    </row>
    <row r="7">
      <c r="A7" s="6" t="s">
        <v>140</v>
      </c>
      <c r="B7" s="6" t="s">
        <v>143</v>
      </c>
      <c r="C7" s="6" t="s">
        <v>144</v>
      </c>
      <c r="D7" s="6" t="s">
        <v>145</v>
      </c>
      <c r="E7" s="3" t="s">
        <v>38</v>
      </c>
      <c r="F7" s="3"/>
      <c r="G7" s="3" t="s">
        <v>152</v>
      </c>
    </row>
    <row r="8">
      <c r="A8" s="6" t="s">
        <v>154</v>
      </c>
      <c r="B8" s="6" t="s">
        <v>157</v>
      </c>
      <c r="C8" s="3"/>
      <c r="D8" s="6" t="s">
        <v>161</v>
      </c>
      <c r="E8" s="3" t="s">
        <v>54</v>
      </c>
      <c r="F8" s="7">
        <v>42467.0</v>
      </c>
      <c r="G8" s="3" t="s">
        <v>152</v>
      </c>
    </row>
    <row r="9">
      <c r="A9" s="6" t="s">
        <v>164</v>
      </c>
      <c r="B9" s="6" t="s">
        <v>166</v>
      </c>
      <c r="C9" s="6" t="s">
        <v>168</v>
      </c>
      <c r="D9" s="6" t="s">
        <v>170</v>
      </c>
      <c r="E9" s="3" t="s">
        <v>54</v>
      </c>
      <c r="F9" s="7">
        <v>45799.0</v>
      </c>
      <c r="G9" s="3" t="s">
        <v>94</v>
      </c>
    </row>
    <row r="10">
      <c r="A10" s="6" t="s">
        <v>176</v>
      </c>
      <c r="B10" s="6" t="s">
        <v>178</v>
      </c>
      <c r="C10" s="6" t="s">
        <v>180</v>
      </c>
      <c r="D10" s="6" t="s">
        <v>182</v>
      </c>
      <c r="E10" s="3" t="s">
        <v>54</v>
      </c>
      <c r="F10" s="7">
        <v>44967.0</v>
      </c>
      <c r="G10" s="3" t="s">
        <v>110</v>
      </c>
    </row>
    <row r="11">
      <c r="A11" s="6" t="s">
        <v>192</v>
      </c>
      <c r="B11" s="6" t="s">
        <v>196</v>
      </c>
      <c r="C11" s="3"/>
      <c r="D11" s="6" t="s">
        <v>199</v>
      </c>
      <c r="E11" s="3" t="s">
        <v>54</v>
      </c>
      <c r="F11" s="7">
        <v>45089.0</v>
      </c>
      <c r="G11" s="3" t="s">
        <v>110</v>
      </c>
    </row>
    <row r="12">
      <c r="A12" s="6" t="s">
        <v>205</v>
      </c>
      <c r="B12" s="6" t="s">
        <v>206</v>
      </c>
      <c r="C12" s="6" t="s">
        <v>207</v>
      </c>
      <c r="D12" s="6" t="s">
        <v>210</v>
      </c>
      <c r="E12" s="3" t="s">
        <v>54</v>
      </c>
      <c r="F12" s="7">
        <v>46001.0</v>
      </c>
      <c r="G12" s="3" t="s">
        <v>78</v>
      </c>
    </row>
    <row r="13">
      <c r="A13" s="6" t="s">
        <v>217</v>
      </c>
      <c r="B13" s="6" t="s">
        <v>219</v>
      </c>
      <c r="C13" s="6" t="s">
        <v>222</v>
      </c>
      <c r="D13" s="6" t="s">
        <v>226</v>
      </c>
      <c r="E13" s="3" t="s">
        <v>54</v>
      </c>
      <c r="F13" s="7">
        <v>41040.0</v>
      </c>
      <c r="G13" s="3" t="s">
        <v>110</v>
      </c>
    </row>
    <row r="14">
      <c r="A14" s="6" t="s">
        <v>232</v>
      </c>
      <c r="B14" s="6" t="s">
        <v>233</v>
      </c>
      <c r="C14" s="6" t="s">
        <v>235</v>
      </c>
      <c r="D14" s="3"/>
      <c r="E14" s="3" t="s">
        <v>54</v>
      </c>
      <c r="F14" s="7">
        <v>43593.0</v>
      </c>
      <c r="G14" s="3" t="s">
        <v>78</v>
      </c>
    </row>
    <row r="15">
      <c r="A15" s="6" t="s">
        <v>241</v>
      </c>
      <c r="B15" s="6" t="s">
        <v>243</v>
      </c>
      <c r="C15" s="6" t="s">
        <v>246</v>
      </c>
      <c r="D15" s="6" t="s">
        <v>249</v>
      </c>
      <c r="E15" s="3" t="s">
        <v>54</v>
      </c>
      <c r="F15" s="7">
        <v>40843.0</v>
      </c>
      <c r="G15" s="3" t="s">
        <v>152</v>
      </c>
    </row>
    <row r="16">
      <c r="A16" s="6" t="s">
        <v>256</v>
      </c>
      <c r="B16" s="6" t="s">
        <v>257</v>
      </c>
      <c r="C16" s="6" t="s">
        <v>260</v>
      </c>
      <c r="D16" s="6" t="s">
        <v>261</v>
      </c>
      <c r="E16" s="3" t="s">
        <v>54</v>
      </c>
      <c r="F16" s="7">
        <v>45443.0</v>
      </c>
      <c r="G16" s="3" t="s">
        <v>78</v>
      </c>
    </row>
    <row r="17">
      <c r="A17" s="6" t="s">
        <v>267</v>
      </c>
      <c r="B17" s="6" t="s">
        <v>269</v>
      </c>
      <c r="C17" s="6" t="s">
        <v>272</v>
      </c>
      <c r="D17" s="3"/>
      <c r="E17" s="3" t="s">
        <v>54</v>
      </c>
      <c r="F17" s="7">
        <v>40682.0</v>
      </c>
      <c r="G17" s="3" t="s">
        <v>94</v>
      </c>
    </row>
    <row r="18">
      <c r="A18" s="6" t="s">
        <v>278</v>
      </c>
      <c r="B18" s="6" t="s">
        <v>281</v>
      </c>
      <c r="C18" s="6" t="s">
        <v>283</v>
      </c>
      <c r="D18" s="3"/>
      <c r="E18" s="3" t="s">
        <v>54</v>
      </c>
      <c r="F18" s="7">
        <v>44956.0</v>
      </c>
      <c r="G18" s="3" t="s">
        <v>78</v>
      </c>
    </row>
    <row r="19">
      <c r="A19" s="6" t="s">
        <v>289</v>
      </c>
      <c r="B19" s="6" t="s">
        <v>291</v>
      </c>
      <c r="C19" s="6" t="s">
        <v>294</v>
      </c>
      <c r="D19" s="6" t="s">
        <v>296</v>
      </c>
      <c r="E19" s="3" t="s">
        <v>54</v>
      </c>
      <c r="F19" s="7">
        <v>41971.0</v>
      </c>
      <c r="G19" s="3" t="s">
        <v>94</v>
      </c>
    </row>
    <row r="20">
      <c r="A20" s="6" t="s">
        <v>302</v>
      </c>
      <c r="B20" s="6" t="s">
        <v>304</v>
      </c>
      <c r="C20" s="6" t="s">
        <v>306</v>
      </c>
      <c r="D20" s="6" t="s">
        <v>307</v>
      </c>
      <c r="E20" s="3" t="s">
        <v>54</v>
      </c>
      <c r="F20" s="7">
        <v>45328.0</v>
      </c>
      <c r="G20" s="3" t="s">
        <v>78</v>
      </c>
    </row>
    <row r="21" ht="15.75" customHeight="1">
      <c r="A21" s="6" t="s">
        <v>313</v>
      </c>
      <c r="B21" s="6" t="s">
        <v>317</v>
      </c>
      <c r="C21" s="6" t="s">
        <v>318</v>
      </c>
      <c r="D21" s="6" t="s">
        <v>319</v>
      </c>
      <c r="E21" s="3" t="s">
        <v>47</v>
      </c>
      <c r="F21" s="7">
        <v>45009.0</v>
      </c>
      <c r="G21" s="3" t="s">
        <v>128</v>
      </c>
    </row>
    <row r="22" ht="15.75" customHeight="1">
      <c r="A22" s="6" t="s">
        <v>326</v>
      </c>
      <c r="B22" s="6" t="s">
        <v>328</v>
      </c>
      <c r="C22" s="6" t="s">
        <v>329</v>
      </c>
      <c r="D22" s="6" t="s">
        <v>330</v>
      </c>
      <c r="E22" s="3" t="s">
        <v>54</v>
      </c>
      <c r="F22" s="7">
        <v>44164.0</v>
      </c>
      <c r="G22" s="3" t="s">
        <v>94</v>
      </c>
    </row>
    <row r="23" ht="15.75" customHeight="1">
      <c r="A23" s="6" t="s">
        <v>336</v>
      </c>
      <c r="B23" s="6" t="s">
        <v>338</v>
      </c>
      <c r="C23" s="6" t="s">
        <v>340</v>
      </c>
      <c r="D23" s="6" t="s">
        <v>343</v>
      </c>
      <c r="E23" s="3" t="s">
        <v>54</v>
      </c>
      <c r="F23" s="7">
        <v>42473.0</v>
      </c>
      <c r="G23" s="3" t="s">
        <v>94</v>
      </c>
    </row>
    <row r="24" ht="15.75" customHeight="1">
      <c r="A24" s="6" t="s">
        <v>348</v>
      </c>
      <c r="B24" s="6" t="s">
        <v>350</v>
      </c>
      <c r="C24" s="6" t="s">
        <v>351</v>
      </c>
      <c r="D24" s="6" t="s">
        <v>353</v>
      </c>
      <c r="E24" s="3" t="s">
        <v>38</v>
      </c>
      <c r="F24" s="3"/>
      <c r="G24" s="3" t="s">
        <v>78</v>
      </c>
    </row>
    <row r="25" ht="15.75" customHeight="1">
      <c r="A25" s="6" t="s">
        <v>359</v>
      </c>
      <c r="B25" s="6" t="s">
        <v>361</v>
      </c>
      <c r="C25" s="6" t="s">
        <v>364</v>
      </c>
      <c r="D25" s="6" t="s">
        <v>367</v>
      </c>
      <c r="E25" s="3" t="s">
        <v>54</v>
      </c>
      <c r="F25" s="7">
        <v>43351.0</v>
      </c>
      <c r="G25" s="3" t="s">
        <v>78</v>
      </c>
    </row>
    <row r="26" ht="15.75" customHeight="1">
      <c r="A26" s="6" t="s">
        <v>371</v>
      </c>
      <c r="B26" s="6" t="s">
        <v>373</v>
      </c>
      <c r="C26" s="6" t="s">
        <v>375</v>
      </c>
      <c r="D26" s="6" t="s">
        <v>376</v>
      </c>
      <c r="E26" s="3" t="s">
        <v>54</v>
      </c>
      <c r="F26" s="7">
        <v>45969.0</v>
      </c>
      <c r="G26" s="3" t="s">
        <v>94</v>
      </c>
    </row>
    <row r="27" ht="15.75" customHeight="1">
      <c r="A27" s="6" t="s">
        <v>382</v>
      </c>
      <c r="B27" s="6" t="s">
        <v>384</v>
      </c>
      <c r="C27" s="6" t="s">
        <v>386</v>
      </c>
      <c r="D27" s="6" t="s">
        <v>389</v>
      </c>
      <c r="E27" s="3" t="s">
        <v>54</v>
      </c>
      <c r="F27" s="7">
        <v>41410.0</v>
      </c>
      <c r="G27" s="3" t="s">
        <v>94</v>
      </c>
    </row>
    <row r="28" ht="15.75" customHeight="1">
      <c r="A28" s="6" t="s">
        <v>395</v>
      </c>
      <c r="B28" s="6" t="s">
        <v>398</v>
      </c>
      <c r="C28" s="6" t="s">
        <v>400</v>
      </c>
      <c r="D28" s="6" t="s">
        <v>402</v>
      </c>
      <c r="E28" s="3" t="s">
        <v>54</v>
      </c>
      <c r="F28" s="7">
        <v>45573.0</v>
      </c>
      <c r="G28" s="3" t="s">
        <v>78</v>
      </c>
    </row>
    <row r="29" ht="15.75" customHeight="1">
      <c r="A29" s="6" t="s">
        <v>406</v>
      </c>
      <c r="B29" s="6" t="s">
        <v>407</v>
      </c>
      <c r="C29" s="6" t="s">
        <v>409</v>
      </c>
      <c r="D29" s="6" t="s">
        <v>410</v>
      </c>
      <c r="E29" s="3" t="s">
        <v>54</v>
      </c>
      <c r="F29" s="7">
        <v>40495.0</v>
      </c>
      <c r="G29" s="3" t="s">
        <v>152</v>
      </c>
    </row>
    <row r="30" ht="15.75" customHeight="1">
      <c r="A30" s="6" t="s">
        <v>417</v>
      </c>
      <c r="B30" s="6" t="s">
        <v>419</v>
      </c>
      <c r="C30" s="6" t="s">
        <v>420</v>
      </c>
      <c r="D30" s="6" t="s">
        <v>421</v>
      </c>
      <c r="E30" s="3" t="s">
        <v>54</v>
      </c>
      <c r="F30" s="7">
        <v>41595.0</v>
      </c>
      <c r="G30" s="3" t="s">
        <v>94</v>
      </c>
    </row>
    <row r="31" ht="15.75" customHeight="1">
      <c r="A31" s="6" t="s">
        <v>425</v>
      </c>
      <c r="B31" s="6" t="s">
        <v>426</v>
      </c>
      <c r="C31" s="6" t="s">
        <v>427</v>
      </c>
      <c r="D31" s="6" t="s">
        <v>429</v>
      </c>
      <c r="E31" s="3" t="s">
        <v>54</v>
      </c>
      <c r="F31" s="7">
        <v>44730.0</v>
      </c>
      <c r="G31" s="3" t="s">
        <v>128</v>
      </c>
    </row>
    <row r="32" ht="15.75" customHeight="1">
      <c r="A32" s="6" t="s">
        <v>434</v>
      </c>
      <c r="B32" s="6" t="s">
        <v>435</v>
      </c>
      <c r="C32" s="6" t="s">
        <v>436</v>
      </c>
      <c r="D32" s="6" t="s">
        <v>437</v>
      </c>
      <c r="E32" s="3" t="s">
        <v>54</v>
      </c>
      <c r="F32" s="7">
        <v>44198.0</v>
      </c>
      <c r="G32" s="3" t="s">
        <v>110</v>
      </c>
    </row>
    <row r="33" ht="15.75" customHeight="1">
      <c r="A33" s="6" t="s">
        <v>439</v>
      </c>
      <c r="B33" s="6" t="s">
        <v>440</v>
      </c>
      <c r="C33" s="6" t="s">
        <v>441</v>
      </c>
      <c r="D33" s="6" t="s">
        <v>443</v>
      </c>
      <c r="E33" s="3" t="s">
        <v>38</v>
      </c>
      <c r="F33" s="3"/>
      <c r="G33" s="3" t="s">
        <v>94</v>
      </c>
    </row>
    <row r="34" ht="15.75" customHeight="1">
      <c r="A34" s="6" t="s">
        <v>447</v>
      </c>
      <c r="B34" s="6" t="s">
        <v>448</v>
      </c>
      <c r="C34" s="3"/>
      <c r="D34" s="6" t="s">
        <v>449</v>
      </c>
      <c r="E34" s="3" t="s">
        <v>54</v>
      </c>
      <c r="F34" s="7">
        <v>40787.0</v>
      </c>
      <c r="G34" s="3" t="s">
        <v>152</v>
      </c>
    </row>
    <row r="35" ht="15.75" customHeight="1">
      <c r="A35" s="6" t="s">
        <v>452</v>
      </c>
      <c r="B35" s="6" t="s">
        <v>453</v>
      </c>
      <c r="C35" s="6" t="s">
        <v>454</v>
      </c>
      <c r="D35" s="6" t="s">
        <v>455</v>
      </c>
      <c r="E35" s="3" t="s">
        <v>47</v>
      </c>
      <c r="F35" s="7">
        <v>44718.0</v>
      </c>
      <c r="G35" s="3" t="s">
        <v>78</v>
      </c>
    </row>
    <row r="36" ht="15.75" customHeight="1">
      <c r="A36" s="6" t="s">
        <v>461</v>
      </c>
      <c r="B36" s="6" t="s">
        <v>463</v>
      </c>
      <c r="C36" s="6" t="s">
        <v>465</v>
      </c>
      <c r="D36" s="6" t="s">
        <v>466</v>
      </c>
      <c r="E36" s="3" t="s">
        <v>54</v>
      </c>
      <c r="F36" s="7">
        <v>45444.0</v>
      </c>
      <c r="G36" s="3" t="s">
        <v>152</v>
      </c>
    </row>
    <row r="37" ht="15.75" customHeight="1">
      <c r="A37" s="6" t="s">
        <v>468</v>
      </c>
      <c r="B37" s="6" t="s">
        <v>470</v>
      </c>
      <c r="C37" s="6" t="s">
        <v>471</v>
      </c>
      <c r="D37" s="3"/>
      <c r="E37" s="3" t="s">
        <v>54</v>
      </c>
      <c r="F37" s="7">
        <v>41980.0</v>
      </c>
      <c r="G37" s="3" t="s">
        <v>128</v>
      </c>
    </row>
    <row r="38" ht="15.75" customHeight="1">
      <c r="A38" s="6" t="s">
        <v>476</v>
      </c>
      <c r="B38" s="6" t="s">
        <v>478</v>
      </c>
      <c r="C38" s="6" t="s">
        <v>479</v>
      </c>
      <c r="D38" s="6" t="s">
        <v>480</v>
      </c>
      <c r="E38" s="3" t="s">
        <v>38</v>
      </c>
      <c r="F38" s="3"/>
      <c r="G38" s="3" t="s">
        <v>110</v>
      </c>
    </row>
    <row r="39" ht="15.75" customHeight="1">
      <c r="A39" s="6" t="s">
        <v>481</v>
      </c>
      <c r="B39" s="6" t="s">
        <v>482</v>
      </c>
      <c r="C39" s="6" t="s">
        <v>484</v>
      </c>
      <c r="D39" s="6" t="s">
        <v>486</v>
      </c>
      <c r="E39" s="3" t="s">
        <v>38</v>
      </c>
      <c r="F39" s="3"/>
      <c r="G39" s="3" t="s">
        <v>152</v>
      </c>
    </row>
    <row r="40" ht="15.75" customHeight="1">
      <c r="A40" s="6" t="s">
        <v>490</v>
      </c>
      <c r="B40" s="6" t="s">
        <v>491</v>
      </c>
      <c r="C40" s="6" t="s">
        <v>493</v>
      </c>
      <c r="D40" s="6" t="s">
        <v>495</v>
      </c>
      <c r="E40" s="3" t="s">
        <v>54</v>
      </c>
      <c r="F40" s="7">
        <v>42627.0</v>
      </c>
      <c r="G40" s="3" t="s">
        <v>78</v>
      </c>
    </row>
    <row r="41" ht="15.75" customHeight="1">
      <c r="A41" s="6" t="s">
        <v>496</v>
      </c>
      <c r="B41" s="6" t="s">
        <v>497</v>
      </c>
      <c r="C41" s="6" t="s">
        <v>498</v>
      </c>
      <c r="D41" s="6" t="s">
        <v>501</v>
      </c>
      <c r="E41" s="3" t="s">
        <v>54</v>
      </c>
      <c r="F41" s="7">
        <v>40195.0</v>
      </c>
      <c r="G41" s="3" t="s">
        <v>152</v>
      </c>
    </row>
    <row r="42" ht="15.75" customHeight="1">
      <c r="A42" s="6" t="s">
        <v>504</v>
      </c>
      <c r="B42" s="6" t="s">
        <v>506</v>
      </c>
      <c r="C42" s="6" t="s">
        <v>507</v>
      </c>
      <c r="D42" s="6" t="s">
        <v>509</v>
      </c>
      <c r="E42" s="3" t="s">
        <v>54</v>
      </c>
      <c r="F42" s="7">
        <v>45230.0</v>
      </c>
      <c r="G42" s="3" t="s">
        <v>78</v>
      </c>
    </row>
    <row r="43" ht="15.75" customHeight="1">
      <c r="A43" s="6" t="s">
        <v>511</v>
      </c>
      <c r="B43" s="6" t="s">
        <v>512</v>
      </c>
      <c r="C43" s="6" t="s">
        <v>513</v>
      </c>
      <c r="D43" s="6" t="s">
        <v>514</v>
      </c>
      <c r="E43" s="3" t="s">
        <v>54</v>
      </c>
      <c r="F43" s="7">
        <v>45031.0</v>
      </c>
      <c r="G43" s="3" t="s">
        <v>152</v>
      </c>
    </row>
    <row r="44" ht="15.75" customHeight="1">
      <c r="A44" s="6" t="s">
        <v>517</v>
      </c>
      <c r="B44" s="6" t="s">
        <v>519</v>
      </c>
      <c r="C44" s="6" t="s">
        <v>521</v>
      </c>
      <c r="D44" s="6" t="s">
        <v>523</v>
      </c>
      <c r="E44" s="3" t="s">
        <v>54</v>
      </c>
      <c r="F44" s="7">
        <v>45542.0</v>
      </c>
      <c r="G44" s="3" t="s">
        <v>128</v>
      </c>
    </row>
    <row r="45" ht="15.75" customHeight="1">
      <c r="A45" s="6" t="s">
        <v>526</v>
      </c>
      <c r="B45" s="6" t="s">
        <v>527</v>
      </c>
      <c r="C45" s="6" t="s">
        <v>528</v>
      </c>
      <c r="D45" s="6" t="s">
        <v>529</v>
      </c>
      <c r="E45" s="3" t="s">
        <v>54</v>
      </c>
      <c r="F45" s="7">
        <v>43550.0</v>
      </c>
      <c r="G45" s="3" t="s">
        <v>152</v>
      </c>
    </row>
    <row r="46" ht="15.75" customHeight="1">
      <c r="A46" s="6" t="s">
        <v>531</v>
      </c>
      <c r="B46" s="6" t="s">
        <v>533</v>
      </c>
      <c r="C46" s="6" t="s">
        <v>534</v>
      </c>
      <c r="D46" s="6" t="s">
        <v>536</v>
      </c>
      <c r="E46" s="3" t="s">
        <v>47</v>
      </c>
      <c r="F46" s="7">
        <v>44640.0</v>
      </c>
      <c r="G46" s="3" t="s">
        <v>152</v>
      </c>
    </row>
    <row r="47" ht="15.75" customHeight="1">
      <c r="A47" s="6" t="s">
        <v>541</v>
      </c>
      <c r="B47" s="6" t="s">
        <v>543</v>
      </c>
      <c r="C47" s="6" t="s">
        <v>545</v>
      </c>
      <c r="D47" s="6" t="s">
        <v>547</v>
      </c>
      <c r="E47" s="3" t="s">
        <v>38</v>
      </c>
      <c r="F47" s="3"/>
      <c r="G47" s="3" t="s">
        <v>94</v>
      </c>
    </row>
    <row r="48" ht="15.75" customHeight="1">
      <c r="A48" s="6" t="s">
        <v>551</v>
      </c>
      <c r="B48" s="6" t="s">
        <v>553</v>
      </c>
      <c r="C48" s="6" t="s">
        <v>554</v>
      </c>
      <c r="D48" s="6" t="s">
        <v>556</v>
      </c>
      <c r="E48" s="3" t="s">
        <v>54</v>
      </c>
      <c r="F48" s="7">
        <v>44775.0</v>
      </c>
      <c r="G48" s="3" t="s">
        <v>94</v>
      </c>
    </row>
    <row r="49" ht="15.75" customHeight="1">
      <c r="A49" s="6" t="s">
        <v>560</v>
      </c>
      <c r="B49" s="6" t="s">
        <v>561</v>
      </c>
      <c r="C49" s="6" t="s">
        <v>563</v>
      </c>
      <c r="D49" s="6" t="s">
        <v>566</v>
      </c>
      <c r="E49" s="3" t="s">
        <v>54</v>
      </c>
      <c r="F49" s="7">
        <v>43675.0</v>
      </c>
      <c r="G49" s="3" t="s">
        <v>78</v>
      </c>
    </row>
    <row r="50" ht="15.75" customHeight="1">
      <c r="A50" s="6" t="s">
        <v>571</v>
      </c>
      <c r="B50" s="6" t="s">
        <v>572</v>
      </c>
      <c r="C50" s="6" t="s">
        <v>574</v>
      </c>
      <c r="D50" s="6" t="s">
        <v>575</v>
      </c>
      <c r="E50" s="3" t="s">
        <v>38</v>
      </c>
      <c r="F50" s="3"/>
      <c r="G50" s="3" t="s">
        <v>94</v>
      </c>
    </row>
    <row r="51" ht="15.75" customHeight="1">
      <c r="A51" s="6" t="s">
        <v>576</v>
      </c>
      <c r="B51" s="6" t="s">
        <v>579</v>
      </c>
      <c r="C51" s="6" t="s">
        <v>580</v>
      </c>
      <c r="D51" s="6" t="s">
        <v>581</v>
      </c>
      <c r="E51" s="3" t="s">
        <v>54</v>
      </c>
      <c r="F51" s="7">
        <v>43338.0</v>
      </c>
      <c r="G51" s="3" t="s">
        <v>110</v>
      </c>
    </row>
    <row r="52" ht="15.75" customHeight="1">
      <c r="A52" s="6" t="s">
        <v>588</v>
      </c>
      <c r="B52" s="6" t="s">
        <v>590</v>
      </c>
      <c r="C52" s="6" t="s">
        <v>591</v>
      </c>
      <c r="D52" s="6" t="s">
        <v>592</v>
      </c>
      <c r="E52" s="3" t="s">
        <v>54</v>
      </c>
      <c r="F52" s="7">
        <v>42282.0</v>
      </c>
      <c r="G52" s="3" t="s">
        <v>128</v>
      </c>
    </row>
    <row r="53" ht="15.75" customHeight="1">
      <c r="A53" s="6" t="s">
        <v>595</v>
      </c>
      <c r="B53" s="6" t="s">
        <v>597</v>
      </c>
      <c r="C53" s="6" t="s">
        <v>600</v>
      </c>
      <c r="D53" s="6" t="s">
        <v>603</v>
      </c>
      <c r="E53" s="3" t="s">
        <v>54</v>
      </c>
      <c r="F53" s="7">
        <v>43888.0</v>
      </c>
      <c r="G53" s="3" t="s">
        <v>110</v>
      </c>
    </row>
    <row r="54" ht="15.75" customHeight="1">
      <c r="A54" s="6" t="s">
        <v>606</v>
      </c>
      <c r="B54" s="6" t="s">
        <v>607</v>
      </c>
      <c r="C54" s="6" t="s">
        <v>608</v>
      </c>
      <c r="D54" s="6" t="s">
        <v>611</v>
      </c>
      <c r="E54" s="3" t="s">
        <v>54</v>
      </c>
      <c r="F54" s="7">
        <v>40253.0</v>
      </c>
      <c r="G54" s="3" t="s">
        <v>110</v>
      </c>
    </row>
    <row r="55" ht="15.75" customHeight="1">
      <c r="A55" s="6" t="s">
        <v>617</v>
      </c>
      <c r="B55" s="6" t="s">
        <v>619</v>
      </c>
      <c r="C55" s="6" t="s">
        <v>621</v>
      </c>
      <c r="D55" s="6" t="s">
        <v>623</v>
      </c>
      <c r="E55" s="3" t="s">
        <v>54</v>
      </c>
      <c r="F55" s="7">
        <v>41782.0</v>
      </c>
      <c r="G55" s="3" t="s">
        <v>94</v>
      </c>
    </row>
    <row r="56" ht="15.75" customHeight="1">
      <c r="A56" s="6" t="s">
        <v>624</v>
      </c>
      <c r="B56" s="6" t="s">
        <v>627</v>
      </c>
      <c r="C56" s="3"/>
      <c r="D56" s="6" t="s">
        <v>630</v>
      </c>
      <c r="E56" s="3" t="s">
        <v>38</v>
      </c>
      <c r="F56" s="3"/>
      <c r="G56" s="3" t="s">
        <v>152</v>
      </c>
    </row>
    <row r="57" ht="15.75" customHeight="1">
      <c r="A57" s="6" t="s">
        <v>634</v>
      </c>
      <c r="B57" s="6" t="s">
        <v>636</v>
      </c>
      <c r="C57" s="6" t="s">
        <v>638</v>
      </c>
      <c r="D57" s="6" t="s">
        <v>639</v>
      </c>
      <c r="E57" s="3" t="s">
        <v>54</v>
      </c>
      <c r="F57" s="7">
        <v>40722.0</v>
      </c>
      <c r="G57" s="3" t="s">
        <v>110</v>
      </c>
    </row>
    <row r="58" ht="15.75" customHeight="1">
      <c r="A58" s="6" t="s">
        <v>641</v>
      </c>
      <c r="B58" s="6" t="s">
        <v>644</v>
      </c>
      <c r="C58" s="6" t="s">
        <v>646</v>
      </c>
      <c r="D58" s="6" t="s">
        <v>647</v>
      </c>
      <c r="E58" s="3" t="s">
        <v>38</v>
      </c>
      <c r="F58" s="3"/>
      <c r="G58" s="3" t="s">
        <v>152</v>
      </c>
    </row>
    <row r="59" ht="15.75" customHeight="1">
      <c r="A59" s="6" t="s">
        <v>650</v>
      </c>
      <c r="B59" s="6" t="s">
        <v>653</v>
      </c>
      <c r="C59" s="6" t="s">
        <v>654</v>
      </c>
      <c r="D59" s="6" t="s">
        <v>656</v>
      </c>
      <c r="E59" s="3" t="s">
        <v>54</v>
      </c>
      <c r="F59" s="7">
        <v>40331.0</v>
      </c>
      <c r="G59" s="3" t="s">
        <v>152</v>
      </c>
    </row>
    <row r="60" ht="15.75" customHeight="1">
      <c r="A60" s="6" t="s">
        <v>659</v>
      </c>
      <c r="B60" s="6" t="s">
        <v>660</v>
      </c>
      <c r="C60" s="6" t="s">
        <v>661</v>
      </c>
      <c r="D60" s="6" t="s">
        <v>663</v>
      </c>
      <c r="E60" s="3" t="s">
        <v>54</v>
      </c>
      <c r="F60" s="7">
        <v>44252.0</v>
      </c>
      <c r="G60" s="3" t="s">
        <v>152</v>
      </c>
    </row>
    <row r="61" ht="15.75" customHeight="1">
      <c r="A61" s="6" t="s">
        <v>670</v>
      </c>
      <c r="B61" s="6" t="s">
        <v>671</v>
      </c>
      <c r="C61" s="6" t="s">
        <v>672</v>
      </c>
      <c r="D61" s="6" t="s">
        <v>673</v>
      </c>
      <c r="E61" s="3" t="s">
        <v>54</v>
      </c>
      <c r="F61" s="7">
        <v>44578.0</v>
      </c>
      <c r="G61" s="3" t="s">
        <v>128</v>
      </c>
    </row>
    <row r="62" ht="15.75" customHeight="1">
      <c r="A62" s="6" t="s">
        <v>675</v>
      </c>
      <c r="B62" s="6" t="s">
        <v>678</v>
      </c>
      <c r="C62" s="6" t="s">
        <v>679</v>
      </c>
      <c r="D62" s="6" t="s">
        <v>680</v>
      </c>
      <c r="E62" s="3" t="s">
        <v>38</v>
      </c>
      <c r="F62" s="3"/>
      <c r="G62" s="3" t="s">
        <v>94</v>
      </c>
    </row>
    <row r="63" ht="15.75" customHeight="1">
      <c r="A63" s="6" t="s">
        <v>684</v>
      </c>
      <c r="B63" s="6" t="s">
        <v>685</v>
      </c>
      <c r="C63" s="6" t="s">
        <v>686</v>
      </c>
      <c r="D63" s="6" t="s">
        <v>688</v>
      </c>
      <c r="E63" s="3" t="s">
        <v>54</v>
      </c>
      <c r="F63" s="7">
        <v>45964.0</v>
      </c>
      <c r="G63" s="3" t="s">
        <v>78</v>
      </c>
    </row>
    <row r="64" ht="15.75" customHeight="1">
      <c r="A64" s="6" t="s">
        <v>690</v>
      </c>
      <c r="B64" s="6" t="s">
        <v>691</v>
      </c>
      <c r="C64" s="6" t="s">
        <v>692</v>
      </c>
      <c r="D64" s="6" t="s">
        <v>693</v>
      </c>
      <c r="E64" s="3" t="s">
        <v>54</v>
      </c>
      <c r="F64" s="7">
        <v>40507.0</v>
      </c>
      <c r="G64" s="3" t="s">
        <v>152</v>
      </c>
    </row>
    <row r="65" ht="15.75" customHeight="1">
      <c r="A65" s="6" t="s">
        <v>695</v>
      </c>
      <c r="B65" s="6" t="s">
        <v>573</v>
      </c>
      <c r="C65" s="6" t="s">
        <v>696</v>
      </c>
      <c r="D65" s="6" t="s">
        <v>699</v>
      </c>
      <c r="E65" s="3" t="s">
        <v>54</v>
      </c>
      <c r="F65" s="7">
        <v>41253.0</v>
      </c>
      <c r="G65" s="3" t="s">
        <v>128</v>
      </c>
    </row>
    <row r="66" ht="15.75" customHeight="1">
      <c r="A66" s="6" t="s">
        <v>705</v>
      </c>
      <c r="B66" s="6" t="s">
        <v>706</v>
      </c>
      <c r="C66" s="6" t="s">
        <v>707</v>
      </c>
      <c r="D66" s="6" t="s">
        <v>708</v>
      </c>
      <c r="E66" s="3" t="s">
        <v>54</v>
      </c>
      <c r="F66" s="7">
        <v>41649.0</v>
      </c>
      <c r="G66" s="3" t="s">
        <v>110</v>
      </c>
    </row>
    <row r="67" ht="15.75" customHeight="1">
      <c r="A67" s="6" t="s">
        <v>709</v>
      </c>
      <c r="B67" s="6" t="s">
        <v>711</v>
      </c>
      <c r="C67" s="6" t="s">
        <v>713</v>
      </c>
      <c r="D67" s="6" t="s">
        <v>714</v>
      </c>
      <c r="E67" s="3" t="s">
        <v>38</v>
      </c>
      <c r="F67" s="3"/>
      <c r="G67" s="3" t="s">
        <v>78</v>
      </c>
    </row>
    <row r="68" ht="15.75" customHeight="1">
      <c r="A68" s="6" t="s">
        <v>720</v>
      </c>
      <c r="B68" s="6" t="s">
        <v>721</v>
      </c>
      <c r="C68" s="6" t="s">
        <v>723</v>
      </c>
      <c r="D68" s="6" t="s">
        <v>724</v>
      </c>
      <c r="E68" s="3" t="s">
        <v>54</v>
      </c>
      <c r="F68" s="7">
        <v>45885.0</v>
      </c>
      <c r="G68" s="3" t="s">
        <v>110</v>
      </c>
    </row>
    <row r="69" ht="15.75" customHeight="1">
      <c r="A69" s="6" t="s">
        <v>725</v>
      </c>
      <c r="B69" s="6" t="s">
        <v>726</v>
      </c>
      <c r="C69" s="6" t="s">
        <v>727</v>
      </c>
      <c r="D69" s="6" t="s">
        <v>730</v>
      </c>
      <c r="E69" s="3" t="s">
        <v>54</v>
      </c>
      <c r="F69" s="7">
        <v>45904.0</v>
      </c>
      <c r="G69" s="3" t="s">
        <v>152</v>
      </c>
    </row>
    <row r="70" ht="15.75" customHeight="1">
      <c r="A70" s="6" t="s">
        <v>736</v>
      </c>
      <c r="B70" s="6" t="s">
        <v>739</v>
      </c>
      <c r="C70" s="6" t="s">
        <v>741</v>
      </c>
      <c r="D70" s="6" t="s">
        <v>744</v>
      </c>
      <c r="E70" s="3" t="s">
        <v>54</v>
      </c>
      <c r="F70" s="7">
        <v>43531.0</v>
      </c>
      <c r="G70" s="3" t="s">
        <v>78</v>
      </c>
    </row>
    <row r="71" ht="15.75" customHeight="1">
      <c r="A71" s="6" t="s">
        <v>751</v>
      </c>
      <c r="B71" s="6" t="s">
        <v>753</v>
      </c>
      <c r="C71" s="6" t="s">
        <v>754</v>
      </c>
      <c r="D71" s="6" t="s">
        <v>755</v>
      </c>
      <c r="E71" s="3" t="s">
        <v>54</v>
      </c>
      <c r="F71" s="7">
        <v>44257.0</v>
      </c>
      <c r="G71" s="3" t="s">
        <v>110</v>
      </c>
    </row>
    <row r="72" ht="15.75" customHeight="1">
      <c r="A72" s="6" t="s">
        <v>757</v>
      </c>
      <c r="B72" s="6" t="s">
        <v>760</v>
      </c>
      <c r="C72" s="6" t="s">
        <v>762</v>
      </c>
      <c r="D72" s="6" t="s">
        <v>763</v>
      </c>
      <c r="E72" s="3" t="s">
        <v>38</v>
      </c>
      <c r="F72" s="3"/>
      <c r="G72" s="3" t="s">
        <v>152</v>
      </c>
    </row>
    <row r="73" ht="15.75" customHeight="1">
      <c r="A73" s="6" t="s">
        <v>766</v>
      </c>
      <c r="B73" s="6" t="s">
        <v>767</v>
      </c>
      <c r="C73" s="3"/>
      <c r="D73" s="6" t="s">
        <v>770</v>
      </c>
      <c r="E73" s="3" t="s">
        <v>38</v>
      </c>
      <c r="F73" s="3"/>
      <c r="G73" s="3" t="s">
        <v>94</v>
      </c>
    </row>
    <row r="74" ht="15.75" customHeight="1">
      <c r="A74" s="6" t="s">
        <v>784</v>
      </c>
      <c r="B74" s="6" t="s">
        <v>788</v>
      </c>
      <c r="C74" s="6" t="s">
        <v>791</v>
      </c>
      <c r="D74" s="6" t="s">
        <v>793</v>
      </c>
      <c r="E74" s="3" t="s">
        <v>54</v>
      </c>
      <c r="F74" s="7">
        <v>44855.0</v>
      </c>
      <c r="G74" s="3" t="s">
        <v>94</v>
      </c>
    </row>
    <row r="75" ht="15.75" customHeight="1">
      <c r="A75" s="6" t="s">
        <v>799</v>
      </c>
      <c r="B75" s="6" t="s">
        <v>380</v>
      </c>
      <c r="C75" s="6" t="s">
        <v>392</v>
      </c>
      <c r="D75" s="6" t="s">
        <v>394</v>
      </c>
      <c r="E75" s="3" t="s">
        <v>47</v>
      </c>
      <c r="F75" s="7">
        <v>45696.0</v>
      </c>
      <c r="G75" s="3" t="s">
        <v>110</v>
      </c>
    </row>
    <row r="76" ht="15.75" customHeight="1">
      <c r="A76" s="6" t="s">
        <v>807</v>
      </c>
      <c r="B76" s="6" t="s">
        <v>810</v>
      </c>
      <c r="C76" s="3"/>
      <c r="D76" s="6" t="s">
        <v>812</v>
      </c>
      <c r="E76" s="3" t="s">
        <v>54</v>
      </c>
      <c r="F76" s="7">
        <v>44913.0</v>
      </c>
      <c r="G76" s="3" t="s">
        <v>94</v>
      </c>
    </row>
    <row r="77" ht="15.75" customHeight="1">
      <c r="A77" s="6" t="s">
        <v>817</v>
      </c>
      <c r="B77" s="6" t="s">
        <v>819</v>
      </c>
      <c r="C77" s="6" t="s">
        <v>821</v>
      </c>
      <c r="D77" s="6" t="s">
        <v>824</v>
      </c>
      <c r="E77" s="3" t="s">
        <v>54</v>
      </c>
      <c r="F77" s="7">
        <v>45084.0</v>
      </c>
      <c r="G77" s="3" t="s">
        <v>78</v>
      </c>
    </row>
    <row r="78" ht="15.75" customHeight="1">
      <c r="A78" s="6" t="s">
        <v>827</v>
      </c>
      <c r="B78" s="6" t="s">
        <v>829</v>
      </c>
      <c r="C78" s="6" t="s">
        <v>832</v>
      </c>
      <c r="D78" s="6" t="s">
        <v>834</v>
      </c>
      <c r="E78" s="3" t="s">
        <v>54</v>
      </c>
      <c r="F78" s="7">
        <v>42266.0</v>
      </c>
      <c r="G78" s="3" t="s">
        <v>152</v>
      </c>
    </row>
    <row r="79" ht="15.75" customHeight="1">
      <c r="A79" s="6" t="s">
        <v>840</v>
      </c>
      <c r="B79" s="6" t="s">
        <v>843</v>
      </c>
      <c r="C79" s="6" t="s">
        <v>844</v>
      </c>
      <c r="D79" s="6" t="s">
        <v>845</v>
      </c>
      <c r="E79" s="3" t="s">
        <v>54</v>
      </c>
      <c r="F79" s="7">
        <v>43819.0</v>
      </c>
      <c r="G79" s="3" t="s">
        <v>94</v>
      </c>
    </row>
    <row r="80" ht="15.75" customHeight="1">
      <c r="A80" s="6" t="s">
        <v>850</v>
      </c>
      <c r="B80" s="6" t="s">
        <v>851</v>
      </c>
      <c r="C80" s="6" t="s">
        <v>852</v>
      </c>
      <c r="D80" s="6" t="s">
        <v>853</v>
      </c>
      <c r="E80" s="3" t="s">
        <v>54</v>
      </c>
      <c r="F80" s="7">
        <v>42760.0</v>
      </c>
      <c r="G80" s="3" t="s">
        <v>152</v>
      </c>
    </row>
    <row r="81" ht="15.75" customHeight="1">
      <c r="A81" s="6" t="s">
        <v>860</v>
      </c>
      <c r="B81" s="6" t="s">
        <v>863</v>
      </c>
      <c r="C81" s="6" t="s">
        <v>865</v>
      </c>
      <c r="D81" s="6" t="s">
        <v>866</v>
      </c>
      <c r="E81" s="3" t="s">
        <v>47</v>
      </c>
      <c r="F81" s="7">
        <v>40631.0</v>
      </c>
      <c r="G81" s="3" t="s">
        <v>128</v>
      </c>
    </row>
    <row r="82" ht="15.75" customHeight="1">
      <c r="A82" s="6" t="s">
        <v>869</v>
      </c>
      <c r="B82" s="6" t="s">
        <v>871</v>
      </c>
      <c r="C82" s="6" t="s">
        <v>873</v>
      </c>
      <c r="D82" s="6" t="s">
        <v>874</v>
      </c>
      <c r="E82" s="3" t="s">
        <v>54</v>
      </c>
      <c r="F82" s="7">
        <v>42816.0</v>
      </c>
      <c r="G82" s="3" t="s">
        <v>78</v>
      </c>
    </row>
    <row r="83" ht="15.75" customHeight="1">
      <c r="A83" s="6" t="s">
        <v>884</v>
      </c>
      <c r="B83" s="6" t="s">
        <v>885</v>
      </c>
      <c r="C83" s="6" t="s">
        <v>887</v>
      </c>
      <c r="D83" s="6" t="s">
        <v>889</v>
      </c>
      <c r="E83" s="3" t="s">
        <v>54</v>
      </c>
      <c r="F83" s="7">
        <v>45260.0</v>
      </c>
      <c r="G83" s="3" t="s">
        <v>78</v>
      </c>
    </row>
    <row r="84" ht="15.75" customHeight="1">
      <c r="A84" s="6" t="s">
        <v>894</v>
      </c>
      <c r="B84" s="6" t="s">
        <v>897</v>
      </c>
      <c r="C84" s="6" t="s">
        <v>901</v>
      </c>
      <c r="D84" s="6" t="s">
        <v>902</v>
      </c>
      <c r="E84" s="3" t="s">
        <v>54</v>
      </c>
      <c r="F84" s="7">
        <v>43360.0</v>
      </c>
      <c r="G84" s="3" t="s">
        <v>94</v>
      </c>
    </row>
    <row r="85" ht="15.75" customHeight="1">
      <c r="A85" s="6" t="s">
        <v>904</v>
      </c>
      <c r="B85" s="6" t="s">
        <v>906</v>
      </c>
      <c r="C85" s="6" t="s">
        <v>908</v>
      </c>
      <c r="D85" s="6" t="s">
        <v>911</v>
      </c>
      <c r="E85" s="3" t="s">
        <v>54</v>
      </c>
      <c r="F85" s="7">
        <v>43620.0</v>
      </c>
      <c r="G85" s="3" t="s">
        <v>152</v>
      </c>
    </row>
    <row r="86" ht="15.75" customHeight="1">
      <c r="A86" s="6" t="s">
        <v>917</v>
      </c>
      <c r="B86" s="6" t="s">
        <v>918</v>
      </c>
      <c r="C86" s="6" t="s">
        <v>919</v>
      </c>
      <c r="D86" s="6" t="s">
        <v>920</v>
      </c>
      <c r="E86" s="3" t="s">
        <v>38</v>
      </c>
      <c r="F86" s="3"/>
      <c r="G86" s="3" t="s">
        <v>78</v>
      </c>
    </row>
    <row r="87" ht="15.75" customHeight="1">
      <c r="A87" s="6" t="s">
        <v>926</v>
      </c>
      <c r="B87" s="6" t="s">
        <v>928</v>
      </c>
      <c r="C87" s="6" t="s">
        <v>929</v>
      </c>
      <c r="D87" s="6" t="s">
        <v>933</v>
      </c>
      <c r="E87" s="3" t="s">
        <v>54</v>
      </c>
      <c r="F87" s="7">
        <v>45128.0</v>
      </c>
      <c r="G87" s="3" t="s">
        <v>78</v>
      </c>
    </row>
    <row r="88" ht="15.75" customHeight="1">
      <c r="A88" s="6" t="s">
        <v>939</v>
      </c>
      <c r="B88" s="6" t="s">
        <v>941</v>
      </c>
      <c r="C88" s="6" t="s">
        <v>943</v>
      </c>
      <c r="D88" s="6" t="s">
        <v>945</v>
      </c>
      <c r="E88" s="3" t="s">
        <v>54</v>
      </c>
      <c r="F88" s="7">
        <v>40535.0</v>
      </c>
      <c r="G88" s="3" t="s">
        <v>94</v>
      </c>
    </row>
    <row r="89" ht="15.75" customHeight="1">
      <c r="A89" s="6" t="s">
        <v>948</v>
      </c>
      <c r="B89" s="6" t="s">
        <v>949</v>
      </c>
      <c r="C89" s="6" t="s">
        <v>951</v>
      </c>
      <c r="D89" s="6" t="s">
        <v>954</v>
      </c>
      <c r="E89" s="3" t="s">
        <v>38</v>
      </c>
      <c r="F89" s="3"/>
      <c r="G89" s="3" t="s">
        <v>128</v>
      </c>
    </row>
    <row r="90" ht="15.75" customHeight="1">
      <c r="A90" s="6" t="s">
        <v>960</v>
      </c>
      <c r="B90" s="6" t="s">
        <v>962</v>
      </c>
      <c r="C90" s="6" t="s">
        <v>965</v>
      </c>
      <c r="D90" s="6" t="s">
        <v>966</v>
      </c>
      <c r="E90" s="3" t="s">
        <v>54</v>
      </c>
      <c r="F90" s="7">
        <v>40555.0</v>
      </c>
      <c r="G90" s="3" t="s">
        <v>128</v>
      </c>
    </row>
    <row r="91" ht="15.75" customHeight="1">
      <c r="A91" s="6" t="s">
        <v>967</v>
      </c>
      <c r="B91" s="6" t="s">
        <v>968</v>
      </c>
      <c r="C91" s="6" t="s">
        <v>970</v>
      </c>
      <c r="D91" s="6" t="s">
        <v>973</v>
      </c>
      <c r="E91" s="3" t="s">
        <v>38</v>
      </c>
      <c r="F91" s="3"/>
      <c r="G91" s="3" t="s">
        <v>152</v>
      </c>
    </row>
    <row r="92" ht="15.75" customHeight="1">
      <c r="A92" s="6" t="s">
        <v>979</v>
      </c>
      <c r="B92" s="6" t="s">
        <v>981</v>
      </c>
      <c r="C92" s="6" t="s">
        <v>982</v>
      </c>
      <c r="D92" s="6" t="s">
        <v>985</v>
      </c>
      <c r="E92" s="3" t="s">
        <v>54</v>
      </c>
      <c r="F92" s="7">
        <v>43556.0</v>
      </c>
      <c r="G92" s="3" t="s">
        <v>128</v>
      </c>
    </row>
    <row r="93" ht="15.75" customHeight="1">
      <c r="A93" s="6" t="s">
        <v>988</v>
      </c>
      <c r="B93" s="6" t="s">
        <v>989</v>
      </c>
      <c r="C93" s="6" t="s">
        <v>992</v>
      </c>
      <c r="D93" s="6" t="s">
        <v>995</v>
      </c>
      <c r="E93" s="3" t="s">
        <v>54</v>
      </c>
      <c r="F93" s="7">
        <v>41490.0</v>
      </c>
      <c r="G93" s="3" t="s">
        <v>128</v>
      </c>
    </row>
    <row r="94" ht="15.75" customHeight="1">
      <c r="A94" s="6" t="s">
        <v>998</v>
      </c>
      <c r="B94" s="6" t="s">
        <v>1000</v>
      </c>
      <c r="C94" s="6" t="s">
        <v>1003</v>
      </c>
      <c r="D94" s="6" t="s">
        <v>1007</v>
      </c>
      <c r="E94" s="3" t="s">
        <v>54</v>
      </c>
      <c r="F94" s="7">
        <v>42285.0</v>
      </c>
      <c r="G94" s="3" t="s">
        <v>110</v>
      </c>
    </row>
    <row r="95" ht="15.75" customHeight="1">
      <c r="A95" s="6" t="s">
        <v>1010</v>
      </c>
      <c r="B95" s="6" t="s">
        <v>1011</v>
      </c>
      <c r="C95" s="6" t="s">
        <v>1013</v>
      </c>
      <c r="D95" s="6" t="s">
        <v>1016</v>
      </c>
      <c r="E95" s="3" t="s">
        <v>54</v>
      </c>
      <c r="F95" s="7">
        <v>41958.0</v>
      </c>
      <c r="G95" s="3" t="s">
        <v>94</v>
      </c>
    </row>
    <row r="96" ht="15.75" customHeight="1">
      <c r="A96" s="6" t="s">
        <v>1019</v>
      </c>
      <c r="B96" s="6" t="s">
        <v>1020</v>
      </c>
      <c r="C96" s="6" t="s">
        <v>1023</v>
      </c>
      <c r="D96" s="3"/>
      <c r="E96" s="3" t="s">
        <v>54</v>
      </c>
      <c r="F96" s="7">
        <v>42994.0</v>
      </c>
      <c r="G96" s="3" t="s">
        <v>94</v>
      </c>
    </row>
    <row r="97" ht="15.75" customHeight="1">
      <c r="A97" s="6" t="s">
        <v>1029</v>
      </c>
      <c r="B97" s="6" t="s">
        <v>1031</v>
      </c>
      <c r="C97" s="6" t="s">
        <v>1033</v>
      </c>
      <c r="D97" s="6" t="s">
        <v>1035</v>
      </c>
      <c r="E97" s="3" t="s">
        <v>54</v>
      </c>
      <c r="F97" s="7">
        <v>45114.0</v>
      </c>
      <c r="G97" s="3" t="s">
        <v>128</v>
      </c>
    </row>
    <row r="98" ht="15.75" customHeight="1">
      <c r="A98" s="6" t="s">
        <v>1038</v>
      </c>
      <c r="B98" s="6" t="s">
        <v>1039</v>
      </c>
      <c r="C98" s="6" t="s">
        <v>1041</v>
      </c>
      <c r="D98" s="6" t="s">
        <v>1044</v>
      </c>
      <c r="E98" s="3" t="s">
        <v>54</v>
      </c>
      <c r="F98" s="7">
        <v>42308.0</v>
      </c>
      <c r="G98" s="3" t="s">
        <v>78</v>
      </c>
    </row>
    <row r="99" ht="15.75" customHeight="1">
      <c r="A99" s="6" t="s">
        <v>1048</v>
      </c>
      <c r="B99" s="6" t="s">
        <v>1051</v>
      </c>
      <c r="C99" s="6" t="s">
        <v>1054</v>
      </c>
      <c r="D99" s="6" t="s">
        <v>1055</v>
      </c>
      <c r="E99" s="3" t="s">
        <v>54</v>
      </c>
      <c r="F99" s="7">
        <v>45304.0</v>
      </c>
      <c r="G99" s="3" t="s">
        <v>94</v>
      </c>
    </row>
    <row r="100" ht="15.75" customHeight="1">
      <c r="A100" s="6" t="s">
        <v>1060</v>
      </c>
      <c r="B100" s="6" t="s">
        <v>1063</v>
      </c>
      <c r="C100" s="6" t="s">
        <v>1066</v>
      </c>
      <c r="D100" s="6" t="s">
        <v>1067</v>
      </c>
      <c r="E100" s="3" t="s">
        <v>54</v>
      </c>
      <c r="F100" s="7">
        <v>40368.0</v>
      </c>
      <c r="G100" s="3" t="s">
        <v>110</v>
      </c>
    </row>
    <row r="101" ht="15.75" customHeight="1">
      <c r="A101" s="6" t="s">
        <v>1073</v>
      </c>
      <c r="B101" s="6" t="s">
        <v>839</v>
      </c>
      <c r="C101" s="6" t="s">
        <v>1075</v>
      </c>
      <c r="D101" s="6" t="s">
        <v>1079</v>
      </c>
      <c r="E101" s="3" t="s">
        <v>54</v>
      </c>
      <c r="F101" s="7">
        <v>45476.0</v>
      </c>
      <c r="G101" s="3" t="s">
        <v>152</v>
      </c>
    </row>
    <row r="102" ht="15.75" customHeight="1">
      <c r="A102" s="6" t="s">
        <v>1086</v>
      </c>
      <c r="B102" s="6" t="s">
        <v>1087</v>
      </c>
      <c r="C102" s="6" t="s">
        <v>1088</v>
      </c>
      <c r="D102" s="6" t="s">
        <v>1090</v>
      </c>
      <c r="E102" s="3" t="s">
        <v>54</v>
      </c>
      <c r="F102" s="7">
        <v>40832.0</v>
      </c>
      <c r="G102" s="3" t="s">
        <v>152</v>
      </c>
    </row>
    <row r="103" ht="15.75" customHeight="1">
      <c r="A103" s="6" t="s">
        <v>1093</v>
      </c>
      <c r="B103" s="6" t="s">
        <v>1098</v>
      </c>
      <c r="C103" s="6" t="s">
        <v>1102</v>
      </c>
      <c r="D103" s="6" t="s">
        <v>1105</v>
      </c>
      <c r="E103" s="3" t="s">
        <v>38</v>
      </c>
      <c r="F103" s="3"/>
      <c r="G103" s="3" t="s">
        <v>110</v>
      </c>
    </row>
    <row r="104" ht="15.75" customHeight="1">
      <c r="A104" s="6" t="s">
        <v>1111</v>
      </c>
      <c r="B104" s="6" t="s">
        <v>1113</v>
      </c>
      <c r="C104" s="6" t="s">
        <v>1114</v>
      </c>
      <c r="D104" s="6" t="s">
        <v>1116</v>
      </c>
      <c r="E104" s="3" t="s">
        <v>54</v>
      </c>
      <c r="F104" s="7">
        <v>41483.0</v>
      </c>
      <c r="G104" s="3" t="s">
        <v>110</v>
      </c>
    </row>
    <row r="105" ht="15.75" customHeight="1">
      <c r="A105" s="6" t="s">
        <v>1120</v>
      </c>
      <c r="B105" s="6" t="s">
        <v>1121</v>
      </c>
      <c r="C105" s="6" t="s">
        <v>1123</v>
      </c>
      <c r="D105" s="6" t="s">
        <v>1126</v>
      </c>
      <c r="E105" s="3" t="s">
        <v>54</v>
      </c>
      <c r="F105" s="7">
        <v>43369.0</v>
      </c>
      <c r="G105" s="3" t="s">
        <v>78</v>
      </c>
    </row>
    <row r="106" ht="15.75" customHeight="1">
      <c r="A106" s="6" t="s">
        <v>1133</v>
      </c>
      <c r="B106" s="6" t="s">
        <v>1135</v>
      </c>
      <c r="C106" s="6" t="s">
        <v>1137</v>
      </c>
      <c r="D106" s="6" t="s">
        <v>1138</v>
      </c>
      <c r="E106" s="3" t="s">
        <v>54</v>
      </c>
      <c r="F106" s="7">
        <v>44770.0</v>
      </c>
      <c r="G106" s="3" t="s">
        <v>78</v>
      </c>
    </row>
    <row r="107" ht="15.75" customHeight="1">
      <c r="A107" s="6" t="s">
        <v>1142</v>
      </c>
      <c r="B107" s="6" t="s">
        <v>1144</v>
      </c>
      <c r="C107" s="6" t="s">
        <v>1146</v>
      </c>
      <c r="D107" s="6" t="s">
        <v>1148</v>
      </c>
      <c r="E107" s="3" t="s">
        <v>54</v>
      </c>
      <c r="F107" s="7">
        <v>45110.0</v>
      </c>
      <c r="G107" s="3" t="s">
        <v>128</v>
      </c>
    </row>
    <row r="108" ht="15.75" customHeight="1">
      <c r="A108" s="6" t="s">
        <v>1153</v>
      </c>
      <c r="B108" s="6" t="s">
        <v>1156</v>
      </c>
      <c r="C108" s="6" t="s">
        <v>1157</v>
      </c>
      <c r="D108" s="3"/>
      <c r="E108" s="3" t="s">
        <v>38</v>
      </c>
      <c r="F108" s="3"/>
      <c r="G108" s="3" t="s">
        <v>94</v>
      </c>
    </row>
    <row r="109" ht="15.75" customHeight="1">
      <c r="A109" s="6" t="s">
        <v>1160</v>
      </c>
      <c r="B109" s="6" t="s">
        <v>1161</v>
      </c>
      <c r="C109" s="6" t="s">
        <v>1162</v>
      </c>
      <c r="D109" s="6" t="s">
        <v>1165</v>
      </c>
      <c r="E109" s="3" t="s">
        <v>54</v>
      </c>
      <c r="F109" s="7">
        <v>44367.0</v>
      </c>
      <c r="G109" s="3" t="s">
        <v>78</v>
      </c>
    </row>
    <row r="110" ht="15.75" customHeight="1">
      <c r="A110" s="6" t="s">
        <v>1170</v>
      </c>
      <c r="B110" s="6" t="s">
        <v>1172</v>
      </c>
      <c r="C110" s="6" t="s">
        <v>1173</v>
      </c>
      <c r="D110" s="6" t="s">
        <v>1174</v>
      </c>
      <c r="E110" s="3" t="s">
        <v>54</v>
      </c>
      <c r="F110" s="7">
        <v>44201.0</v>
      </c>
      <c r="G110" s="3" t="s">
        <v>128</v>
      </c>
    </row>
    <row r="111" ht="15.75" customHeight="1">
      <c r="A111" s="6" t="s">
        <v>1179</v>
      </c>
      <c r="B111" s="6" t="s">
        <v>969</v>
      </c>
      <c r="C111" s="6" t="s">
        <v>983</v>
      </c>
      <c r="D111" s="6" t="s">
        <v>987</v>
      </c>
      <c r="E111" s="3" t="s">
        <v>47</v>
      </c>
      <c r="F111" s="7">
        <v>45615.0</v>
      </c>
      <c r="G111" s="3" t="s">
        <v>128</v>
      </c>
    </row>
    <row r="112" ht="15.75" customHeight="1">
      <c r="A112" s="6" t="s">
        <v>1187</v>
      </c>
      <c r="B112" s="6" t="s">
        <v>1190</v>
      </c>
      <c r="C112" s="6" t="s">
        <v>1191</v>
      </c>
      <c r="D112" s="6" t="s">
        <v>1192</v>
      </c>
      <c r="E112" s="3" t="s">
        <v>54</v>
      </c>
      <c r="F112" s="7">
        <v>41788.0</v>
      </c>
      <c r="G112" s="3" t="s">
        <v>78</v>
      </c>
    </row>
    <row r="113" ht="15.75" customHeight="1">
      <c r="A113" s="6" t="s">
        <v>1198</v>
      </c>
      <c r="B113" s="6" t="s">
        <v>1199</v>
      </c>
      <c r="C113" s="6" t="s">
        <v>1200</v>
      </c>
      <c r="D113" s="6" t="s">
        <v>1201</v>
      </c>
      <c r="E113" s="3" t="s">
        <v>54</v>
      </c>
      <c r="F113" s="7">
        <v>42115.0</v>
      </c>
      <c r="G113" s="3" t="s">
        <v>152</v>
      </c>
    </row>
    <row r="114" ht="15.75" customHeight="1">
      <c r="A114" s="6" t="s">
        <v>1205</v>
      </c>
      <c r="B114" s="6" t="s">
        <v>1207</v>
      </c>
      <c r="C114" s="6" t="s">
        <v>1209</v>
      </c>
      <c r="D114" s="6" t="s">
        <v>1210</v>
      </c>
      <c r="E114" s="3" t="s">
        <v>54</v>
      </c>
      <c r="F114" s="7">
        <v>43178.0</v>
      </c>
      <c r="G114" s="3" t="s">
        <v>152</v>
      </c>
    </row>
    <row r="115" ht="15.75" customHeight="1">
      <c r="A115" s="6" t="s">
        <v>1216</v>
      </c>
      <c r="B115" s="6" t="s">
        <v>1217</v>
      </c>
      <c r="C115" s="6" t="s">
        <v>1218</v>
      </c>
      <c r="D115" s="6" t="s">
        <v>1219</v>
      </c>
      <c r="E115" s="3" t="s">
        <v>54</v>
      </c>
      <c r="F115" s="7">
        <v>43888.0</v>
      </c>
      <c r="G115" s="3" t="s">
        <v>152</v>
      </c>
    </row>
    <row r="116" ht="15.75" customHeight="1">
      <c r="A116" s="6" t="s">
        <v>1223</v>
      </c>
      <c r="B116" s="6" t="s">
        <v>1224</v>
      </c>
      <c r="C116" s="6" t="s">
        <v>1226</v>
      </c>
      <c r="D116" s="3"/>
      <c r="E116" s="3" t="s">
        <v>54</v>
      </c>
      <c r="F116" s="7">
        <v>40353.0</v>
      </c>
      <c r="G116" s="3" t="s">
        <v>152</v>
      </c>
    </row>
    <row r="117" ht="15.75" customHeight="1">
      <c r="A117" s="6" t="s">
        <v>1231</v>
      </c>
      <c r="B117" s="6" t="s">
        <v>1233</v>
      </c>
      <c r="C117" s="6" t="s">
        <v>1237</v>
      </c>
      <c r="D117" s="6" t="s">
        <v>1239</v>
      </c>
      <c r="E117" s="3" t="s">
        <v>54</v>
      </c>
      <c r="F117" s="7">
        <v>44661.0</v>
      </c>
      <c r="G117" s="3" t="s">
        <v>152</v>
      </c>
    </row>
    <row r="118" ht="15.75" customHeight="1">
      <c r="A118" s="6" t="s">
        <v>1241</v>
      </c>
      <c r="B118" s="6" t="s">
        <v>1242</v>
      </c>
      <c r="C118" s="6" t="s">
        <v>1245</v>
      </c>
      <c r="D118" s="6" t="s">
        <v>1248</v>
      </c>
      <c r="E118" s="3" t="s">
        <v>54</v>
      </c>
      <c r="F118" s="7">
        <v>42036.0</v>
      </c>
      <c r="G118" s="3" t="s">
        <v>128</v>
      </c>
    </row>
    <row r="119" ht="15.75" customHeight="1">
      <c r="A119" s="6" t="s">
        <v>1251</v>
      </c>
      <c r="B119" s="6" t="s">
        <v>1252</v>
      </c>
      <c r="C119" s="6" t="s">
        <v>1255</v>
      </c>
      <c r="D119" s="6" t="s">
        <v>1258</v>
      </c>
      <c r="E119" s="3" t="s">
        <v>54</v>
      </c>
      <c r="F119" s="7">
        <v>42663.0</v>
      </c>
      <c r="G119" s="3" t="s">
        <v>128</v>
      </c>
    </row>
    <row r="120" ht="15.75" customHeight="1">
      <c r="A120" s="6" t="s">
        <v>1262</v>
      </c>
      <c r="B120" s="6" t="s">
        <v>1264</v>
      </c>
      <c r="C120" s="6" t="s">
        <v>1266</v>
      </c>
      <c r="D120" s="6" t="s">
        <v>1268</v>
      </c>
      <c r="E120" s="3" t="s">
        <v>54</v>
      </c>
      <c r="F120" s="7">
        <v>45560.0</v>
      </c>
      <c r="G120" s="3" t="s">
        <v>94</v>
      </c>
    </row>
    <row r="121" ht="15.75" customHeight="1">
      <c r="A121" s="6" t="s">
        <v>1270</v>
      </c>
      <c r="B121" s="6" t="s">
        <v>1271</v>
      </c>
      <c r="C121" s="6" t="s">
        <v>1274</v>
      </c>
      <c r="D121" s="6" t="s">
        <v>1276</v>
      </c>
      <c r="E121" s="3" t="s">
        <v>54</v>
      </c>
      <c r="F121" s="7">
        <v>42317.0</v>
      </c>
      <c r="G121" s="3" t="s">
        <v>152</v>
      </c>
    </row>
    <row r="122" ht="15.75" customHeight="1">
      <c r="A122" s="6" t="s">
        <v>1281</v>
      </c>
      <c r="B122" s="6" t="s">
        <v>1282</v>
      </c>
      <c r="C122" s="6" t="s">
        <v>1285</v>
      </c>
      <c r="D122" s="6" t="s">
        <v>1287</v>
      </c>
      <c r="E122" s="3" t="s">
        <v>47</v>
      </c>
      <c r="F122" s="7">
        <v>40621.0</v>
      </c>
      <c r="G122" s="3" t="s">
        <v>152</v>
      </c>
    </row>
    <row r="123" ht="15.75" customHeight="1">
      <c r="A123" s="6" t="s">
        <v>1289</v>
      </c>
      <c r="B123" s="6" t="s">
        <v>286</v>
      </c>
      <c r="C123" s="6" t="s">
        <v>297</v>
      </c>
      <c r="D123" s="6" t="s">
        <v>299</v>
      </c>
      <c r="E123" s="3" t="s">
        <v>38</v>
      </c>
      <c r="F123" s="3"/>
      <c r="G123" s="3" t="s">
        <v>78</v>
      </c>
    </row>
    <row r="124" ht="15.75" customHeight="1">
      <c r="A124" s="6" t="s">
        <v>1300</v>
      </c>
      <c r="B124" s="6" t="s">
        <v>1302</v>
      </c>
      <c r="C124" s="6" t="s">
        <v>1303</v>
      </c>
      <c r="D124" s="6" t="s">
        <v>1305</v>
      </c>
      <c r="E124" s="3" t="s">
        <v>54</v>
      </c>
      <c r="F124" s="7">
        <v>44593.0</v>
      </c>
      <c r="G124" s="3" t="s">
        <v>94</v>
      </c>
    </row>
    <row r="125" ht="15.75" customHeight="1">
      <c r="A125" s="6" t="s">
        <v>1311</v>
      </c>
      <c r="B125" s="6" t="s">
        <v>1312</v>
      </c>
      <c r="C125" s="6" t="s">
        <v>1314</v>
      </c>
      <c r="D125" s="6" t="s">
        <v>1316</v>
      </c>
      <c r="E125" s="3" t="s">
        <v>54</v>
      </c>
      <c r="F125" s="7">
        <v>41581.0</v>
      </c>
      <c r="G125" s="3" t="s">
        <v>78</v>
      </c>
    </row>
    <row r="126" ht="15.75" customHeight="1">
      <c r="A126" s="6" t="s">
        <v>1319</v>
      </c>
      <c r="B126" s="6" t="s">
        <v>1320</v>
      </c>
      <c r="C126" s="3"/>
      <c r="D126" s="6" t="s">
        <v>1324</v>
      </c>
      <c r="E126" s="3" t="s">
        <v>54</v>
      </c>
      <c r="F126" s="7">
        <v>40483.0</v>
      </c>
      <c r="G126" s="3" t="s">
        <v>94</v>
      </c>
    </row>
    <row r="127" ht="15.75" customHeight="1">
      <c r="A127" s="6" t="s">
        <v>1329</v>
      </c>
      <c r="B127" s="6" t="s">
        <v>1331</v>
      </c>
      <c r="C127" s="6" t="s">
        <v>1332</v>
      </c>
      <c r="D127" s="3"/>
      <c r="E127" s="3" t="s">
        <v>47</v>
      </c>
      <c r="F127" s="7">
        <v>44613.0</v>
      </c>
      <c r="G127" s="3" t="s">
        <v>110</v>
      </c>
    </row>
    <row r="128" ht="15.75" customHeight="1">
      <c r="A128" s="6" t="s">
        <v>1337</v>
      </c>
      <c r="B128" s="6" t="s">
        <v>1338</v>
      </c>
      <c r="C128" s="6" t="s">
        <v>1340</v>
      </c>
      <c r="D128" s="3"/>
      <c r="E128" s="3" t="s">
        <v>54</v>
      </c>
      <c r="F128" s="7">
        <v>45852.0</v>
      </c>
      <c r="G128" s="3" t="s">
        <v>152</v>
      </c>
    </row>
    <row r="129" ht="15.75" customHeight="1">
      <c r="A129" s="6" t="s">
        <v>1344</v>
      </c>
      <c r="B129" s="6" t="s">
        <v>1346</v>
      </c>
      <c r="C129" s="3"/>
      <c r="D129" s="6" t="s">
        <v>1347</v>
      </c>
      <c r="E129" s="3" t="s">
        <v>54</v>
      </c>
      <c r="F129" s="7">
        <v>42240.0</v>
      </c>
      <c r="G129" s="3" t="s">
        <v>152</v>
      </c>
    </row>
    <row r="130" ht="15.75" customHeight="1">
      <c r="A130" s="6" t="s">
        <v>1354</v>
      </c>
      <c r="B130" s="6" t="s">
        <v>1065</v>
      </c>
      <c r="C130" s="6" t="s">
        <v>1355</v>
      </c>
      <c r="D130" s="6" t="s">
        <v>1358</v>
      </c>
      <c r="E130" s="3" t="s">
        <v>54</v>
      </c>
      <c r="F130" s="7">
        <v>40619.0</v>
      </c>
      <c r="G130" s="3" t="s">
        <v>152</v>
      </c>
    </row>
    <row r="131" ht="15.75" customHeight="1">
      <c r="A131" s="6" t="s">
        <v>1361</v>
      </c>
      <c r="B131" s="6" t="s">
        <v>1364</v>
      </c>
      <c r="C131" s="3"/>
      <c r="D131" s="6" t="s">
        <v>1366</v>
      </c>
      <c r="E131" s="3" t="s">
        <v>54</v>
      </c>
      <c r="F131" s="7">
        <v>43968.0</v>
      </c>
      <c r="G131" s="3" t="s">
        <v>94</v>
      </c>
    </row>
    <row r="132" ht="15.75" customHeight="1">
      <c r="A132" s="6" t="s">
        <v>1372</v>
      </c>
      <c r="B132" s="6" t="s">
        <v>1374</v>
      </c>
      <c r="C132" s="6" t="s">
        <v>1375</v>
      </c>
      <c r="D132" s="6" t="s">
        <v>1377</v>
      </c>
      <c r="E132" s="3" t="s">
        <v>54</v>
      </c>
      <c r="F132" s="7">
        <v>44388.0</v>
      </c>
      <c r="G132" s="3" t="s">
        <v>128</v>
      </c>
    </row>
    <row r="133" ht="15.75" customHeight="1">
      <c r="A133" s="6" t="s">
        <v>1381</v>
      </c>
      <c r="B133" s="6" t="s">
        <v>1382</v>
      </c>
      <c r="C133" s="6" t="s">
        <v>1383</v>
      </c>
      <c r="D133" s="6" t="s">
        <v>1386</v>
      </c>
      <c r="E133" s="3" t="s">
        <v>54</v>
      </c>
      <c r="F133" s="7">
        <v>40919.0</v>
      </c>
      <c r="G133" s="3" t="s">
        <v>94</v>
      </c>
    </row>
    <row r="134" ht="15.75" customHeight="1">
      <c r="A134" s="6" t="s">
        <v>1390</v>
      </c>
      <c r="B134" s="6" t="s">
        <v>1392</v>
      </c>
      <c r="C134" s="6" t="s">
        <v>1394</v>
      </c>
      <c r="D134" s="6" t="s">
        <v>1396</v>
      </c>
      <c r="E134" s="3" t="s">
        <v>54</v>
      </c>
      <c r="F134" s="7">
        <v>45860.0</v>
      </c>
      <c r="G134" s="3" t="s">
        <v>152</v>
      </c>
    </row>
    <row r="135" ht="15.75" customHeight="1">
      <c r="A135" s="6" t="s">
        <v>1402</v>
      </c>
      <c r="B135" s="6" t="s">
        <v>1403</v>
      </c>
      <c r="C135" s="6" t="s">
        <v>1405</v>
      </c>
      <c r="D135" s="6" t="s">
        <v>1408</v>
      </c>
      <c r="E135" s="3" t="s">
        <v>38</v>
      </c>
      <c r="F135" s="3"/>
      <c r="G135" s="3" t="s">
        <v>110</v>
      </c>
    </row>
    <row r="136" ht="15.75" customHeight="1">
      <c r="A136" s="6" t="s">
        <v>1411</v>
      </c>
      <c r="B136" s="6" t="s">
        <v>1413</v>
      </c>
      <c r="C136" s="6" t="s">
        <v>1415</v>
      </c>
      <c r="D136" s="6" t="s">
        <v>1416</v>
      </c>
      <c r="E136" s="3" t="s">
        <v>54</v>
      </c>
      <c r="F136" s="7">
        <v>40244.0</v>
      </c>
      <c r="G136" s="3" t="s">
        <v>94</v>
      </c>
    </row>
    <row r="137" ht="15.75" customHeight="1">
      <c r="A137" s="6" t="s">
        <v>1420</v>
      </c>
      <c r="B137" s="6" t="s">
        <v>1422</v>
      </c>
      <c r="C137" s="6" t="s">
        <v>1424</v>
      </c>
      <c r="D137" s="6" t="s">
        <v>1426</v>
      </c>
      <c r="E137" s="3" t="s">
        <v>47</v>
      </c>
      <c r="F137" s="7">
        <v>41334.0</v>
      </c>
      <c r="G137" s="3" t="s">
        <v>128</v>
      </c>
    </row>
    <row r="138" ht="15.75" customHeight="1">
      <c r="A138" s="6" t="s">
        <v>1433</v>
      </c>
      <c r="B138" s="6" t="s">
        <v>1434</v>
      </c>
      <c r="C138" s="6" t="s">
        <v>1435</v>
      </c>
      <c r="D138" s="6" t="s">
        <v>1436</v>
      </c>
      <c r="E138" s="3" t="s">
        <v>38</v>
      </c>
      <c r="F138" s="3"/>
      <c r="G138" s="3" t="s">
        <v>152</v>
      </c>
    </row>
    <row r="139" ht="15.75" customHeight="1">
      <c r="A139" s="6" t="s">
        <v>1440</v>
      </c>
      <c r="B139" s="6" t="s">
        <v>1442</v>
      </c>
      <c r="C139" s="6" t="s">
        <v>1445</v>
      </c>
      <c r="D139" s="6" t="s">
        <v>1448</v>
      </c>
      <c r="E139" s="3" t="s">
        <v>47</v>
      </c>
      <c r="F139" s="7">
        <v>43163.0</v>
      </c>
      <c r="G139" s="3" t="s">
        <v>78</v>
      </c>
    </row>
    <row r="140" ht="15.75" customHeight="1">
      <c r="A140" s="6" t="s">
        <v>1451</v>
      </c>
      <c r="B140" s="6" t="s">
        <v>769</v>
      </c>
      <c r="C140" s="6" t="s">
        <v>1455</v>
      </c>
      <c r="D140" s="6" t="s">
        <v>1456</v>
      </c>
      <c r="E140" s="3" t="s">
        <v>54</v>
      </c>
      <c r="F140" s="7">
        <v>45865.0</v>
      </c>
      <c r="G140" s="3" t="s">
        <v>94</v>
      </c>
    </row>
    <row r="141" ht="15.75" customHeight="1">
      <c r="A141" s="6" t="s">
        <v>1460</v>
      </c>
      <c r="B141" s="6" t="s">
        <v>1462</v>
      </c>
      <c r="C141" s="6" t="s">
        <v>1465</v>
      </c>
      <c r="D141" s="6" t="s">
        <v>1466</v>
      </c>
      <c r="E141" s="3" t="s">
        <v>54</v>
      </c>
      <c r="F141" s="7">
        <v>44159.0</v>
      </c>
      <c r="G141" s="3" t="s">
        <v>128</v>
      </c>
    </row>
    <row r="142" ht="15.75" customHeight="1">
      <c r="A142" s="6" t="s">
        <v>1470</v>
      </c>
      <c r="B142" s="6" t="s">
        <v>1472</v>
      </c>
      <c r="C142" s="6" t="s">
        <v>1474</v>
      </c>
      <c r="D142" s="3"/>
      <c r="E142" s="3" t="s">
        <v>54</v>
      </c>
      <c r="F142" s="7">
        <v>42623.0</v>
      </c>
      <c r="G142" s="3" t="s">
        <v>128</v>
      </c>
    </row>
    <row r="143" ht="15.75" customHeight="1">
      <c r="A143" s="6" t="s">
        <v>1481</v>
      </c>
      <c r="B143" s="6" t="s">
        <v>1484</v>
      </c>
      <c r="C143" s="6" t="s">
        <v>1487</v>
      </c>
      <c r="D143" s="3"/>
      <c r="E143" s="3" t="s">
        <v>54</v>
      </c>
      <c r="F143" s="7">
        <v>42511.0</v>
      </c>
      <c r="G143" s="3" t="s">
        <v>110</v>
      </c>
    </row>
    <row r="144" ht="15.75" customHeight="1">
      <c r="A144" s="6" t="s">
        <v>1492</v>
      </c>
      <c r="B144" s="6" t="s">
        <v>835</v>
      </c>
      <c r="C144" s="3"/>
      <c r="D144" s="6" t="s">
        <v>847</v>
      </c>
      <c r="E144" s="3" t="s">
        <v>54</v>
      </c>
      <c r="F144" s="7">
        <v>42758.0</v>
      </c>
      <c r="G144" s="3" t="s">
        <v>94</v>
      </c>
    </row>
    <row r="145" ht="15.75" customHeight="1">
      <c r="A145" s="6" t="s">
        <v>1496</v>
      </c>
      <c r="B145" s="6" t="s">
        <v>1498</v>
      </c>
      <c r="C145" s="6" t="s">
        <v>1499</v>
      </c>
      <c r="D145" s="6" t="s">
        <v>1501</v>
      </c>
      <c r="E145" s="3" t="s">
        <v>54</v>
      </c>
      <c r="F145" s="7">
        <v>42773.0</v>
      </c>
      <c r="G145" s="3" t="s">
        <v>110</v>
      </c>
    </row>
    <row r="146" ht="15.75" customHeight="1">
      <c r="A146" s="6" t="s">
        <v>1508</v>
      </c>
      <c r="B146" s="6" t="s">
        <v>1510</v>
      </c>
      <c r="C146" s="6" t="s">
        <v>1511</v>
      </c>
      <c r="D146" s="6" t="s">
        <v>1513</v>
      </c>
      <c r="E146" s="3" t="s">
        <v>54</v>
      </c>
      <c r="F146" s="7">
        <v>43617.0</v>
      </c>
      <c r="G146" s="3" t="s">
        <v>78</v>
      </c>
    </row>
    <row r="147" ht="15.75" customHeight="1">
      <c r="A147" s="6" t="s">
        <v>1516</v>
      </c>
      <c r="B147" s="6" t="s">
        <v>1517</v>
      </c>
      <c r="C147" s="6" t="s">
        <v>1518</v>
      </c>
      <c r="D147" s="6" t="s">
        <v>1520</v>
      </c>
      <c r="E147" s="3" t="s">
        <v>38</v>
      </c>
      <c r="F147" s="3"/>
      <c r="G147" s="3" t="s">
        <v>128</v>
      </c>
    </row>
    <row r="148" ht="15.75" customHeight="1">
      <c r="A148" s="6" t="s">
        <v>1527</v>
      </c>
      <c r="B148" s="6" t="s">
        <v>1236</v>
      </c>
      <c r="C148" s="6" t="s">
        <v>1531</v>
      </c>
      <c r="D148" s="6" t="s">
        <v>1532</v>
      </c>
      <c r="E148" s="3" t="s">
        <v>54</v>
      </c>
      <c r="F148" s="7">
        <v>42031.0</v>
      </c>
      <c r="G148" s="3" t="s">
        <v>128</v>
      </c>
    </row>
    <row r="149" ht="15.75" customHeight="1">
      <c r="A149" s="6" t="s">
        <v>1535</v>
      </c>
      <c r="B149" s="6" t="s">
        <v>944</v>
      </c>
      <c r="C149" s="6" t="s">
        <v>1545</v>
      </c>
      <c r="D149" s="6" t="s">
        <v>1546</v>
      </c>
      <c r="E149" s="3" t="s">
        <v>54</v>
      </c>
      <c r="F149" s="7">
        <v>43932.0</v>
      </c>
      <c r="G149" s="3" t="s">
        <v>94</v>
      </c>
    </row>
    <row r="150" ht="15.75" customHeight="1">
      <c r="A150" s="6" t="s">
        <v>1550</v>
      </c>
      <c r="B150" s="6" t="s">
        <v>1554</v>
      </c>
      <c r="C150" s="6" t="s">
        <v>1558</v>
      </c>
      <c r="D150" s="6" t="s">
        <v>1561</v>
      </c>
      <c r="E150" s="3" t="s">
        <v>54</v>
      </c>
      <c r="F150" s="7">
        <v>44059.0</v>
      </c>
      <c r="G150" s="3" t="s">
        <v>128</v>
      </c>
    </row>
    <row r="151" ht="15.75" customHeight="1">
      <c r="A151" s="6" t="s">
        <v>1562</v>
      </c>
      <c r="B151" s="6" t="s">
        <v>264</v>
      </c>
      <c r="C151" s="6" t="s">
        <v>279</v>
      </c>
      <c r="D151" s="3"/>
      <c r="E151" s="3" t="s">
        <v>54</v>
      </c>
      <c r="F151" s="7">
        <v>40576.0</v>
      </c>
      <c r="G151" s="3" t="s">
        <v>110</v>
      </c>
    </row>
    <row r="152" ht="15.75" customHeight="1">
      <c r="A152" s="6" t="s">
        <v>1570</v>
      </c>
      <c r="B152" s="6" t="s">
        <v>1572</v>
      </c>
      <c r="C152" s="3"/>
      <c r="D152" s="6" t="s">
        <v>1577</v>
      </c>
      <c r="E152" s="3" t="s">
        <v>54</v>
      </c>
      <c r="F152" s="7">
        <v>41852.0</v>
      </c>
      <c r="G152" s="3" t="s">
        <v>128</v>
      </c>
    </row>
    <row r="153" ht="15.75" customHeight="1">
      <c r="A153" s="6" t="s">
        <v>1579</v>
      </c>
      <c r="B153" s="6" t="s">
        <v>1084</v>
      </c>
      <c r="C153" s="3"/>
      <c r="D153" s="6" t="s">
        <v>1583</v>
      </c>
      <c r="E153" s="3" t="s">
        <v>54</v>
      </c>
      <c r="F153" s="7">
        <v>43321.0</v>
      </c>
      <c r="G153" s="3" t="s">
        <v>110</v>
      </c>
    </row>
    <row r="154" ht="15.75" customHeight="1">
      <c r="A154" s="6" t="s">
        <v>1590</v>
      </c>
      <c r="B154" s="6" t="s">
        <v>1591</v>
      </c>
      <c r="C154" s="6" t="s">
        <v>1593</v>
      </c>
      <c r="D154" s="6" t="s">
        <v>1594</v>
      </c>
      <c r="E154" s="3" t="s">
        <v>54</v>
      </c>
      <c r="F154" s="7">
        <v>43856.0</v>
      </c>
      <c r="G154" s="3" t="s">
        <v>78</v>
      </c>
    </row>
    <row r="155" ht="15.75" customHeight="1">
      <c r="A155" s="6" t="s">
        <v>1598</v>
      </c>
      <c r="B155" s="6" t="s">
        <v>1140</v>
      </c>
      <c r="C155" s="6" t="s">
        <v>1601</v>
      </c>
      <c r="D155" s="6" t="s">
        <v>1603</v>
      </c>
      <c r="E155" s="3" t="s">
        <v>54</v>
      </c>
      <c r="F155" s="7">
        <v>40578.0</v>
      </c>
      <c r="G155" s="3" t="s">
        <v>152</v>
      </c>
    </row>
    <row r="156" ht="15.75" customHeight="1">
      <c r="A156" s="6" t="s">
        <v>1610</v>
      </c>
      <c r="B156" s="6" t="s">
        <v>1611</v>
      </c>
      <c r="C156" s="6" t="s">
        <v>1613</v>
      </c>
      <c r="D156" s="6" t="s">
        <v>1614</v>
      </c>
      <c r="E156" s="3" t="s">
        <v>38</v>
      </c>
      <c r="F156" s="3"/>
      <c r="G156" s="3" t="s">
        <v>78</v>
      </c>
    </row>
    <row r="157" ht="15.75" customHeight="1">
      <c r="A157" s="6" t="s">
        <v>1618</v>
      </c>
      <c r="B157" s="6" t="s">
        <v>1620</v>
      </c>
      <c r="C157" s="6" t="s">
        <v>1621</v>
      </c>
      <c r="D157" s="3"/>
      <c r="E157" s="3" t="s">
        <v>38</v>
      </c>
      <c r="F157" s="3"/>
      <c r="G157" s="3" t="s">
        <v>110</v>
      </c>
    </row>
    <row r="158" ht="15.75" customHeight="1">
      <c r="A158" s="6" t="s">
        <v>1630</v>
      </c>
      <c r="B158" s="6" t="s">
        <v>1631</v>
      </c>
      <c r="C158" s="6" t="s">
        <v>1633</v>
      </c>
      <c r="D158" s="6" t="s">
        <v>1635</v>
      </c>
      <c r="E158" s="3" t="s">
        <v>54</v>
      </c>
      <c r="F158" s="7">
        <v>41670.0</v>
      </c>
      <c r="G158" s="3" t="s">
        <v>94</v>
      </c>
    </row>
    <row r="159" ht="15.75" customHeight="1">
      <c r="A159" s="6" t="s">
        <v>1643</v>
      </c>
      <c r="B159" s="6" t="s">
        <v>1644</v>
      </c>
      <c r="C159" s="3"/>
      <c r="D159" s="6" t="s">
        <v>1647</v>
      </c>
      <c r="E159" s="3" t="s">
        <v>54</v>
      </c>
      <c r="F159" s="7">
        <v>40224.0</v>
      </c>
      <c r="G159" s="3" t="s">
        <v>110</v>
      </c>
    </row>
    <row r="160" ht="15.75" customHeight="1">
      <c r="A160" s="6" t="s">
        <v>1649</v>
      </c>
      <c r="B160" s="6" t="s">
        <v>1650</v>
      </c>
      <c r="C160" s="6" t="s">
        <v>1651</v>
      </c>
      <c r="D160" s="6" t="s">
        <v>1655</v>
      </c>
      <c r="E160" s="3" t="s">
        <v>38</v>
      </c>
      <c r="F160" s="3"/>
      <c r="G160" s="3" t="s">
        <v>152</v>
      </c>
    </row>
    <row r="161" ht="15.75" customHeight="1">
      <c r="A161" s="6" t="s">
        <v>1662</v>
      </c>
      <c r="B161" s="6" t="s">
        <v>1663</v>
      </c>
      <c r="C161" s="6" t="s">
        <v>1666</v>
      </c>
      <c r="D161" s="6" t="s">
        <v>1668</v>
      </c>
      <c r="E161" s="3" t="s">
        <v>47</v>
      </c>
      <c r="F161" s="7">
        <v>44919.0</v>
      </c>
      <c r="G161" s="3" t="s">
        <v>94</v>
      </c>
    </row>
    <row r="162" ht="15.75" customHeight="1">
      <c r="A162" s="6" t="s">
        <v>1671</v>
      </c>
      <c r="B162" s="6" t="s">
        <v>1673</v>
      </c>
      <c r="C162" s="6" t="s">
        <v>1675</v>
      </c>
      <c r="D162" s="6" t="s">
        <v>1676</v>
      </c>
      <c r="E162" s="3" t="s">
        <v>54</v>
      </c>
      <c r="F162" s="7">
        <v>41834.0</v>
      </c>
      <c r="G162" s="3" t="s">
        <v>152</v>
      </c>
    </row>
    <row r="163" ht="15.75" customHeight="1">
      <c r="A163" s="6" t="s">
        <v>1682</v>
      </c>
      <c r="B163" s="6" t="s">
        <v>1683</v>
      </c>
      <c r="C163" s="6" t="s">
        <v>1685</v>
      </c>
      <c r="D163" s="6" t="s">
        <v>1687</v>
      </c>
      <c r="E163" s="3" t="s">
        <v>54</v>
      </c>
      <c r="F163" s="7">
        <v>40797.0</v>
      </c>
      <c r="G163" s="3" t="s">
        <v>94</v>
      </c>
    </row>
    <row r="164" ht="15.75" customHeight="1">
      <c r="A164" s="6" t="s">
        <v>1690</v>
      </c>
      <c r="B164" s="6" t="s">
        <v>1691</v>
      </c>
      <c r="C164" s="6" t="s">
        <v>1694</v>
      </c>
      <c r="D164" s="6" t="s">
        <v>1695</v>
      </c>
      <c r="E164" s="3" t="s">
        <v>38</v>
      </c>
      <c r="F164" s="3"/>
      <c r="G164" s="3" t="s">
        <v>128</v>
      </c>
    </row>
    <row r="165" ht="15.75" customHeight="1">
      <c r="A165" s="6" t="s">
        <v>1703</v>
      </c>
      <c r="B165" s="6" t="s">
        <v>1705</v>
      </c>
      <c r="C165" s="6" t="s">
        <v>1707</v>
      </c>
      <c r="D165" s="6" t="s">
        <v>1709</v>
      </c>
      <c r="E165" s="3" t="s">
        <v>54</v>
      </c>
      <c r="F165" s="7">
        <v>42816.0</v>
      </c>
      <c r="G165" s="3" t="s">
        <v>94</v>
      </c>
    </row>
    <row r="166" ht="15.75" customHeight="1">
      <c r="A166" s="6" t="s">
        <v>1711</v>
      </c>
      <c r="B166" s="6" t="s">
        <v>1713</v>
      </c>
      <c r="C166" s="6" t="s">
        <v>1717</v>
      </c>
      <c r="D166" s="6" t="s">
        <v>1718</v>
      </c>
      <c r="E166" s="3" t="s">
        <v>54</v>
      </c>
      <c r="F166" s="7">
        <v>44391.0</v>
      </c>
      <c r="G166" s="3" t="s">
        <v>128</v>
      </c>
    </row>
    <row r="167" ht="15.75" customHeight="1">
      <c r="A167" s="6" t="s">
        <v>1721</v>
      </c>
      <c r="B167" s="6" t="s">
        <v>1724</v>
      </c>
      <c r="C167" s="3"/>
      <c r="D167" s="3"/>
      <c r="E167" s="3" t="s">
        <v>54</v>
      </c>
      <c r="F167" s="7">
        <v>45253.0</v>
      </c>
      <c r="G167" s="3" t="s">
        <v>94</v>
      </c>
    </row>
    <row r="168" ht="15.75" customHeight="1">
      <c r="A168" s="6" t="s">
        <v>1730</v>
      </c>
      <c r="B168" s="6" t="s">
        <v>1732</v>
      </c>
      <c r="C168" s="6" t="s">
        <v>1733</v>
      </c>
      <c r="D168" s="6" t="s">
        <v>1734</v>
      </c>
      <c r="E168" s="3" t="s">
        <v>54</v>
      </c>
      <c r="F168" s="7">
        <v>41321.0</v>
      </c>
      <c r="G168" s="3" t="s">
        <v>78</v>
      </c>
    </row>
    <row r="169" ht="15.75" customHeight="1">
      <c r="A169" s="6" t="s">
        <v>1736</v>
      </c>
      <c r="B169" s="6" t="s">
        <v>1737</v>
      </c>
      <c r="C169" s="6" t="s">
        <v>1740</v>
      </c>
      <c r="D169" s="6" t="s">
        <v>1743</v>
      </c>
      <c r="E169" s="3" t="s">
        <v>54</v>
      </c>
      <c r="F169" s="7">
        <v>42426.0</v>
      </c>
      <c r="G169" s="3" t="s">
        <v>128</v>
      </c>
    </row>
    <row r="170" ht="15.75" customHeight="1">
      <c r="A170" s="6" t="s">
        <v>1748</v>
      </c>
      <c r="B170" s="6" t="s">
        <v>1749</v>
      </c>
      <c r="C170" s="6" t="s">
        <v>1750</v>
      </c>
      <c r="D170" s="6" t="s">
        <v>1751</v>
      </c>
      <c r="E170" s="3" t="s">
        <v>54</v>
      </c>
      <c r="F170" s="7">
        <v>43203.0</v>
      </c>
      <c r="G170" s="3" t="s">
        <v>152</v>
      </c>
    </row>
    <row r="171" ht="15.75" customHeight="1">
      <c r="A171" s="6" t="s">
        <v>1757</v>
      </c>
      <c r="B171" s="6" t="s">
        <v>1758</v>
      </c>
      <c r="C171" s="6" t="s">
        <v>1759</v>
      </c>
      <c r="D171" s="6" t="s">
        <v>1760</v>
      </c>
      <c r="E171" s="3" t="s">
        <v>54</v>
      </c>
      <c r="F171" s="7">
        <v>45783.0</v>
      </c>
      <c r="G171" s="3" t="s">
        <v>152</v>
      </c>
    </row>
    <row r="172" ht="15.75" customHeight="1">
      <c r="A172" s="6" t="s">
        <v>1764</v>
      </c>
      <c r="B172" s="6" t="s">
        <v>1766</v>
      </c>
      <c r="C172" s="6" t="s">
        <v>1767</v>
      </c>
      <c r="D172" s="6" t="s">
        <v>1769</v>
      </c>
      <c r="E172" s="3" t="s">
        <v>54</v>
      </c>
      <c r="F172" s="7">
        <v>42908.0</v>
      </c>
      <c r="G172" s="3" t="s">
        <v>78</v>
      </c>
    </row>
    <row r="173" ht="15.75" customHeight="1">
      <c r="A173" s="6" t="s">
        <v>1772</v>
      </c>
      <c r="B173" s="6" t="s">
        <v>1775</v>
      </c>
      <c r="C173" s="6" t="s">
        <v>1776</v>
      </c>
      <c r="D173" s="6" t="s">
        <v>1777</v>
      </c>
      <c r="E173" s="3" t="s">
        <v>54</v>
      </c>
      <c r="F173" s="7">
        <v>42161.0</v>
      </c>
      <c r="G173" s="3" t="s">
        <v>78</v>
      </c>
    </row>
    <row r="174" ht="15.75" customHeight="1">
      <c r="A174" s="6" t="s">
        <v>1781</v>
      </c>
      <c r="B174" s="6" t="s">
        <v>1786</v>
      </c>
      <c r="C174" s="6" t="s">
        <v>1788</v>
      </c>
      <c r="D174" s="6" t="s">
        <v>1789</v>
      </c>
      <c r="E174" s="3" t="s">
        <v>38</v>
      </c>
      <c r="F174" s="3"/>
      <c r="G174" s="3" t="s">
        <v>128</v>
      </c>
    </row>
    <row r="175" ht="15.75" customHeight="1">
      <c r="A175" s="6" t="s">
        <v>1793</v>
      </c>
      <c r="B175" s="6" t="s">
        <v>1796</v>
      </c>
      <c r="C175" s="6" t="s">
        <v>1798</v>
      </c>
      <c r="D175" s="6" t="s">
        <v>1800</v>
      </c>
      <c r="E175" s="3" t="s">
        <v>54</v>
      </c>
      <c r="F175" s="7">
        <v>41444.0</v>
      </c>
      <c r="G175" s="3" t="s">
        <v>152</v>
      </c>
    </row>
    <row r="176" ht="15.75" customHeight="1">
      <c r="A176" s="6" t="s">
        <v>1805</v>
      </c>
      <c r="B176" s="6" t="s">
        <v>1808</v>
      </c>
      <c r="C176" s="6" t="s">
        <v>1809</v>
      </c>
      <c r="D176" s="6" t="s">
        <v>1811</v>
      </c>
      <c r="E176" s="3" t="s">
        <v>54</v>
      </c>
      <c r="F176" s="7">
        <v>42603.0</v>
      </c>
      <c r="G176" s="3" t="s">
        <v>78</v>
      </c>
    </row>
    <row r="177" ht="15.75" customHeight="1">
      <c r="A177" s="6" t="s">
        <v>1814</v>
      </c>
      <c r="B177" s="6" t="s">
        <v>1815</v>
      </c>
      <c r="C177" s="6" t="s">
        <v>1817</v>
      </c>
      <c r="D177" s="6" t="s">
        <v>1819</v>
      </c>
      <c r="E177" s="3" t="s">
        <v>38</v>
      </c>
      <c r="F177" s="3"/>
      <c r="G177" s="3" t="s">
        <v>110</v>
      </c>
    </row>
    <row r="178" ht="15.75" customHeight="1">
      <c r="A178" s="6" t="s">
        <v>1824</v>
      </c>
      <c r="B178" s="6" t="s">
        <v>1406</v>
      </c>
      <c r="C178" s="6" t="s">
        <v>1828</v>
      </c>
      <c r="D178" s="6" t="s">
        <v>1830</v>
      </c>
      <c r="E178" s="3" t="s">
        <v>54</v>
      </c>
      <c r="F178" s="7">
        <v>40962.0</v>
      </c>
      <c r="G178" s="3" t="s">
        <v>152</v>
      </c>
    </row>
    <row r="179" ht="15.75" customHeight="1">
      <c r="A179" s="6" t="s">
        <v>1832</v>
      </c>
      <c r="B179" s="6" t="s">
        <v>1017</v>
      </c>
      <c r="C179" s="6" t="s">
        <v>1030</v>
      </c>
      <c r="D179" s="6" t="s">
        <v>1034</v>
      </c>
      <c r="E179" s="3" t="s">
        <v>38</v>
      </c>
      <c r="F179" s="3"/>
      <c r="G179" s="3" t="s">
        <v>78</v>
      </c>
    </row>
    <row r="180" ht="15.75" customHeight="1">
      <c r="A180" s="6" t="s">
        <v>1839</v>
      </c>
      <c r="B180" s="6" t="s">
        <v>1841</v>
      </c>
      <c r="C180" s="6" t="s">
        <v>1844</v>
      </c>
      <c r="D180" s="6" t="s">
        <v>1846</v>
      </c>
      <c r="E180" s="3" t="s">
        <v>54</v>
      </c>
      <c r="F180" s="7">
        <v>43034.0</v>
      </c>
      <c r="G180" s="3" t="s">
        <v>94</v>
      </c>
    </row>
    <row r="181" ht="15.75" customHeight="1">
      <c r="A181" s="6" t="s">
        <v>1847</v>
      </c>
      <c r="B181" s="6" t="s">
        <v>1849</v>
      </c>
      <c r="C181" s="6" t="s">
        <v>1852</v>
      </c>
      <c r="D181" s="6" t="s">
        <v>1854</v>
      </c>
      <c r="E181" s="3" t="s">
        <v>38</v>
      </c>
      <c r="F181" s="3"/>
      <c r="G181" s="3" t="s">
        <v>128</v>
      </c>
    </row>
    <row r="182" ht="15.75" customHeight="1">
      <c r="A182" s="6" t="s">
        <v>1858</v>
      </c>
      <c r="B182" s="6" t="s">
        <v>1860</v>
      </c>
      <c r="C182" s="6" t="s">
        <v>1863</v>
      </c>
      <c r="D182" s="6" t="s">
        <v>1865</v>
      </c>
      <c r="E182" s="3" t="s">
        <v>54</v>
      </c>
      <c r="F182" s="7">
        <v>45067.0</v>
      </c>
      <c r="G182" s="3" t="s">
        <v>94</v>
      </c>
    </row>
    <row r="183" ht="15.75" customHeight="1">
      <c r="A183" s="6" t="s">
        <v>1867</v>
      </c>
      <c r="B183" s="6" t="s">
        <v>1868</v>
      </c>
      <c r="C183" s="6" t="s">
        <v>1871</v>
      </c>
      <c r="D183" s="6" t="s">
        <v>1874</v>
      </c>
      <c r="E183" s="3" t="s">
        <v>54</v>
      </c>
      <c r="F183" s="7">
        <v>41079.0</v>
      </c>
      <c r="G183" s="3" t="s">
        <v>78</v>
      </c>
    </row>
    <row r="184" ht="15.75" customHeight="1">
      <c r="A184" s="6" t="s">
        <v>1878</v>
      </c>
      <c r="B184" s="6" t="s">
        <v>1880</v>
      </c>
      <c r="C184" s="6" t="s">
        <v>1882</v>
      </c>
      <c r="D184" s="6" t="s">
        <v>1885</v>
      </c>
      <c r="E184" s="3" t="s">
        <v>38</v>
      </c>
      <c r="F184" s="3"/>
      <c r="G184" s="3" t="s">
        <v>78</v>
      </c>
    </row>
    <row r="185" ht="15.75" customHeight="1">
      <c r="A185" s="6" t="s">
        <v>1887</v>
      </c>
      <c r="B185" s="6" t="s">
        <v>1888</v>
      </c>
      <c r="C185" s="6" t="s">
        <v>1889</v>
      </c>
      <c r="D185" s="6" t="s">
        <v>1892</v>
      </c>
      <c r="E185" s="3" t="s">
        <v>54</v>
      </c>
      <c r="F185" s="7">
        <v>45789.0</v>
      </c>
      <c r="G185" s="3" t="s">
        <v>152</v>
      </c>
    </row>
    <row r="186" ht="15.75" customHeight="1">
      <c r="A186" s="6" t="s">
        <v>1899</v>
      </c>
      <c r="B186" s="6" t="s">
        <v>1901</v>
      </c>
      <c r="C186" s="6" t="s">
        <v>1902</v>
      </c>
      <c r="D186" s="6" t="s">
        <v>1905</v>
      </c>
      <c r="E186" s="3" t="s">
        <v>54</v>
      </c>
      <c r="F186" s="7">
        <v>41035.0</v>
      </c>
      <c r="G186" s="3" t="s">
        <v>110</v>
      </c>
    </row>
    <row r="187" ht="15.75" customHeight="1">
      <c r="A187" s="6" t="s">
        <v>1908</v>
      </c>
      <c r="B187" s="6" t="s">
        <v>1910</v>
      </c>
      <c r="C187" s="6" t="s">
        <v>1912</v>
      </c>
      <c r="D187" s="6" t="s">
        <v>1914</v>
      </c>
      <c r="E187" s="3" t="s">
        <v>54</v>
      </c>
      <c r="F187" s="7">
        <v>41247.0</v>
      </c>
      <c r="G187" s="3" t="s">
        <v>94</v>
      </c>
    </row>
    <row r="188" ht="15.75" customHeight="1">
      <c r="A188" s="6" t="s">
        <v>1919</v>
      </c>
      <c r="B188" s="6" t="s">
        <v>805</v>
      </c>
      <c r="C188" s="6" t="s">
        <v>1859</v>
      </c>
      <c r="D188" s="6" t="s">
        <v>1862</v>
      </c>
      <c r="E188" s="3" t="s">
        <v>54</v>
      </c>
      <c r="F188" s="7">
        <v>45787.0</v>
      </c>
      <c r="G188" s="3" t="s">
        <v>128</v>
      </c>
    </row>
    <row r="189" ht="15.75" customHeight="1">
      <c r="A189" s="6" t="s">
        <v>1925</v>
      </c>
      <c r="B189" s="6" t="s">
        <v>1317</v>
      </c>
      <c r="C189" s="6" t="s">
        <v>1327</v>
      </c>
      <c r="D189" s="6" t="s">
        <v>1328</v>
      </c>
      <c r="E189" s="3" t="s">
        <v>54</v>
      </c>
      <c r="F189" s="7">
        <v>41559.0</v>
      </c>
      <c r="G189" s="3" t="s">
        <v>152</v>
      </c>
    </row>
    <row r="190" ht="15.75" customHeight="1">
      <c r="A190" s="6" t="s">
        <v>1930</v>
      </c>
      <c r="B190" s="6" t="s">
        <v>1931</v>
      </c>
      <c r="C190" s="6" t="s">
        <v>1932</v>
      </c>
      <c r="D190" s="6" t="s">
        <v>1935</v>
      </c>
      <c r="E190" s="3" t="s">
        <v>54</v>
      </c>
      <c r="F190" s="7">
        <v>42837.0</v>
      </c>
      <c r="G190" s="3" t="s">
        <v>110</v>
      </c>
    </row>
    <row r="191" ht="15.75" customHeight="1">
      <c r="A191" s="6" t="s">
        <v>1942</v>
      </c>
      <c r="B191" s="6" t="s">
        <v>1547</v>
      </c>
      <c r="C191" s="6" t="s">
        <v>1557</v>
      </c>
      <c r="D191" s="6" t="s">
        <v>1560</v>
      </c>
      <c r="E191" s="3" t="s">
        <v>54</v>
      </c>
      <c r="F191" s="7">
        <v>43458.0</v>
      </c>
      <c r="G191" s="3" t="s">
        <v>110</v>
      </c>
    </row>
    <row r="192" ht="15.75" customHeight="1">
      <c r="A192" s="6" t="s">
        <v>1946</v>
      </c>
      <c r="B192" s="6" t="s">
        <v>1948</v>
      </c>
      <c r="C192" s="6" t="s">
        <v>1950</v>
      </c>
      <c r="D192" s="6" t="s">
        <v>1951</v>
      </c>
      <c r="E192" s="3" t="s">
        <v>54</v>
      </c>
      <c r="F192" s="7">
        <v>43090.0</v>
      </c>
      <c r="G192" s="3" t="s">
        <v>152</v>
      </c>
    </row>
    <row r="193" ht="15.75" customHeight="1">
      <c r="A193" s="6" t="s">
        <v>1957</v>
      </c>
      <c r="B193" s="6" t="s">
        <v>1958</v>
      </c>
      <c r="C193" s="3"/>
      <c r="D193" s="6" t="s">
        <v>1962</v>
      </c>
      <c r="E193" s="3" t="s">
        <v>54</v>
      </c>
      <c r="F193" s="7">
        <v>42318.0</v>
      </c>
      <c r="G193" s="3" t="s">
        <v>152</v>
      </c>
    </row>
    <row r="194" ht="15.75" customHeight="1">
      <c r="A194" s="6" t="s">
        <v>1966</v>
      </c>
      <c r="B194" s="6" t="s">
        <v>1602</v>
      </c>
      <c r="C194" s="6" t="s">
        <v>1612</v>
      </c>
      <c r="D194" s="6" t="s">
        <v>1615</v>
      </c>
      <c r="E194" s="3" t="s">
        <v>38</v>
      </c>
      <c r="F194" s="3"/>
      <c r="G194" s="3" t="s">
        <v>152</v>
      </c>
    </row>
    <row r="195" ht="15.75" customHeight="1">
      <c r="A195" s="6" t="s">
        <v>1973</v>
      </c>
      <c r="B195" s="6" t="s">
        <v>1977</v>
      </c>
      <c r="C195" s="6" t="s">
        <v>1978</v>
      </c>
      <c r="D195" s="6" t="s">
        <v>1979</v>
      </c>
      <c r="E195" s="3" t="s">
        <v>54</v>
      </c>
      <c r="F195" s="7">
        <v>45357.0</v>
      </c>
      <c r="G195" s="3" t="s">
        <v>78</v>
      </c>
    </row>
    <row r="196" ht="15.75" customHeight="1">
      <c r="A196" s="6" t="s">
        <v>1981</v>
      </c>
      <c r="B196" s="6" t="s">
        <v>1829</v>
      </c>
      <c r="C196" s="6" t="s">
        <v>1983</v>
      </c>
      <c r="D196" s="6" t="s">
        <v>1985</v>
      </c>
      <c r="E196" s="3" t="s">
        <v>54</v>
      </c>
      <c r="F196" s="7">
        <v>42685.0</v>
      </c>
      <c r="G196" s="3" t="s">
        <v>152</v>
      </c>
    </row>
    <row r="197" ht="15.75" customHeight="1">
      <c r="A197" s="6" t="s">
        <v>1993</v>
      </c>
      <c r="B197" s="6" t="s">
        <v>355</v>
      </c>
      <c r="C197" s="6" t="s">
        <v>368</v>
      </c>
      <c r="D197" s="6" t="s">
        <v>370</v>
      </c>
      <c r="E197" s="3" t="s">
        <v>38</v>
      </c>
      <c r="F197" s="3"/>
      <c r="G197" s="3" t="s">
        <v>78</v>
      </c>
    </row>
    <row r="198" ht="15.75" customHeight="1">
      <c r="A198" s="6" t="s">
        <v>2000</v>
      </c>
      <c r="B198" s="6" t="s">
        <v>2002</v>
      </c>
      <c r="C198" s="6" t="s">
        <v>2003</v>
      </c>
      <c r="D198" s="6" t="s">
        <v>2005</v>
      </c>
      <c r="E198" s="3" t="s">
        <v>54</v>
      </c>
      <c r="F198" s="7">
        <v>44601.0</v>
      </c>
      <c r="G198" s="3" t="s">
        <v>152</v>
      </c>
    </row>
    <row r="199" ht="15.75" customHeight="1">
      <c r="A199" s="6" t="s">
        <v>2012</v>
      </c>
      <c r="B199" s="6" t="s">
        <v>2014</v>
      </c>
      <c r="C199" s="6" t="s">
        <v>2015</v>
      </c>
      <c r="D199" s="6" t="s">
        <v>2016</v>
      </c>
      <c r="E199" s="3" t="s">
        <v>54</v>
      </c>
      <c r="F199" s="7">
        <v>45270.0</v>
      </c>
      <c r="G199" s="3" t="s">
        <v>110</v>
      </c>
    </row>
    <row r="200" ht="15.75" customHeight="1">
      <c r="A200" s="6" t="s">
        <v>2020</v>
      </c>
      <c r="B200" s="6" t="s">
        <v>2021</v>
      </c>
      <c r="C200" s="6" t="s">
        <v>2024</v>
      </c>
      <c r="D200" s="6" t="s">
        <v>2028</v>
      </c>
      <c r="E200" s="3" t="s">
        <v>54</v>
      </c>
      <c r="F200" s="7">
        <v>40452.0</v>
      </c>
      <c r="G200" s="3" t="s">
        <v>128</v>
      </c>
    </row>
    <row r="201" ht="15.75" customHeight="1">
      <c r="A201" s="6" t="s">
        <v>2030</v>
      </c>
      <c r="B201" s="6" t="s">
        <v>857</v>
      </c>
      <c r="C201" s="3"/>
      <c r="D201" s="6" t="s">
        <v>2033</v>
      </c>
      <c r="E201" s="3" t="s">
        <v>54</v>
      </c>
      <c r="F201" s="7">
        <v>43358.0</v>
      </c>
      <c r="G201" s="3" t="s">
        <v>128</v>
      </c>
    </row>
    <row r="202" ht="15.75" customHeight="1">
      <c r="A202" s="6" t="s">
        <v>2037</v>
      </c>
      <c r="B202" s="6" t="s">
        <v>2039</v>
      </c>
      <c r="C202" s="6" t="s">
        <v>2040</v>
      </c>
      <c r="D202" s="6" t="s">
        <v>2041</v>
      </c>
      <c r="E202" s="3" t="s">
        <v>54</v>
      </c>
      <c r="F202" s="7">
        <v>43175.0</v>
      </c>
      <c r="G202" s="3" t="s">
        <v>110</v>
      </c>
    </row>
    <row r="203" ht="15.75" customHeight="1">
      <c r="A203" s="6" t="s">
        <v>2048</v>
      </c>
      <c r="B203" s="6" t="s">
        <v>2049</v>
      </c>
      <c r="C203" s="6" t="s">
        <v>2051</v>
      </c>
      <c r="D203" s="6" t="s">
        <v>2052</v>
      </c>
      <c r="E203" s="3" t="s">
        <v>54</v>
      </c>
      <c r="F203" s="7">
        <v>45746.0</v>
      </c>
      <c r="G203" s="3" t="s">
        <v>128</v>
      </c>
    </row>
    <row r="204" ht="15.75" customHeight="1">
      <c r="A204" s="6" t="s">
        <v>2057</v>
      </c>
      <c r="B204" s="6" t="s">
        <v>2059</v>
      </c>
      <c r="C204" s="6" t="s">
        <v>2060</v>
      </c>
      <c r="D204" s="6" t="s">
        <v>2061</v>
      </c>
      <c r="E204" s="3" t="s">
        <v>47</v>
      </c>
      <c r="F204" s="7">
        <v>44491.0</v>
      </c>
      <c r="G204" s="3" t="s">
        <v>152</v>
      </c>
    </row>
    <row r="205" ht="15.75" customHeight="1">
      <c r="A205" s="6" t="s">
        <v>2065</v>
      </c>
      <c r="B205" s="6" t="s">
        <v>2068</v>
      </c>
      <c r="C205" s="6" t="s">
        <v>2070</v>
      </c>
      <c r="D205" s="3"/>
      <c r="E205" s="3" t="s">
        <v>54</v>
      </c>
      <c r="F205" s="7">
        <v>40391.0</v>
      </c>
      <c r="G205" s="3" t="s">
        <v>78</v>
      </c>
    </row>
    <row r="206" ht="15.75" customHeight="1">
      <c r="A206" s="6" t="s">
        <v>2071</v>
      </c>
      <c r="B206" s="6" t="s">
        <v>2073</v>
      </c>
      <c r="C206" s="6" t="s">
        <v>2075</v>
      </c>
      <c r="D206" s="6" t="s">
        <v>2076</v>
      </c>
      <c r="E206" s="3" t="s">
        <v>54</v>
      </c>
      <c r="F206" s="7">
        <v>40597.0</v>
      </c>
      <c r="G206" s="3" t="s">
        <v>152</v>
      </c>
    </row>
    <row r="207" ht="15.75" customHeight="1">
      <c r="A207" s="6" t="s">
        <v>2081</v>
      </c>
      <c r="B207" s="6" t="s">
        <v>2084</v>
      </c>
      <c r="C207" s="3"/>
      <c r="D207" s="6" t="s">
        <v>2086</v>
      </c>
      <c r="E207" s="3" t="s">
        <v>38</v>
      </c>
      <c r="F207" s="3"/>
      <c r="G207" s="3" t="s">
        <v>110</v>
      </c>
    </row>
    <row r="208" ht="15.75" customHeight="1">
      <c r="A208" s="6" t="s">
        <v>2088</v>
      </c>
      <c r="B208" s="6" t="s">
        <v>2090</v>
      </c>
      <c r="C208" s="3"/>
      <c r="D208" s="6" t="s">
        <v>2094</v>
      </c>
      <c r="E208" s="3" t="s">
        <v>54</v>
      </c>
      <c r="F208" s="7">
        <v>41512.0</v>
      </c>
      <c r="G208" s="3" t="s">
        <v>94</v>
      </c>
    </row>
    <row r="209" ht="15.75" customHeight="1">
      <c r="A209" s="6" t="s">
        <v>2097</v>
      </c>
      <c r="B209" s="6" t="s">
        <v>1565</v>
      </c>
      <c r="C209" s="6" t="s">
        <v>2100</v>
      </c>
      <c r="D209" s="6" t="s">
        <v>2103</v>
      </c>
      <c r="E209" s="3" t="s">
        <v>54</v>
      </c>
      <c r="F209" s="7">
        <v>43352.0</v>
      </c>
      <c r="G209" s="3" t="s">
        <v>78</v>
      </c>
    </row>
    <row r="210" ht="15.75" customHeight="1">
      <c r="A210" s="6" t="s">
        <v>2111</v>
      </c>
      <c r="B210" s="6" t="s">
        <v>1497</v>
      </c>
      <c r="C210" s="6" t="s">
        <v>2112</v>
      </c>
      <c r="D210" s="6" t="s">
        <v>2113</v>
      </c>
      <c r="E210" s="3" t="s">
        <v>54</v>
      </c>
      <c r="F210" s="7">
        <v>41334.0</v>
      </c>
      <c r="G210" s="3" t="s">
        <v>78</v>
      </c>
    </row>
    <row r="211" ht="15.75" customHeight="1">
      <c r="A211" s="6" t="s">
        <v>2116</v>
      </c>
      <c r="B211" s="6" t="s">
        <v>2119</v>
      </c>
      <c r="C211" s="3"/>
      <c r="D211" s="3"/>
      <c r="E211" s="3" t="s">
        <v>54</v>
      </c>
      <c r="F211" s="7">
        <v>43074.0</v>
      </c>
      <c r="G211" s="3" t="s">
        <v>152</v>
      </c>
    </row>
    <row r="212" ht="15.75" customHeight="1">
      <c r="A212" s="6" t="s">
        <v>2126</v>
      </c>
      <c r="B212" s="6" t="s">
        <v>804</v>
      </c>
      <c r="C212" s="6" t="s">
        <v>2127</v>
      </c>
      <c r="D212" s="3"/>
      <c r="E212" s="3" t="s">
        <v>54</v>
      </c>
      <c r="F212" s="7">
        <v>45956.0</v>
      </c>
      <c r="G212" s="3" t="s">
        <v>78</v>
      </c>
    </row>
    <row r="213" ht="15.75" customHeight="1">
      <c r="A213" s="6" t="s">
        <v>2137</v>
      </c>
      <c r="B213" s="6" t="s">
        <v>2139</v>
      </c>
      <c r="C213" s="3"/>
      <c r="D213" s="6" t="s">
        <v>2141</v>
      </c>
      <c r="E213" s="3" t="s">
        <v>54</v>
      </c>
      <c r="F213" s="7">
        <v>41030.0</v>
      </c>
      <c r="G213" s="3" t="s">
        <v>94</v>
      </c>
    </row>
    <row r="214" ht="15.75" customHeight="1">
      <c r="A214" s="6" t="s">
        <v>2143</v>
      </c>
      <c r="B214" s="6" t="s">
        <v>1106</v>
      </c>
      <c r="C214" s="6" t="s">
        <v>2145</v>
      </c>
      <c r="D214" s="6" t="s">
        <v>2147</v>
      </c>
      <c r="E214" s="3" t="s">
        <v>54</v>
      </c>
      <c r="F214" s="7">
        <v>42215.0</v>
      </c>
      <c r="G214" s="3" t="s">
        <v>110</v>
      </c>
    </row>
    <row r="215" ht="15.75" customHeight="1">
      <c r="A215" s="6" t="s">
        <v>2151</v>
      </c>
      <c r="B215" s="6" t="s">
        <v>2079</v>
      </c>
      <c r="C215" s="6" t="s">
        <v>2153</v>
      </c>
      <c r="D215" s="6" t="s">
        <v>2155</v>
      </c>
      <c r="E215" s="3" t="s">
        <v>54</v>
      </c>
      <c r="F215" s="7">
        <v>44771.0</v>
      </c>
      <c r="G215" s="3" t="s">
        <v>110</v>
      </c>
    </row>
    <row r="216" ht="15.75" customHeight="1">
      <c r="A216" s="6" t="s">
        <v>2159</v>
      </c>
      <c r="B216" s="6" t="s">
        <v>2161</v>
      </c>
      <c r="C216" s="6" t="s">
        <v>2163</v>
      </c>
      <c r="D216" s="6" t="s">
        <v>2164</v>
      </c>
      <c r="E216" s="3" t="s">
        <v>54</v>
      </c>
      <c r="F216" s="7">
        <v>45831.0</v>
      </c>
      <c r="G216" s="3" t="s">
        <v>110</v>
      </c>
    </row>
    <row r="217" ht="15.75" customHeight="1">
      <c r="A217" s="6" t="s">
        <v>2170</v>
      </c>
      <c r="B217" s="6" t="s">
        <v>2172</v>
      </c>
      <c r="C217" s="6" t="s">
        <v>2174</v>
      </c>
      <c r="D217" s="6" t="s">
        <v>2177</v>
      </c>
      <c r="E217" s="3" t="s">
        <v>54</v>
      </c>
      <c r="F217" s="7">
        <v>43639.0</v>
      </c>
      <c r="G217" s="3" t="s">
        <v>78</v>
      </c>
    </row>
    <row r="218" ht="15.75" customHeight="1">
      <c r="A218" s="6" t="s">
        <v>2179</v>
      </c>
      <c r="B218" s="6" t="s">
        <v>2180</v>
      </c>
      <c r="C218" s="6" t="s">
        <v>2181</v>
      </c>
      <c r="D218" s="6" t="s">
        <v>2183</v>
      </c>
      <c r="E218" s="3" t="s">
        <v>54</v>
      </c>
      <c r="F218" s="7">
        <v>41302.0</v>
      </c>
      <c r="G218" s="3" t="s">
        <v>94</v>
      </c>
    </row>
    <row r="219" ht="15.75" customHeight="1">
      <c r="A219" s="6" t="s">
        <v>2191</v>
      </c>
      <c r="B219" s="6" t="s">
        <v>1096</v>
      </c>
      <c r="C219" s="6" t="s">
        <v>1108</v>
      </c>
      <c r="D219" s="6" t="s">
        <v>1112</v>
      </c>
      <c r="E219" s="3" t="s">
        <v>54</v>
      </c>
      <c r="F219" s="7">
        <v>41097.0</v>
      </c>
      <c r="G219" s="3" t="s">
        <v>110</v>
      </c>
    </row>
    <row r="220" ht="15.75" customHeight="1">
      <c r="A220" s="6" t="s">
        <v>2199</v>
      </c>
      <c r="B220" s="6" t="s">
        <v>2200</v>
      </c>
      <c r="C220" s="6" t="s">
        <v>2201</v>
      </c>
      <c r="D220" s="6" t="s">
        <v>2203</v>
      </c>
      <c r="E220" s="3" t="s">
        <v>54</v>
      </c>
      <c r="F220" s="7">
        <v>42403.0</v>
      </c>
      <c r="G220" s="3" t="s">
        <v>152</v>
      </c>
    </row>
    <row r="221" ht="15.75" customHeight="1">
      <c r="A221" s="6" t="s">
        <v>2206</v>
      </c>
      <c r="B221" s="6" t="s">
        <v>2207</v>
      </c>
      <c r="C221" s="6" t="s">
        <v>2209</v>
      </c>
      <c r="D221" s="6" t="s">
        <v>2213</v>
      </c>
      <c r="E221" s="3" t="s">
        <v>54</v>
      </c>
      <c r="F221" s="7">
        <v>40305.0</v>
      </c>
      <c r="G221" s="3" t="s">
        <v>110</v>
      </c>
    </row>
    <row r="222" ht="15.75" customHeight="1">
      <c r="A222" s="6" t="s">
        <v>2217</v>
      </c>
      <c r="B222" s="6" t="s">
        <v>2220</v>
      </c>
      <c r="C222" s="6" t="s">
        <v>2222</v>
      </c>
      <c r="D222" s="6" t="s">
        <v>2225</v>
      </c>
      <c r="E222" s="3" t="s">
        <v>54</v>
      </c>
      <c r="F222" s="7">
        <v>45898.0</v>
      </c>
      <c r="G222" s="3" t="s">
        <v>128</v>
      </c>
    </row>
    <row r="223" ht="15.75" customHeight="1">
      <c r="A223" s="6" t="s">
        <v>2228</v>
      </c>
      <c r="B223" s="6" t="s">
        <v>1315</v>
      </c>
      <c r="C223" s="6" t="s">
        <v>2229</v>
      </c>
      <c r="D223" s="6" t="s">
        <v>2231</v>
      </c>
      <c r="E223" s="3" t="s">
        <v>54</v>
      </c>
      <c r="F223" s="7">
        <v>40551.0</v>
      </c>
      <c r="G223" s="3" t="s">
        <v>152</v>
      </c>
    </row>
    <row r="224" ht="15.75" customHeight="1">
      <c r="A224" s="6" t="s">
        <v>2237</v>
      </c>
      <c r="B224" s="6" t="s">
        <v>1124</v>
      </c>
      <c r="C224" s="6" t="s">
        <v>2240</v>
      </c>
      <c r="D224" s="6" t="s">
        <v>2242</v>
      </c>
      <c r="E224" s="3" t="s">
        <v>54</v>
      </c>
      <c r="F224" s="7">
        <v>40207.0</v>
      </c>
      <c r="G224" s="3" t="s">
        <v>128</v>
      </c>
    </row>
    <row r="225" ht="15.75" customHeight="1">
      <c r="A225" s="6" t="s">
        <v>2246</v>
      </c>
      <c r="B225" s="6" t="s">
        <v>1154</v>
      </c>
      <c r="C225" s="6" t="s">
        <v>2248</v>
      </c>
      <c r="D225" s="6" t="s">
        <v>2251</v>
      </c>
      <c r="E225" s="3" t="s">
        <v>54</v>
      </c>
      <c r="F225" s="7">
        <v>44127.0</v>
      </c>
      <c r="G225" s="3" t="s">
        <v>152</v>
      </c>
    </row>
    <row r="226" ht="15.75" customHeight="1">
      <c r="A226" s="6" t="s">
        <v>2257</v>
      </c>
      <c r="B226" s="6" t="s">
        <v>1335</v>
      </c>
      <c r="C226" s="6" t="s">
        <v>1350</v>
      </c>
      <c r="D226" s="6" t="s">
        <v>1353</v>
      </c>
      <c r="E226" s="3" t="s">
        <v>38</v>
      </c>
      <c r="F226" s="3"/>
      <c r="G226" s="3" t="s">
        <v>78</v>
      </c>
    </row>
    <row r="227" ht="15.75" customHeight="1">
      <c r="A227" s="6" t="s">
        <v>2263</v>
      </c>
      <c r="B227" s="6" t="s">
        <v>2265</v>
      </c>
      <c r="C227" s="6" t="s">
        <v>2267</v>
      </c>
      <c r="D227" s="6" t="s">
        <v>2271</v>
      </c>
      <c r="E227" s="3" t="s">
        <v>54</v>
      </c>
      <c r="F227" s="7">
        <v>45256.0</v>
      </c>
      <c r="G227" s="3" t="s">
        <v>128</v>
      </c>
    </row>
    <row r="228" ht="15.75" customHeight="1">
      <c r="A228" s="6" t="s">
        <v>2276</v>
      </c>
      <c r="B228" s="6" t="s">
        <v>2279</v>
      </c>
      <c r="C228" s="6" t="s">
        <v>2282</v>
      </c>
      <c r="D228" s="6" t="s">
        <v>2285</v>
      </c>
      <c r="E228" s="3" t="s">
        <v>54</v>
      </c>
      <c r="F228" s="7">
        <v>45375.0</v>
      </c>
      <c r="G228" s="3" t="s">
        <v>128</v>
      </c>
    </row>
    <row r="229" ht="15.75" customHeight="1">
      <c r="A229" s="6" t="s">
        <v>2287</v>
      </c>
      <c r="B229" s="6" t="s">
        <v>2289</v>
      </c>
      <c r="C229" s="6" t="s">
        <v>2024</v>
      </c>
      <c r="D229" s="6" t="s">
        <v>2028</v>
      </c>
      <c r="E229" s="3" t="s">
        <v>54</v>
      </c>
      <c r="F229" s="7">
        <v>44221.0</v>
      </c>
      <c r="G229" s="3" t="s">
        <v>128</v>
      </c>
    </row>
    <row r="230" ht="15.75" customHeight="1">
      <c r="A230" s="6" t="s">
        <v>2297</v>
      </c>
      <c r="B230" s="6" t="s">
        <v>1715</v>
      </c>
      <c r="C230" s="3"/>
      <c r="D230" s="6" t="s">
        <v>2300</v>
      </c>
      <c r="E230" s="3" t="s">
        <v>54</v>
      </c>
      <c r="F230" s="7">
        <v>42172.0</v>
      </c>
      <c r="G230" s="3" t="s">
        <v>110</v>
      </c>
    </row>
    <row r="231" ht="15.75" customHeight="1">
      <c r="A231" s="6" t="s">
        <v>2304</v>
      </c>
      <c r="B231" s="6" t="s">
        <v>2307</v>
      </c>
      <c r="C231" s="6" t="s">
        <v>2308</v>
      </c>
      <c r="D231" s="6" t="s">
        <v>2309</v>
      </c>
      <c r="E231" s="3" t="s">
        <v>54</v>
      </c>
      <c r="F231" s="7">
        <v>42664.0</v>
      </c>
      <c r="G231" s="3" t="s">
        <v>128</v>
      </c>
    </row>
    <row r="232" ht="15.75" customHeight="1">
      <c r="A232" s="6" t="s">
        <v>2317</v>
      </c>
      <c r="B232" s="6" t="s">
        <v>1785</v>
      </c>
      <c r="C232" s="6" t="s">
        <v>2321</v>
      </c>
      <c r="D232" s="3"/>
      <c r="E232" s="3" t="s">
        <v>54</v>
      </c>
      <c r="F232" s="7">
        <v>43824.0</v>
      </c>
      <c r="G232" s="3" t="s">
        <v>110</v>
      </c>
    </row>
    <row r="233" ht="15.75" customHeight="1">
      <c r="A233" s="6" t="s">
        <v>2325</v>
      </c>
      <c r="B233" s="6" t="s">
        <v>2326</v>
      </c>
      <c r="C233" s="6" t="s">
        <v>2328</v>
      </c>
      <c r="D233" s="6" t="s">
        <v>2331</v>
      </c>
      <c r="E233" s="3" t="s">
        <v>47</v>
      </c>
      <c r="F233" s="7">
        <v>45976.0</v>
      </c>
      <c r="G233" s="3" t="s">
        <v>110</v>
      </c>
    </row>
    <row r="234" ht="15.75" customHeight="1">
      <c r="A234" s="6" t="s">
        <v>2336</v>
      </c>
      <c r="B234" s="6" t="s">
        <v>2337</v>
      </c>
      <c r="C234" s="6" t="s">
        <v>2338</v>
      </c>
      <c r="D234" s="3"/>
      <c r="E234" s="3" t="s">
        <v>54</v>
      </c>
      <c r="F234" s="7">
        <v>40747.0</v>
      </c>
      <c r="G234" s="3" t="s">
        <v>110</v>
      </c>
    </row>
    <row r="235" ht="15.75" customHeight="1">
      <c r="A235" s="6" t="s">
        <v>2344</v>
      </c>
      <c r="B235" s="6" t="s">
        <v>2347</v>
      </c>
      <c r="C235" s="6" t="s">
        <v>2349</v>
      </c>
      <c r="D235" s="6" t="s">
        <v>2351</v>
      </c>
      <c r="E235" s="3" t="s">
        <v>54</v>
      </c>
      <c r="F235" s="7">
        <v>40446.0</v>
      </c>
      <c r="G235" s="3" t="s">
        <v>94</v>
      </c>
    </row>
    <row r="236" ht="15.75" customHeight="1">
      <c r="A236" s="6" t="s">
        <v>2355</v>
      </c>
      <c r="B236" s="6" t="s">
        <v>2356</v>
      </c>
      <c r="C236" s="6" t="s">
        <v>2358</v>
      </c>
      <c r="D236" s="6" t="s">
        <v>2361</v>
      </c>
      <c r="E236" s="3" t="s">
        <v>54</v>
      </c>
      <c r="F236" s="7">
        <v>42237.0</v>
      </c>
      <c r="G236" s="3" t="s">
        <v>128</v>
      </c>
    </row>
    <row r="237" ht="15.75" customHeight="1">
      <c r="A237" s="6" t="s">
        <v>2366</v>
      </c>
      <c r="B237" s="6" t="s">
        <v>1291</v>
      </c>
      <c r="C237" s="6" t="s">
        <v>2368</v>
      </c>
      <c r="D237" s="6" t="s">
        <v>2369</v>
      </c>
      <c r="E237" s="3" t="s">
        <v>38</v>
      </c>
      <c r="F237" s="3"/>
      <c r="G237" s="3" t="s">
        <v>152</v>
      </c>
    </row>
    <row r="238" ht="15.75" customHeight="1">
      <c r="A238" s="6" t="s">
        <v>2373</v>
      </c>
      <c r="B238" s="6" t="s">
        <v>1177</v>
      </c>
      <c r="C238" s="6" t="s">
        <v>2378</v>
      </c>
      <c r="D238" s="6" t="s">
        <v>2379</v>
      </c>
      <c r="E238" s="3" t="s">
        <v>47</v>
      </c>
      <c r="F238" s="7">
        <v>44835.0</v>
      </c>
      <c r="G238" s="3" t="s">
        <v>78</v>
      </c>
    </row>
    <row r="239" ht="15.75" customHeight="1">
      <c r="A239" s="6" t="s">
        <v>2381</v>
      </c>
      <c r="B239" s="6" t="s">
        <v>2382</v>
      </c>
      <c r="C239" s="6" t="s">
        <v>2383</v>
      </c>
      <c r="D239" s="6" t="s">
        <v>2385</v>
      </c>
      <c r="E239" s="3" t="s">
        <v>54</v>
      </c>
      <c r="F239" s="7">
        <v>43007.0</v>
      </c>
      <c r="G239" s="3" t="s">
        <v>110</v>
      </c>
    </row>
    <row r="240" ht="15.75" customHeight="1">
      <c r="A240" s="6" t="s">
        <v>2392</v>
      </c>
      <c r="B240" s="6" t="s">
        <v>2394</v>
      </c>
      <c r="C240" s="6" t="s">
        <v>2395</v>
      </c>
      <c r="D240" s="6" t="s">
        <v>2396</v>
      </c>
      <c r="E240" s="3" t="s">
        <v>54</v>
      </c>
      <c r="F240" s="7">
        <v>45178.0</v>
      </c>
      <c r="G240" s="3" t="s">
        <v>94</v>
      </c>
    </row>
    <row r="241" ht="15.75" customHeight="1">
      <c r="A241" s="6" t="s">
        <v>2399</v>
      </c>
      <c r="B241" s="6" t="s">
        <v>557</v>
      </c>
      <c r="C241" s="6" t="s">
        <v>2403</v>
      </c>
      <c r="D241" s="6" t="s">
        <v>2404</v>
      </c>
      <c r="E241" s="3" t="s">
        <v>54</v>
      </c>
      <c r="F241" s="7">
        <v>41868.0</v>
      </c>
      <c r="G241" s="3" t="s">
        <v>128</v>
      </c>
    </row>
    <row r="242" ht="15.75" customHeight="1">
      <c r="A242" s="6" t="s">
        <v>2405</v>
      </c>
      <c r="B242" s="6" t="s">
        <v>2408</v>
      </c>
      <c r="C242" s="6" t="s">
        <v>2409</v>
      </c>
      <c r="D242" s="6" t="s">
        <v>2410</v>
      </c>
      <c r="E242" s="3" t="s">
        <v>54</v>
      </c>
      <c r="F242" s="7">
        <v>44462.0</v>
      </c>
      <c r="G242" s="3" t="s">
        <v>78</v>
      </c>
    </row>
    <row r="243" ht="15.75" customHeight="1">
      <c r="A243" s="6" t="s">
        <v>2414</v>
      </c>
      <c r="B243" s="6" t="s">
        <v>2417</v>
      </c>
      <c r="C243" s="6" t="s">
        <v>2419</v>
      </c>
      <c r="D243" s="6" t="s">
        <v>2420</v>
      </c>
      <c r="E243" s="3" t="s">
        <v>54</v>
      </c>
      <c r="F243" s="7">
        <v>43084.0</v>
      </c>
      <c r="G243" s="3" t="s">
        <v>128</v>
      </c>
    </row>
    <row r="244" ht="15.75" customHeight="1">
      <c r="A244" s="6" t="s">
        <v>2425</v>
      </c>
      <c r="B244" s="6" t="s">
        <v>1307</v>
      </c>
      <c r="C244" s="6" t="s">
        <v>2427</v>
      </c>
      <c r="D244" s="6" t="s">
        <v>2428</v>
      </c>
      <c r="E244" s="3" t="s">
        <v>38</v>
      </c>
      <c r="F244" s="3"/>
      <c r="G244" s="3" t="s">
        <v>152</v>
      </c>
    </row>
    <row r="245" ht="15.75" customHeight="1">
      <c r="A245" s="6" t="s">
        <v>2433</v>
      </c>
      <c r="B245" s="6" t="s">
        <v>2435</v>
      </c>
      <c r="C245" s="6" t="s">
        <v>2438</v>
      </c>
      <c r="D245" s="6" t="s">
        <v>2439</v>
      </c>
      <c r="E245" s="3" t="s">
        <v>54</v>
      </c>
      <c r="F245" s="7">
        <v>40192.0</v>
      </c>
      <c r="G245" s="3" t="s">
        <v>78</v>
      </c>
    </row>
    <row r="246" ht="15.75" customHeight="1">
      <c r="A246" s="6" t="s">
        <v>2443</v>
      </c>
      <c r="B246" s="6" t="s">
        <v>2445</v>
      </c>
      <c r="C246" s="6" t="s">
        <v>1137</v>
      </c>
      <c r="D246" s="6" t="s">
        <v>1138</v>
      </c>
      <c r="E246" s="3" t="s">
        <v>47</v>
      </c>
      <c r="F246" s="7">
        <v>40451.0</v>
      </c>
      <c r="G246" s="3" t="s">
        <v>110</v>
      </c>
    </row>
    <row r="247" ht="15.75" customHeight="1">
      <c r="A247" s="6" t="s">
        <v>2452</v>
      </c>
      <c r="B247" s="6" t="s">
        <v>2453</v>
      </c>
      <c r="C247" s="6" t="s">
        <v>2454</v>
      </c>
      <c r="D247" s="6" t="s">
        <v>2455</v>
      </c>
      <c r="E247" s="3" t="s">
        <v>54</v>
      </c>
      <c r="F247" s="7">
        <v>44399.0</v>
      </c>
      <c r="G247" s="3" t="s">
        <v>128</v>
      </c>
    </row>
    <row r="248" ht="15.75" customHeight="1">
      <c r="A248" s="6" t="s">
        <v>2460</v>
      </c>
      <c r="B248" s="6" t="s">
        <v>1741</v>
      </c>
      <c r="C248" s="6" t="s">
        <v>2461</v>
      </c>
      <c r="D248" s="6" t="s">
        <v>2464</v>
      </c>
      <c r="E248" s="3" t="s">
        <v>38</v>
      </c>
      <c r="F248" s="3"/>
      <c r="G248" s="3" t="s">
        <v>94</v>
      </c>
    </row>
    <row r="249" ht="15.75" customHeight="1">
      <c r="A249" s="6" t="s">
        <v>2470</v>
      </c>
      <c r="B249" s="6" t="s">
        <v>899</v>
      </c>
      <c r="C249" s="6" t="s">
        <v>2471</v>
      </c>
      <c r="D249" s="6" t="s">
        <v>2473</v>
      </c>
      <c r="E249" s="3" t="s">
        <v>54</v>
      </c>
      <c r="F249" s="7">
        <v>42050.0</v>
      </c>
      <c r="G249" s="3" t="s">
        <v>94</v>
      </c>
    </row>
    <row r="250" ht="15.75" customHeight="1">
      <c r="A250" s="6" t="s">
        <v>2478</v>
      </c>
      <c r="B250" s="6" t="s">
        <v>2480</v>
      </c>
      <c r="C250" s="6" t="s">
        <v>2481</v>
      </c>
      <c r="D250" s="3"/>
      <c r="E250" s="3" t="s">
        <v>54</v>
      </c>
      <c r="F250" s="7">
        <v>43373.0</v>
      </c>
      <c r="G250" s="3" t="s">
        <v>152</v>
      </c>
    </row>
    <row r="251" ht="15.75" customHeight="1">
      <c r="A251" s="6" t="s">
        <v>2486</v>
      </c>
      <c r="B251" s="6" t="s">
        <v>2487</v>
      </c>
      <c r="C251" s="6" t="s">
        <v>2490</v>
      </c>
      <c r="D251" s="6" t="s">
        <v>2492</v>
      </c>
      <c r="E251" s="3" t="s">
        <v>38</v>
      </c>
      <c r="F251" s="3"/>
      <c r="G251" s="3" t="s">
        <v>128</v>
      </c>
    </row>
    <row r="252" ht="15.75" customHeight="1">
      <c r="A252" s="6" t="s">
        <v>2495</v>
      </c>
      <c r="B252" s="6" t="s">
        <v>2496</v>
      </c>
      <c r="C252" s="6" t="s">
        <v>1405</v>
      </c>
      <c r="D252" s="6" t="s">
        <v>1408</v>
      </c>
      <c r="E252" s="3" t="s">
        <v>54</v>
      </c>
      <c r="F252" s="7">
        <v>45830.0</v>
      </c>
      <c r="G252" s="3" t="s">
        <v>110</v>
      </c>
    </row>
    <row r="253" ht="15.75" customHeight="1">
      <c r="A253" s="6" t="s">
        <v>2503</v>
      </c>
      <c r="B253" s="6" t="s">
        <v>2505</v>
      </c>
      <c r="C253" s="6" t="s">
        <v>2507</v>
      </c>
      <c r="D253" s="6" t="s">
        <v>2509</v>
      </c>
      <c r="E253" s="3" t="s">
        <v>54</v>
      </c>
      <c r="F253" s="7">
        <v>40415.0</v>
      </c>
      <c r="G253" s="3" t="s">
        <v>152</v>
      </c>
    </row>
    <row r="254" ht="15.75" customHeight="1">
      <c r="A254" s="6" t="s">
        <v>2512</v>
      </c>
      <c r="B254" s="6" t="s">
        <v>2514</v>
      </c>
      <c r="C254" s="6" t="s">
        <v>2516</v>
      </c>
      <c r="D254" s="6" t="s">
        <v>2518</v>
      </c>
      <c r="E254" s="3" t="s">
        <v>54</v>
      </c>
      <c r="F254" s="7">
        <v>42126.0</v>
      </c>
      <c r="G254" s="3" t="s">
        <v>110</v>
      </c>
    </row>
    <row r="255" ht="15.75" customHeight="1">
      <c r="A255" s="6" t="s">
        <v>2522</v>
      </c>
      <c r="B255" s="6" t="s">
        <v>2525</v>
      </c>
      <c r="C255" s="6" t="s">
        <v>2527</v>
      </c>
      <c r="D255" s="6" t="s">
        <v>2529</v>
      </c>
      <c r="E255" s="3" t="s">
        <v>54</v>
      </c>
      <c r="F255" s="7">
        <v>45292.0</v>
      </c>
      <c r="G255" s="3" t="s">
        <v>152</v>
      </c>
    </row>
    <row r="256" ht="15.75" customHeight="1">
      <c r="A256" s="6" t="s">
        <v>2530</v>
      </c>
      <c r="B256" s="6" t="s">
        <v>2532</v>
      </c>
      <c r="C256" s="6" t="s">
        <v>2535</v>
      </c>
      <c r="D256" s="6" t="s">
        <v>2537</v>
      </c>
      <c r="E256" s="3" t="s">
        <v>54</v>
      </c>
      <c r="F256" s="7">
        <v>45313.0</v>
      </c>
      <c r="G256" s="3" t="s">
        <v>78</v>
      </c>
    </row>
    <row r="257" ht="15.75" customHeight="1">
      <c r="A257" s="6" t="s">
        <v>2542</v>
      </c>
      <c r="B257" s="6" t="s">
        <v>2545</v>
      </c>
      <c r="C257" s="6" t="s">
        <v>2546</v>
      </c>
      <c r="D257" s="6" t="s">
        <v>2547</v>
      </c>
      <c r="E257" s="3" t="s">
        <v>54</v>
      </c>
      <c r="F257" s="7">
        <v>44198.0</v>
      </c>
      <c r="G257" s="3" t="s">
        <v>94</v>
      </c>
    </row>
    <row r="258" ht="15.75" customHeight="1">
      <c r="A258" s="6" t="s">
        <v>2550</v>
      </c>
      <c r="B258" s="6" t="s">
        <v>642</v>
      </c>
      <c r="C258" s="6" t="s">
        <v>2553</v>
      </c>
      <c r="D258" s="3"/>
      <c r="E258" s="3" t="s">
        <v>54</v>
      </c>
      <c r="F258" s="7">
        <v>41464.0</v>
      </c>
      <c r="G258" s="3" t="s">
        <v>152</v>
      </c>
    </row>
    <row r="259" ht="15.75" customHeight="1">
      <c r="A259" s="6" t="s">
        <v>2558</v>
      </c>
      <c r="B259" s="6" t="s">
        <v>530</v>
      </c>
      <c r="C259" s="6" t="s">
        <v>544</v>
      </c>
      <c r="D259" s="6" t="s">
        <v>549</v>
      </c>
      <c r="E259" s="3" t="s">
        <v>54</v>
      </c>
      <c r="F259" s="7">
        <v>41528.0</v>
      </c>
      <c r="G259" s="3" t="s">
        <v>94</v>
      </c>
    </row>
    <row r="260" ht="15.75" customHeight="1">
      <c r="A260" s="6" t="s">
        <v>2565</v>
      </c>
      <c r="B260" s="6" t="s">
        <v>2567</v>
      </c>
      <c r="C260" s="6" t="s">
        <v>2570</v>
      </c>
      <c r="D260" s="6" t="s">
        <v>2571</v>
      </c>
      <c r="E260" s="3" t="s">
        <v>54</v>
      </c>
      <c r="F260" s="7">
        <v>42202.0</v>
      </c>
      <c r="G260" s="3" t="s">
        <v>94</v>
      </c>
    </row>
    <row r="261" ht="15.75" customHeight="1">
      <c r="A261" s="6" t="s">
        <v>2574</v>
      </c>
      <c r="B261" s="6" t="s">
        <v>2576</v>
      </c>
      <c r="C261" s="6" t="s">
        <v>2578</v>
      </c>
      <c r="D261" s="3"/>
      <c r="E261" s="3" t="s">
        <v>54</v>
      </c>
      <c r="F261" s="7">
        <v>40222.0</v>
      </c>
      <c r="G261" s="3" t="s">
        <v>128</v>
      </c>
    </row>
    <row r="262" ht="15.75" customHeight="1">
      <c r="A262" s="6" t="s">
        <v>2581</v>
      </c>
      <c r="B262" s="6" t="s">
        <v>2584</v>
      </c>
      <c r="C262" s="6" t="s">
        <v>2585</v>
      </c>
      <c r="D262" s="6" t="s">
        <v>2586</v>
      </c>
      <c r="E262" s="3" t="s">
        <v>54</v>
      </c>
      <c r="F262" s="7">
        <v>45792.0</v>
      </c>
      <c r="G262" s="3" t="s">
        <v>110</v>
      </c>
    </row>
    <row r="263" ht="15.75" customHeight="1">
      <c r="A263" s="6" t="s">
        <v>2589</v>
      </c>
      <c r="B263" s="6" t="s">
        <v>1458</v>
      </c>
      <c r="C263" s="6" t="s">
        <v>2595</v>
      </c>
      <c r="D263" s="6" t="s">
        <v>2596</v>
      </c>
      <c r="E263" s="3" t="s">
        <v>54</v>
      </c>
      <c r="F263" s="7">
        <v>43313.0</v>
      </c>
      <c r="G263" s="3" t="s">
        <v>152</v>
      </c>
    </row>
    <row r="264" ht="15.75" customHeight="1">
      <c r="A264" s="6" t="s">
        <v>2598</v>
      </c>
      <c r="B264" s="6" t="s">
        <v>2600</v>
      </c>
      <c r="C264" s="6" t="s">
        <v>679</v>
      </c>
      <c r="D264" s="6" t="s">
        <v>680</v>
      </c>
      <c r="E264" s="3" t="s">
        <v>38</v>
      </c>
      <c r="F264" s="3"/>
      <c r="G264" s="3" t="s">
        <v>94</v>
      </c>
    </row>
    <row r="265" ht="15.75" customHeight="1">
      <c r="A265" s="6" t="s">
        <v>2604</v>
      </c>
      <c r="B265" s="6" t="s">
        <v>2605</v>
      </c>
      <c r="C265" s="6" t="s">
        <v>2610</v>
      </c>
      <c r="D265" s="6" t="s">
        <v>2612</v>
      </c>
      <c r="E265" s="3" t="s">
        <v>38</v>
      </c>
      <c r="F265" s="3"/>
      <c r="G265" s="3" t="s">
        <v>110</v>
      </c>
    </row>
    <row r="266" ht="15.75" customHeight="1">
      <c r="A266" s="6" t="s">
        <v>2616</v>
      </c>
      <c r="B266" s="6" t="s">
        <v>2619</v>
      </c>
      <c r="C266" s="3"/>
      <c r="D266" s="6" t="s">
        <v>2621</v>
      </c>
      <c r="E266" s="3" t="s">
        <v>38</v>
      </c>
      <c r="F266" s="3"/>
      <c r="G266" s="3" t="s">
        <v>128</v>
      </c>
    </row>
    <row r="267" ht="15.75" customHeight="1">
      <c r="A267" s="6" t="s">
        <v>2623</v>
      </c>
      <c r="B267" s="6" t="s">
        <v>2625</v>
      </c>
      <c r="C267" s="6" t="s">
        <v>2627</v>
      </c>
      <c r="D267" s="3"/>
      <c r="E267" s="3" t="s">
        <v>38</v>
      </c>
      <c r="F267" s="3"/>
      <c r="G267" s="3" t="s">
        <v>78</v>
      </c>
    </row>
    <row r="268" ht="15.75" customHeight="1">
      <c r="A268" s="6" t="s">
        <v>2632</v>
      </c>
      <c r="B268" s="6" t="s">
        <v>958</v>
      </c>
      <c r="C268" s="6" t="s">
        <v>2634</v>
      </c>
      <c r="D268" s="6" t="s">
        <v>2635</v>
      </c>
      <c r="E268" s="3" t="s">
        <v>54</v>
      </c>
      <c r="F268" s="7">
        <v>45637.0</v>
      </c>
      <c r="G268" s="3" t="s">
        <v>94</v>
      </c>
    </row>
    <row r="269" ht="15.75" customHeight="1">
      <c r="A269" s="6" t="s">
        <v>2637</v>
      </c>
      <c r="B269" s="6" t="s">
        <v>1986</v>
      </c>
      <c r="C269" s="6" t="s">
        <v>1995</v>
      </c>
      <c r="D269" s="3"/>
      <c r="E269" s="3" t="s">
        <v>54</v>
      </c>
      <c r="F269" s="7">
        <v>43697.0</v>
      </c>
      <c r="G269" s="3" t="s">
        <v>128</v>
      </c>
    </row>
    <row r="270" ht="15.75" customHeight="1">
      <c r="A270" s="6" t="s">
        <v>2644</v>
      </c>
      <c r="B270" s="6" t="s">
        <v>1388</v>
      </c>
      <c r="C270" s="3"/>
      <c r="D270" s="6" t="s">
        <v>1407</v>
      </c>
      <c r="E270" s="3" t="s">
        <v>54</v>
      </c>
      <c r="F270" s="7">
        <v>42001.0</v>
      </c>
      <c r="G270" s="3" t="s">
        <v>128</v>
      </c>
    </row>
    <row r="271" ht="15.75" customHeight="1">
      <c r="A271" s="6" t="s">
        <v>2651</v>
      </c>
      <c r="B271" s="6" t="s">
        <v>2653</v>
      </c>
      <c r="C271" s="6" t="s">
        <v>2657</v>
      </c>
      <c r="D271" s="6" t="s">
        <v>2659</v>
      </c>
      <c r="E271" s="3" t="s">
        <v>54</v>
      </c>
      <c r="F271" s="7">
        <v>42955.0</v>
      </c>
      <c r="G271" s="3" t="s">
        <v>128</v>
      </c>
    </row>
    <row r="272" ht="15.75" customHeight="1">
      <c r="A272" s="6" t="s">
        <v>2664</v>
      </c>
      <c r="B272" s="6" t="s">
        <v>1521</v>
      </c>
      <c r="C272" s="3"/>
      <c r="D272" s="6" t="s">
        <v>2666</v>
      </c>
      <c r="E272" s="3" t="s">
        <v>54</v>
      </c>
      <c r="F272" s="7">
        <v>43389.0</v>
      </c>
      <c r="G272" s="3" t="s">
        <v>128</v>
      </c>
    </row>
    <row r="273" ht="15.75" customHeight="1">
      <c r="A273" s="6" t="s">
        <v>2670</v>
      </c>
      <c r="B273" s="6" t="s">
        <v>1906</v>
      </c>
      <c r="C273" s="6" t="s">
        <v>2676</v>
      </c>
      <c r="D273" s="6" t="s">
        <v>2677</v>
      </c>
      <c r="E273" s="3" t="s">
        <v>54</v>
      </c>
      <c r="F273" s="7">
        <v>42392.0</v>
      </c>
      <c r="G273" s="3" t="s">
        <v>78</v>
      </c>
    </row>
    <row r="274" ht="15.75" customHeight="1">
      <c r="A274" s="6" t="s">
        <v>2679</v>
      </c>
      <c r="B274" s="6" t="s">
        <v>1500</v>
      </c>
      <c r="C274" s="6" t="s">
        <v>1512</v>
      </c>
      <c r="D274" s="3"/>
      <c r="E274" s="3" t="s">
        <v>54</v>
      </c>
      <c r="F274" s="7">
        <v>42612.0</v>
      </c>
      <c r="G274" s="3" t="s">
        <v>110</v>
      </c>
    </row>
    <row r="275" ht="15.75" customHeight="1">
      <c r="A275" s="6" t="s">
        <v>2686</v>
      </c>
      <c r="B275" s="6" t="s">
        <v>1125</v>
      </c>
      <c r="C275" s="3"/>
      <c r="D275" s="6" t="s">
        <v>1141</v>
      </c>
      <c r="E275" s="3" t="s">
        <v>54</v>
      </c>
      <c r="F275" s="7">
        <v>41068.0</v>
      </c>
      <c r="G275" s="3" t="s">
        <v>94</v>
      </c>
    </row>
    <row r="276" ht="15.75" customHeight="1">
      <c r="A276" s="6" t="s">
        <v>2694</v>
      </c>
      <c r="B276" s="6" t="s">
        <v>2696</v>
      </c>
      <c r="C276" s="6" t="s">
        <v>2697</v>
      </c>
      <c r="D276" s="6" t="s">
        <v>2699</v>
      </c>
      <c r="E276" s="3" t="s">
        <v>54</v>
      </c>
      <c r="F276" s="7">
        <v>43590.0</v>
      </c>
      <c r="G276" s="3" t="s">
        <v>78</v>
      </c>
    </row>
    <row r="277" ht="15.75" customHeight="1">
      <c r="A277" s="6" t="s">
        <v>2702</v>
      </c>
      <c r="B277" s="6" t="s">
        <v>599</v>
      </c>
      <c r="C277" s="6" t="s">
        <v>703</v>
      </c>
      <c r="D277" s="6" t="s">
        <v>704</v>
      </c>
      <c r="E277" s="3" t="s">
        <v>54</v>
      </c>
      <c r="F277" s="7">
        <v>40755.0</v>
      </c>
      <c r="G277" s="3" t="s">
        <v>128</v>
      </c>
    </row>
    <row r="278" ht="15.75" customHeight="1">
      <c r="A278" s="6" t="s">
        <v>2710</v>
      </c>
      <c r="B278" s="6" t="s">
        <v>2711</v>
      </c>
      <c r="C278" s="6" t="s">
        <v>2712</v>
      </c>
      <c r="D278" s="6" t="s">
        <v>2713</v>
      </c>
      <c r="E278" s="3" t="s">
        <v>54</v>
      </c>
      <c r="F278" s="7">
        <v>42611.0</v>
      </c>
      <c r="G278" s="3" t="s">
        <v>128</v>
      </c>
    </row>
    <row r="279" ht="15.75" customHeight="1">
      <c r="A279" s="6" t="s">
        <v>2716</v>
      </c>
      <c r="B279" s="6" t="s">
        <v>2718</v>
      </c>
      <c r="C279" s="6" t="s">
        <v>2719</v>
      </c>
      <c r="D279" s="6" t="s">
        <v>2721</v>
      </c>
      <c r="E279" s="3" t="s">
        <v>38</v>
      </c>
      <c r="F279" s="3"/>
      <c r="G279" s="3" t="s">
        <v>128</v>
      </c>
    </row>
    <row r="280" ht="15.75" customHeight="1">
      <c r="A280" s="6" t="s">
        <v>2726</v>
      </c>
      <c r="B280" s="6" t="s">
        <v>2727</v>
      </c>
      <c r="C280" s="6" t="s">
        <v>2729</v>
      </c>
      <c r="D280" s="6" t="s">
        <v>2730</v>
      </c>
      <c r="E280" s="3" t="s">
        <v>54</v>
      </c>
      <c r="F280" s="7">
        <v>42593.0</v>
      </c>
      <c r="G280" s="3" t="s">
        <v>78</v>
      </c>
    </row>
    <row r="281" ht="15.75" customHeight="1">
      <c r="A281" s="6" t="s">
        <v>2733</v>
      </c>
      <c r="B281" s="6" t="s">
        <v>2735</v>
      </c>
      <c r="C281" s="6" t="s">
        <v>2736</v>
      </c>
      <c r="D281" s="6" t="s">
        <v>2737</v>
      </c>
      <c r="E281" s="3" t="s">
        <v>38</v>
      </c>
      <c r="F281" s="3"/>
      <c r="G281" s="3" t="s">
        <v>128</v>
      </c>
    </row>
    <row r="282" ht="15.75" customHeight="1">
      <c r="A282" s="6" t="s">
        <v>2743</v>
      </c>
      <c r="B282" s="6" t="s">
        <v>2441</v>
      </c>
      <c r="C282" s="6" t="s">
        <v>2746</v>
      </c>
      <c r="D282" s="6" t="s">
        <v>2747</v>
      </c>
      <c r="E282" s="3" t="s">
        <v>47</v>
      </c>
      <c r="F282" s="7">
        <v>43103.0</v>
      </c>
      <c r="G282" s="3" t="s">
        <v>128</v>
      </c>
    </row>
    <row r="283" ht="15.75" customHeight="1">
      <c r="A283" s="6" t="s">
        <v>2748</v>
      </c>
      <c r="B283" s="6" t="s">
        <v>2749</v>
      </c>
      <c r="C283" s="6" t="s">
        <v>2349</v>
      </c>
      <c r="D283" s="6" t="s">
        <v>2351</v>
      </c>
      <c r="E283" s="3" t="s">
        <v>38</v>
      </c>
      <c r="F283" s="3"/>
      <c r="G283" s="3" t="s">
        <v>152</v>
      </c>
    </row>
    <row r="284" ht="15.75" customHeight="1">
      <c r="A284" s="6" t="s">
        <v>2753</v>
      </c>
      <c r="B284" s="6" t="s">
        <v>2754</v>
      </c>
      <c r="C284" s="3"/>
      <c r="D284" s="6" t="s">
        <v>2755</v>
      </c>
      <c r="E284" s="3" t="s">
        <v>54</v>
      </c>
      <c r="F284" s="7">
        <v>44511.0</v>
      </c>
      <c r="G284" s="3" t="s">
        <v>78</v>
      </c>
    </row>
    <row r="285" ht="15.75" customHeight="1">
      <c r="A285" s="6" t="s">
        <v>2758</v>
      </c>
      <c r="B285" s="6" t="s">
        <v>2760</v>
      </c>
      <c r="C285" s="3"/>
      <c r="D285" s="6" t="s">
        <v>2761</v>
      </c>
      <c r="E285" s="3" t="s">
        <v>54</v>
      </c>
      <c r="F285" s="7">
        <v>43379.0</v>
      </c>
      <c r="G285" s="3" t="s">
        <v>152</v>
      </c>
    </row>
    <row r="286" ht="15.75" customHeight="1">
      <c r="A286" s="6" t="s">
        <v>2762</v>
      </c>
      <c r="B286" s="6" t="s">
        <v>1525</v>
      </c>
      <c r="C286" s="6" t="s">
        <v>2764</v>
      </c>
      <c r="D286" s="6" t="s">
        <v>2766</v>
      </c>
      <c r="E286" s="3" t="s">
        <v>38</v>
      </c>
      <c r="F286" s="3"/>
      <c r="G286" s="3" t="s">
        <v>78</v>
      </c>
    </row>
    <row r="287" ht="15.75" customHeight="1">
      <c r="A287" s="6" t="s">
        <v>2768</v>
      </c>
      <c r="B287" s="6" t="s">
        <v>2769</v>
      </c>
      <c r="C287" s="6" t="s">
        <v>2771</v>
      </c>
      <c r="D287" s="6" t="s">
        <v>2773</v>
      </c>
      <c r="E287" s="3" t="s">
        <v>54</v>
      </c>
      <c r="F287" s="7">
        <v>44123.0</v>
      </c>
      <c r="G287" s="3" t="s">
        <v>110</v>
      </c>
    </row>
    <row r="288" ht="15.75" customHeight="1">
      <c r="A288" s="6" t="s">
        <v>2775</v>
      </c>
      <c r="B288" s="6" t="s">
        <v>2776</v>
      </c>
      <c r="C288" s="6" t="s">
        <v>2779</v>
      </c>
      <c r="D288" s="6" t="s">
        <v>2780</v>
      </c>
      <c r="E288" s="3" t="s">
        <v>54</v>
      </c>
      <c r="F288" s="7">
        <v>41622.0</v>
      </c>
      <c r="G288" s="3" t="s">
        <v>94</v>
      </c>
    </row>
    <row r="289" ht="15.75" customHeight="1">
      <c r="A289" s="6" t="s">
        <v>2783</v>
      </c>
      <c r="B289" s="6" t="s">
        <v>1431</v>
      </c>
      <c r="C289" s="6" t="s">
        <v>2152</v>
      </c>
      <c r="D289" s="6" t="s">
        <v>2154</v>
      </c>
      <c r="E289" s="3" t="s">
        <v>54</v>
      </c>
      <c r="F289" s="7">
        <v>42734.0</v>
      </c>
      <c r="G289" s="3" t="s">
        <v>94</v>
      </c>
    </row>
    <row r="290" ht="15.75" customHeight="1">
      <c r="A290" s="6" t="s">
        <v>2788</v>
      </c>
      <c r="B290" s="6" t="s">
        <v>2442</v>
      </c>
      <c r="C290" s="6" t="s">
        <v>2449</v>
      </c>
      <c r="D290" s="6" t="s">
        <v>2451</v>
      </c>
      <c r="E290" s="3" t="s">
        <v>38</v>
      </c>
      <c r="F290" s="3"/>
      <c r="G290" s="3" t="s">
        <v>78</v>
      </c>
    </row>
    <row r="291" ht="15.75" customHeight="1">
      <c r="A291" s="6" t="s">
        <v>2796</v>
      </c>
      <c r="B291" s="6" t="s">
        <v>1689</v>
      </c>
      <c r="C291" s="6" t="s">
        <v>2516</v>
      </c>
      <c r="D291" s="6" t="s">
        <v>2518</v>
      </c>
      <c r="E291" s="3" t="s">
        <v>54</v>
      </c>
      <c r="F291" s="7">
        <v>41047.0</v>
      </c>
      <c r="G291" s="3" t="s">
        <v>152</v>
      </c>
    </row>
    <row r="292" ht="15.75" customHeight="1">
      <c r="A292" s="6" t="s">
        <v>2801</v>
      </c>
      <c r="B292" s="6" t="s">
        <v>2802</v>
      </c>
      <c r="C292" s="6" t="s">
        <v>2804</v>
      </c>
      <c r="D292" s="6" t="s">
        <v>2807</v>
      </c>
      <c r="E292" s="3" t="s">
        <v>54</v>
      </c>
      <c r="F292" s="7">
        <v>41044.0</v>
      </c>
      <c r="G292" s="3" t="s">
        <v>110</v>
      </c>
    </row>
    <row r="293" ht="15.75" customHeight="1">
      <c r="A293" s="6" t="s">
        <v>2809</v>
      </c>
      <c r="B293" s="6" t="s">
        <v>1837</v>
      </c>
      <c r="C293" s="6" t="s">
        <v>2815</v>
      </c>
      <c r="D293" s="3"/>
      <c r="E293" s="3" t="s">
        <v>38</v>
      </c>
      <c r="F293" s="3"/>
      <c r="G293" s="3" t="s">
        <v>152</v>
      </c>
    </row>
    <row r="294" ht="15.75" customHeight="1">
      <c r="A294" s="6" t="s">
        <v>2818</v>
      </c>
      <c r="B294" s="6" t="s">
        <v>2819</v>
      </c>
      <c r="C294" s="6" t="s">
        <v>2821</v>
      </c>
      <c r="D294" s="6" t="s">
        <v>2822</v>
      </c>
      <c r="E294" s="3" t="s">
        <v>54</v>
      </c>
      <c r="F294" s="7">
        <v>44598.0</v>
      </c>
      <c r="G294" s="3" t="s">
        <v>78</v>
      </c>
    </row>
    <row r="295" ht="15.75" customHeight="1">
      <c r="A295" s="6" t="s">
        <v>2826</v>
      </c>
      <c r="B295" s="6" t="s">
        <v>2828</v>
      </c>
      <c r="C295" s="6" t="s">
        <v>2830</v>
      </c>
      <c r="D295" s="3"/>
      <c r="E295" s="3" t="s">
        <v>54</v>
      </c>
      <c r="F295" s="7">
        <v>45096.0</v>
      </c>
      <c r="G295" s="3" t="s">
        <v>152</v>
      </c>
    </row>
    <row r="296" ht="15.75" customHeight="1">
      <c r="A296" s="6" t="s">
        <v>2837</v>
      </c>
      <c r="B296" s="6" t="s">
        <v>2493</v>
      </c>
      <c r="C296" s="6" t="s">
        <v>2502</v>
      </c>
      <c r="D296" s="6" t="s">
        <v>2504</v>
      </c>
      <c r="E296" s="3" t="s">
        <v>54</v>
      </c>
      <c r="F296" s="7">
        <v>42731.0</v>
      </c>
      <c r="G296" s="3" t="s">
        <v>78</v>
      </c>
    </row>
    <row r="297" ht="15.75" customHeight="1">
      <c r="A297" s="6" t="s">
        <v>2841</v>
      </c>
      <c r="B297" s="6" t="s">
        <v>2842</v>
      </c>
      <c r="C297" s="6" t="s">
        <v>2843</v>
      </c>
      <c r="D297" s="6" t="s">
        <v>2845</v>
      </c>
      <c r="E297" s="3" t="s">
        <v>54</v>
      </c>
      <c r="F297" s="7">
        <v>41176.0</v>
      </c>
      <c r="G297" s="3" t="s">
        <v>78</v>
      </c>
    </row>
    <row r="298" ht="15.75" customHeight="1">
      <c r="A298" s="6" t="s">
        <v>2848</v>
      </c>
      <c r="B298" s="6" t="s">
        <v>614</v>
      </c>
      <c r="C298" s="3"/>
      <c r="D298" s="6" t="s">
        <v>2852</v>
      </c>
      <c r="E298" s="3" t="s">
        <v>54</v>
      </c>
      <c r="F298" s="7">
        <v>40918.0</v>
      </c>
      <c r="G298" s="3" t="s">
        <v>110</v>
      </c>
    </row>
    <row r="299" ht="15.75" customHeight="1">
      <c r="A299" s="6" t="s">
        <v>2856</v>
      </c>
      <c r="B299" s="6" t="s">
        <v>909</v>
      </c>
      <c r="C299" s="6" t="s">
        <v>2858</v>
      </c>
      <c r="D299" s="6" t="s">
        <v>2860</v>
      </c>
      <c r="E299" s="3" t="s">
        <v>38</v>
      </c>
      <c r="F299" s="3"/>
      <c r="G299" s="3" t="s">
        <v>152</v>
      </c>
    </row>
    <row r="300" ht="15.75" customHeight="1">
      <c r="A300" s="6" t="s">
        <v>2863</v>
      </c>
      <c r="B300" s="6" t="s">
        <v>2865</v>
      </c>
      <c r="C300" s="6" t="s">
        <v>2866</v>
      </c>
      <c r="D300" s="6" t="s">
        <v>2867</v>
      </c>
      <c r="E300" s="3" t="s">
        <v>54</v>
      </c>
      <c r="F300" s="7">
        <v>41716.0</v>
      </c>
      <c r="G300" s="3" t="s">
        <v>110</v>
      </c>
    </row>
    <row r="301" ht="15.75" customHeight="1">
      <c r="A301" s="6" t="s">
        <v>2874</v>
      </c>
      <c r="B301" s="6" t="s">
        <v>643</v>
      </c>
      <c r="C301" s="3"/>
      <c r="D301" s="6" t="s">
        <v>651</v>
      </c>
      <c r="E301" s="3" t="s">
        <v>38</v>
      </c>
      <c r="F301" s="3"/>
      <c r="G301" s="3" t="s">
        <v>78</v>
      </c>
    </row>
    <row r="302" ht="15.75" customHeight="1">
      <c r="A302" s="6" t="s">
        <v>2876</v>
      </c>
      <c r="B302" s="6" t="s">
        <v>996</v>
      </c>
      <c r="C302" s="6" t="s">
        <v>1008</v>
      </c>
      <c r="D302" s="6" t="s">
        <v>1009</v>
      </c>
      <c r="E302" s="3" t="s">
        <v>54</v>
      </c>
      <c r="F302" s="7">
        <v>42359.0</v>
      </c>
      <c r="G302" s="3" t="s">
        <v>128</v>
      </c>
    </row>
    <row r="303" ht="15.75" customHeight="1">
      <c r="A303" s="6" t="s">
        <v>2882</v>
      </c>
      <c r="B303" s="6" t="s">
        <v>2362</v>
      </c>
      <c r="C303" s="6" t="s">
        <v>2883</v>
      </c>
      <c r="D303" s="6" t="s">
        <v>2885</v>
      </c>
      <c r="E303" s="3" t="s">
        <v>54</v>
      </c>
      <c r="F303" s="7">
        <v>41487.0</v>
      </c>
      <c r="G303" s="3" t="s">
        <v>78</v>
      </c>
    </row>
    <row r="304" ht="15.75" customHeight="1">
      <c r="A304" s="6" t="s">
        <v>2891</v>
      </c>
      <c r="B304" s="6" t="s">
        <v>2752</v>
      </c>
      <c r="C304" s="3"/>
      <c r="D304" s="6" t="s">
        <v>2893</v>
      </c>
      <c r="E304" s="3" t="s">
        <v>54</v>
      </c>
      <c r="F304" s="7">
        <v>43350.0</v>
      </c>
      <c r="G304" s="3" t="s">
        <v>78</v>
      </c>
    </row>
    <row r="305" ht="15.75" customHeight="1">
      <c r="A305" s="6" t="s">
        <v>2897</v>
      </c>
      <c r="B305" s="6" t="s">
        <v>2898</v>
      </c>
      <c r="C305" s="6" t="s">
        <v>2900</v>
      </c>
      <c r="D305" s="6" t="s">
        <v>2902</v>
      </c>
      <c r="E305" s="3" t="s">
        <v>54</v>
      </c>
      <c r="F305" s="7">
        <v>45331.0</v>
      </c>
      <c r="G305" s="3" t="s">
        <v>78</v>
      </c>
    </row>
    <row r="306" ht="15.75" customHeight="1">
      <c r="A306" s="6" t="s">
        <v>2906</v>
      </c>
      <c r="B306" s="6" t="s">
        <v>626</v>
      </c>
      <c r="C306" s="6" t="s">
        <v>635</v>
      </c>
      <c r="D306" s="6" t="s">
        <v>637</v>
      </c>
      <c r="E306" s="3" t="s">
        <v>38</v>
      </c>
      <c r="F306" s="3"/>
      <c r="G306" s="3" t="s">
        <v>128</v>
      </c>
    </row>
    <row r="307" ht="15.75" customHeight="1">
      <c r="A307" s="6" t="s">
        <v>2912</v>
      </c>
      <c r="B307" s="6" t="s">
        <v>1485</v>
      </c>
      <c r="C307" s="6" t="s">
        <v>2913</v>
      </c>
      <c r="D307" s="6" t="s">
        <v>2914</v>
      </c>
      <c r="E307" s="3" t="s">
        <v>38</v>
      </c>
      <c r="F307" s="3"/>
      <c r="G307" s="3" t="s">
        <v>128</v>
      </c>
    </row>
    <row r="308" ht="15.75" customHeight="1">
      <c r="A308" s="6" t="s">
        <v>2917</v>
      </c>
      <c r="B308" s="6" t="s">
        <v>2918</v>
      </c>
      <c r="C308" s="6" t="s">
        <v>2919</v>
      </c>
      <c r="D308" s="6" t="s">
        <v>2921</v>
      </c>
      <c r="E308" s="3" t="s">
        <v>54</v>
      </c>
      <c r="F308" s="7">
        <v>41087.0</v>
      </c>
      <c r="G308" s="3" t="s">
        <v>94</v>
      </c>
    </row>
    <row r="309" ht="15.75" customHeight="1">
      <c r="A309" s="6" t="s">
        <v>2927</v>
      </c>
      <c r="B309" s="6" t="s">
        <v>774</v>
      </c>
      <c r="C309" s="6" t="s">
        <v>2929</v>
      </c>
      <c r="D309" s="3"/>
      <c r="E309" s="3" t="s">
        <v>54</v>
      </c>
      <c r="F309" s="7">
        <v>44139.0</v>
      </c>
      <c r="G309" s="3" t="s">
        <v>78</v>
      </c>
    </row>
    <row r="310" ht="15.75" customHeight="1">
      <c r="A310" s="6" t="s">
        <v>2934</v>
      </c>
      <c r="B310" s="6" t="s">
        <v>922</v>
      </c>
      <c r="C310" s="6" t="s">
        <v>2935</v>
      </c>
      <c r="D310" s="6" t="s">
        <v>2936</v>
      </c>
      <c r="E310" s="3" t="s">
        <v>38</v>
      </c>
      <c r="F310" s="3"/>
      <c r="G310" s="3" t="s">
        <v>110</v>
      </c>
    </row>
    <row r="311" ht="15.75" customHeight="1">
      <c r="A311" s="6" t="s">
        <v>2940</v>
      </c>
      <c r="B311" s="6" t="s">
        <v>609</v>
      </c>
      <c r="C311" s="6" t="s">
        <v>618</v>
      </c>
      <c r="D311" s="6" t="s">
        <v>622</v>
      </c>
      <c r="E311" s="3" t="s">
        <v>54</v>
      </c>
      <c r="F311" s="7">
        <v>44139.0</v>
      </c>
      <c r="G311" s="3" t="s">
        <v>128</v>
      </c>
    </row>
    <row r="312" ht="15.75" customHeight="1">
      <c r="A312" s="6" t="s">
        <v>2946</v>
      </c>
      <c r="B312" s="6" t="s">
        <v>2528</v>
      </c>
      <c r="C312" s="6" t="s">
        <v>2947</v>
      </c>
      <c r="D312" s="6" t="s">
        <v>2948</v>
      </c>
      <c r="E312" s="3" t="s">
        <v>54</v>
      </c>
      <c r="F312" s="7">
        <v>44940.0</v>
      </c>
      <c r="G312" s="3" t="s">
        <v>94</v>
      </c>
    </row>
    <row r="313" ht="15.75" customHeight="1">
      <c r="A313" s="6" t="s">
        <v>2954</v>
      </c>
      <c r="B313" s="6" t="s">
        <v>2955</v>
      </c>
      <c r="C313" s="6" t="s">
        <v>2956</v>
      </c>
      <c r="D313" s="6" t="s">
        <v>2958</v>
      </c>
      <c r="E313" s="3" t="s">
        <v>38</v>
      </c>
      <c r="F313" s="3"/>
      <c r="G313" s="3" t="s">
        <v>94</v>
      </c>
    </row>
    <row r="314" ht="15.75" customHeight="1">
      <c r="A314" s="6" t="s">
        <v>2963</v>
      </c>
      <c r="B314" s="6" t="s">
        <v>924</v>
      </c>
      <c r="C314" s="6" t="s">
        <v>2966</v>
      </c>
      <c r="D314" s="6" t="s">
        <v>2967</v>
      </c>
      <c r="E314" s="3" t="s">
        <v>54</v>
      </c>
      <c r="F314" s="7">
        <v>41644.0</v>
      </c>
      <c r="G314" s="3" t="s">
        <v>94</v>
      </c>
    </row>
    <row r="315" ht="15.75" customHeight="1">
      <c r="A315" s="6" t="s">
        <v>2970</v>
      </c>
      <c r="B315" s="6" t="s">
        <v>2971</v>
      </c>
      <c r="C315" s="6" t="s">
        <v>2973</v>
      </c>
      <c r="D315" s="6" t="s">
        <v>2974</v>
      </c>
      <c r="E315" s="3" t="s">
        <v>54</v>
      </c>
      <c r="F315" s="7">
        <v>40338.0</v>
      </c>
      <c r="G315" s="3" t="s">
        <v>110</v>
      </c>
    </row>
    <row r="316" ht="15.75" customHeight="1">
      <c r="A316" s="6" t="s">
        <v>2981</v>
      </c>
      <c r="B316" s="6" t="s">
        <v>2407</v>
      </c>
      <c r="C316" s="6" t="s">
        <v>1013</v>
      </c>
      <c r="D316" s="6" t="s">
        <v>1016</v>
      </c>
      <c r="E316" s="3" t="s">
        <v>54</v>
      </c>
      <c r="F316" s="7">
        <v>45697.0</v>
      </c>
      <c r="G316" s="3" t="s">
        <v>128</v>
      </c>
    </row>
    <row r="317" ht="15.75" customHeight="1">
      <c r="A317" s="6" t="s">
        <v>2984</v>
      </c>
      <c r="B317" s="6" t="s">
        <v>2986</v>
      </c>
      <c r="C317" s="6" t="s">
        <v>2988</v>
      </c>
      <c r="D317" s="6" t="s">
        <v>2990</v>
      </c>
      <c r="E317" s="3" t="s">
        <v>54</v>
      </c>
      <c r="F317" s="7">
        <v>44047.0</v>
      </c>
      <c r="G317" s="3" t="s">
        <v>152</v>
      </c>
    </row>
    <row r="318" ht="15.75" customHeight="1">
      <c r="A318" s="6" t="s">
        <v>2995</v>
      </c>
      <c r="B318" s="6" t="s">
        <v>2996</v>
      </c>
      <c r="C318" s="3"/>
      <c r="D318" s="6" t="s">
        <v>2999</v>
      </c>
      <c r="E318" s="3" t="s">
        <v>54</v>
      </c>
      <c r="F318" s="7">
        <v>43350.0</v>
      </c>
      <c r="G318" s="3" t="s">
        <v>94</v>
      </c>
    </row>
    <row r="319" ht="15.75" customHeight="1">
      <c r="A319" s="6" t="s">
        <v>3004</v>
      </c>
      <c r="B319" s="6" t="s">
        <v>2824</v>
      </c>
      <c r="C319" s="6" t="s">
        <v>3005</v>
      </c>
      <c r="D319" s="6" t="s">
        <v>3006</v>
      </c>
      <c r="E319" s="3" t="s">
        <v>54</v>
      </c>
      <c r="F319" s="7">
        <v>42029.0</v>
      </c>
      <c r="G319" s="3" t="s">
        <v>128</v>
      </c>
    </row>
    <row r="320" ht="15.75" customHeight="1">
      <c r="A320" s="6" t="s">
        <v>3011</v>
      </c>
      <c r="B320" s="6" t="s">
        <v>3013</v>
      </c>
      <c r="C320" s="6" t="s">
        <v>3014</v>
      </c>
      <c r="D320" s="6" t="s">
        <v>3016</v>
      </c>
      <c r="E320" s="3" t="s">
        <v>54</v>
      </c>
      <c r="F320" s="7">
        <v>40335.0</v>
      </c>
      <c r="G320" s="3" t="s">
        <v>110</v>
      </c>
    </row>
    <row r="321" ht="15.75" customHeight="1">
      <c r="A321" s="6" t="s">
        <v>3019</v>
      </c>
      <c r="B321" s="6" t="s">
        <v>3021</v>
      </c>
      <c r="C321" s="6" t="s">
        <v>3023</v>
      </c>
      <c r="D321" s="6" t="s">
        <v>3026</v>
      </c>
      <c r="E321" s="3" t="s">
        <v>54</v>
      </c>
      <c r="F321" s="7">
        <v>44843.0</v>
      </c>
      <c r="G321" s="3" t="s">
        <v>94</v>
      </c>
    </row>
    <row r="322" ht="15.75" customHeight="1">
      <c r="A322" s="6" t="s">
        <v>3028</v>
      </c>
      <c r="B322" s="6" t="s">
        <v>3031</v>
      </c>
      <c r="C322" s="6" t="s">
        <v>3033</v>
      </c>
      <c r="D322" s="6" t="s">
        <v>3034</v>
      </c>
      <c r="E322" s="3" t="s">
        <v>54</v>
      </c>
      <c r="F322" s="7">
        <v>43079.0</v>
      </c>
      <c r="G322" s="3" t="s">
        <v>110</v>
      </c>
    </row>
    <row r="323" ht="15.75" customHeight="1">
      <c r="A323" s="6" t="s">
        <v>3037</v>
      </c>
      <c r="B323" s="6" t="s">
        <v>3038</v>
      </c>
      <c r="C323" s="6" t="s">
        <v>3039</v>
      </c>
      <c r="D323" s="6" t="s">
        <v>3040</v>
      </c>
      <c r="E323" s="3" t="s">
        <v>54</v>
      </c>
      <c r="F323" s="7">
        <v>40572.0</v>
      </c>
      <c r="G323" s="3" t="s">
        <v>128</v>
      </c>
    </row>
    <row r="324" ht="15.75" customHeight="1">
      <c r="A324" s="6" t="s">
        <v>3043</v>
      </c>
      <c r="B324" s="6" t="s">
        <v>3045</v>
      </c>
      <c r="C324" s="6" t="s">
        <v>3048</v>
      </c>
      <c r="D324" s="6" t="s">
        <v>3050</v>
      </c>
      <c r="E324" s="3" t="s">
        <v>54</v>
      </c>
      <c r="F324" s="7">
        <v>42767.0</v>
      </c>
      <c r="G324" s="3" t="s">
        <v>128</v>
      </c>
    </row>
    <row r="325" ht="15.75" customHeight="1">
      <c r="A325" s="6" t="s">
        <v>3052</v>
      </c>
      <c r="B325" s="6" t="s">
        <v>3053</v>
      </c>
      <c r="C325" s="6" t="s">
        <v>3054</v>
      </c>
      <c r="D325" s="6" t="s">
        <v>3055</v>
      </c>
      <c r="E325" s="3" t="s">
        <v>54</v>
      </c>
      <c r="F325" s="7">
        <v>45443.0</v>
      </c>
      <c r="G325" s="3" t="s">
        <v>78</v>
      </c>
    </row>
    <row r="326" ht="15.75" customHeight="1">
      <c r="A326" s="6" t="s">
        <v>3060</v>
      </c>
      <c r="B326" s="6" t="s">
        <v>1180</v>
      </c>
      <c r="C326" s="3"/>
      <c r="D326" s="6" t="s">
        <v>1194</v>
      </c>
      <c r="E326" s="3" t="s">
        <v>54</v>
      </c>
      <c r="F326" s="7">
        <v>44735.0</v>
      </c>
      <c r="G326" s="3" t="s">
        <v>128</v>
      </c>
    </row>
    <row r="327" ht="15.75" customHeight="1">
      <c r="A327" s="6" t="s">
        <v>3069</v>
      </c>
      <c r="B327" s="6" t="s">
        <v>3071</v>
      </c>
      <c r="C327" s="6" t="s">
        <v>3072</v>
      </c>
      <c r="D327" s="6" t="s">
        <v>3073</v>
      </c>
      <c r="E327" s="3" t="s">
        <v>54</v>
      </c>
      <c r="F327" s="7">
        <v>44838.0</v>
      </c>
      <c r="G327" s="3" t="s">
        <v>110</v>
      </c>
    </row>
    <row r="328" ht="15.75" customHeight="1">
      <c r="A328" s="6" t="s">
        <v>3076</v>
      </c>
      <c r="B328" s="6" t="s">
        <v>2258</v>
      </c>
      <c r="C328" s="6" t="s">
        <v>3079</v>
      </c>
      <c r="D328" s="6" t="s">
        <v>3080</v>
      </c>
      <c r="E328" s="3" t="s">
        <v>54</v>
      </c>
      <c r="F328" s="7">
        <v>45419.0</v>
      </c>
      <c r="G328" s="3" t="s">
        <v>128</v>
      </c>
    </row>
    <row r="329" ht="15.75" customHeight="1">
      <c r="A329" s="6" t="s">
        <v>3083</v>
      </c>
      <c r="B329" s="6" t="s">
        <v>3084</v>
      </c>
      <c r="C329" s="6" t="s">
        <v>3085</v>
      </c>
      <c r="D329" s="3"/>
      <c r="E329" s="3" t="s">
        <v>54</v>
      </c>
      <c r="F329" s="7">
        <v>44492.0</v>
      </c>
      <c r="G329" s="3" t="s">
        <v>94</v>
      </c>
    </row>
    <row r="330" ht="15.75" customHeight="1">
      <c r="A330" s="6" t="s">
        <v>3088</v>
      </c>
      <c r="B330" s="6" t="s">
        <v>577</v>
      </c>
      <c r="C330" s="6" t="s">
        <v>587</v>
      </c>
      <c r="D330" s="6" t="s">
        <v>589</v>
      </c>
      <c r="E330" s="3" t="s">
        <v>54</v>
      </c>
      <c r="F330" s="7">
        <v>43248.0</v>
      </c>
      <c r="G330" s="3" t="s">
        <v>128</v>
      </c>
    </row>
    <row r="331" ht="15.75" customHeight="1">
      <c r="A331" s="6" t="s">
        <v>3092</v>
      </c>
      <c r="B331" s="6" t="s">
        <v>2980</v>
      </c>
      <c r="C331" s="6" t="s">
        <v>3095</v>
      </c>
      <c r="D331" s="6" t="s">
        <v>3096</v>
      </c>
      <c r="E331" s="3" t="s">
        <v>54</v>
      </c>
      <c r="F331" s="7">
        <v>41058.0</v>
      </c>
      <c r="G331" s="3" t="s">
        <v>152</v>
      </c>
    </row>
    <row r="332" ht="15.75" customHeight="1">
      <c r="A332" s="6" t="s">
        <v>3099</v>
      </c>
      <c r="B332" s="6" t="s">
        <v>2592</v>
      </c>
      <c r="C332" s="6" t="s">
        <v>3100</v>
      </c>
      <c r="D332" s="6" t="s">
        <v>3102</v>
      </c>
      <c r="E332" s="3" t="s">
        <v>54</v>
      </c>
      <c r="F332" s="7">
        <v>43475.0</v>
      </c>
      <c r="G332" s="3" t="s">
        <v>94</v>
      </c>
    </row>
    <row r="333" ht="15.75" customHeight="1">
      <c r="A333" s="6" t="s">
        <v>3106</v>
      </c>
      <c r="B333" s="6" t="s">
        <v>3108</v>
      </c>
      <c r="C333" s="6" t="s">
        <v>3110</v>
      </c>
      <c r="D333" s="6" t="s">
        <v>3111</v>
      </c>
      <c r="E333" s="3" t="s">
        <v>38</v>
      </c>
      <c r="F333" s="3"/>
      <c r="G333" s="3" t="s">
        <v>152</v>
      </c>
    </row>
    <row r="334" ht="15.75" customHeight="1">
      <c r="A334" s="6" t="s">
        <v>3114</v>
      </c>
      <c r="B334" s="6" t="s">
        <v>3115</v>
      </c>
      <c r="C334" s="6" t="s">
        <v>3116</v>
      </c>
      <c r="D334" s="6" t="s">
        <v>3117</v>
      </c>
      <c r="E334" s="3" t="s">
        <v>54</v>
      </c>
      <c r="F334" s="7">
        <v>45917.0</v>
      </c>
      <c r="G334" s="3" t="s">
        <v>152</v>
      </c>
    </row>
    <row r="335" ht="15.75" customHeight="1">
      <c r="A335" s="6" t="s">
        <v>3122</v>
      </c>
      <c r="B335" s="6" t="s">
        <v>3123</v>
      </c>
      <c r="C335" s="6" t="s">
        <v>3124</v>
      </c>
      <c r="D335" s="6" t="s">
        <v>3126</v>
      </c>
      <c r="E335" s="3" t="s">
        <v>38</v>
      </c>
      <c r="F335" s="3"/>
      <c r="G335" s="3" t="s">
        <v>128</v>
      </c>
    </row>
    <row r="336" ht="15.75" customHeight="1">
      <c r="A336" s="6" t="s">
        <v>3130</v>
      </c>
      <c r="B336" s="6" t="s">
        <v>2205</v>
      </c>
      <c r="C336" s="6" t="s">
        <v>3131</v>
      </c>
      <c r="D336" s="6" t="s">
        <v>3133</v>
      </c>
      <c r="E336" s="3" t="s">
        <v>54</v>
      </c>
      <c r="F336" s="7">
        <v>44323.0</v>
      </c>
      <c r="G336" s="3" t="s">
        <v>78</v>
      </c>
    </row>
    <row r="337" ht="15.75" customHeight="1">
      <c r="A337" s="6" t="s">
        <v>3135</v>
      </c>
      <c r="B337" s="6" t="s">
        <v>2639</v>
      </c>
      <c r="C337" s="6" t="s">
        <v>2645</v>
      </c>
      <c r="D337" s="6" t="s">
        <v>2647</v>
      </c>
      <c r="E337" s="3" t="s">
        <v>38</v>
      </c>
      <c r="F337" s="3"/>
      <c r="G337" s="3" t="s">
        <v>78</v>
      </c>
    </row>
    <row r="338" ht="15.75" customHeight="1">
      <c r="A338" s="6" t="s">
        <v>3141</v>
      </c>
      <c r="B338" s="6" t="s">
        <v>1070</v>
      </c>
      <c r="C338" s="6" t="s">
        <v>3144</v>
      </c>
      <c r="D338" s="6" t="s">
        <v>3145</v>
      </c>
      <c r="E338" s="3" t="s">
        <v>38</v>
      </c>
      <c r="F338" s="3"/>
      <c r="G338" s="3" t="s">
        <v>152</v>
      </c>
    </row>
    <row r="339" ht="15.75" customHeight="1">
      <c r="A339" s="6" t="s">
        <v>3149</v>
      </c>
      <c r="B339" s="6" t="s">
        <v>3150</v>
      </c>
      <c r="C339" s="3"/>
      <c r="D339" s="6" t="s">
        <v>3152</v>
      </c>
      <c r="E339" s="3" t="s">
        <v>54</v>
      </c>
      <c r="F339" s="7">
        <v>40953.0</v>
      </c>
      <c r="G339" s="3" t="s">
        <v>152</v>
      </c>
    </row>
    <row r="340" ht="15.75" customHeight="1">
      <c r="A340" s="6" t="s">
        <v>3156</v>
      </c>
      <c r="B340" s="6" t="s">
        <v>1454</v>
      </c>
      <c r="C340" s="6" t="s">
        <v>3157</v>
      </c>
      <c r="D340" s="6" t="s">
        <v>3161</v>
      </c>
      <c r="E340" s="3" t="s">
        <v>54</v>
      </c>
      <c r="F340" s="7">
        <v>43175.0</v>
      </c>
      <c r="G340" s="3" t="s">
        <v>152</v>
      </c>
    </row>
    <row r="341" ht="15.75" customHeight="1">
      <c r="A341" s="6" t="s">
        <v>3165</v>
      </c>
      <c r="B341" s="6" t="s">
        <v>3167</v>
      </c>
      <c r="C341" s="6" t="s">
        <v>3169</v>
      </c>
      <c r="D341" s="6" t="s">
        <v>3171</v>
      </c>
      <c r="E341" s="3" t="s">
        <v>54</v>
      </c>
      <c r="F341" s="7">
        <v>43324.0</v>
      </c>
      <c r="G341" s="3" t="s">
        <v>128</v>
      </c>
    </row>
    <row r="342" ht="15.75" customHeight="1">
      <c r="A342" s="6" t="s">
        <v>3173</v>
      </c>
      <c r="B342" s="6" t="s">
        <v>1939</v>
      </c>
      <c r="C342" s="6" t="s">
        <v>3175</v>
      </c>
      <c r="D342" s="6" t="s">
        <v>3178</v>
      </c>
      <c r="E342" s="3" t="s">
        <v>54</v>
      </c>
      <c r="F342" s="7">
        <v>44747.0</v>
      </c>
      <c r="G342" s="3" t="s">
        <v>94</v>
      </c>
    </row>
    <row r="343" ht="15.75" customHeight="1">
      <c r="A343" s="6" t="s">
        <v>3182</v>
      </c>
      <c r="B343" s="6" t="s">
        <v>1058</v>
      </c>
      <c r="C343" s="6" t="s">
        <v>3185</v>
      </c>
      <c r="D343" s="6" t="s">
        <v>3186</v>
      </c>
      <c r="E343" s="3" t="s">
        <v>47</v>
      </c>
      <c r="F343" s="7">
        <v>43362.0</v>
      </c>
      <c r="G343" s="3" t="s">
        <v>110</v>
      </c>
    </row>
    <row r="344" ht="15.75" customHeight="1">
      <c r="A344" s="6" t="s">
        <v>3189</v>
      </c>
      <c r="B344" s="6" t="s">
        <v>3190</v>
      </c>
      <c r="C344" s="6" t="s">
        <v>3191</v>
      </c>
      <c r="D344" s="6" t="s">
        <v>3192</v>
      </c>
      <c r="E344" s="3" t="s">
        <v>54</v>
      </c>
      <c r="F344" s="7">
        <v>42495.0</v>
      </c>
      <c r="G344" s="3" t="s">
        <v>110</v>
      </c>
    </row>
    <row r="345" ht="15.75" customHeight="1">
      <c r="A345" s="6" t="s">
        <v>3198</v>
      </c>
      <c r="B345" s="6" t="s">
        <v>1208</v>
      </c>
      <c r="C345" s="3"/>
      <c r="D345" s="6" t="s">
        <v>3199</v>
      </c>
      <c r="E345" s="3" t="s">
        <v>54</v>
      </c>
      <c r="F345" s="7">
        <v>42085.0</v>
      </c>
      <c r="G345" s="3" t="s">
        <v>94</v>
      </c>
    </row>
    <row r="346" ht="15.75" customHeight="1">
      <c r="A346" s="6" t="s">
        <v>3201</v>
      </c>
      <c r="B346" s="6" t="s">
        <v>1700</v>
      </c>
      <c r="C346" s="6" t="s">
        <v>1740</v>
      </c>
      <c r="D346" s="6" t="s">
        <v>1743</v>
      </c>
      <c r="E346" s="3" t="s">
        <v>54</v>
      </c>
      <c r="F346" s="7">
        <v>43993.0</v>
      </c>
      <c r="G346" s="3" t="s">
        <v>110</v>
      </c>
    </row>
    <row r="347" ht="15.75" customHeight="1">
      <c r="A347" s="6" t="s">
        <v>3208</v>
      </c>
      <c r="B347" s="6" t="s">
        <v>3209</v>
      </c>
      <c r="C347" s="6" t="s">
        <v>3210</v>
      </c>
      <c r="D347" s="6" t="s">
        <v>3211</v>
      </c>
      <c r="E347" s="3" t="s">
        <v>38</v>
      </c>
      <c r="F347" s="3"/>
      <c r="G347" s="3" t="s">
        <v>78</v>
      </c>
    </row>
    <row r="348" ht="15.75" customHeight="1">
      <c r="A348" s="6" t="s">
        <v>3216</v>
      </c>
      <c r="B348" s="6" t="s">
        <v>809</v>
      </c>
      <c r="C348" s="6" t="s">
        <v>3217</v>
      </c>
      <c r="D348" s="6" t="s">
        <v>3220</v>
      </c>
      <c r="E348" s="3" t="s">
        <v>54</v>
      </c>
      <c r="F348" s="7">
        <v>40707.0</v>
      </c>
      <c r="G348" s="3" t="s">
        <v>110</v>
      </c>
    </row>
    <row r="349" ht="15.75" customHeight="1">
      <c r="A349" s="6" t="s">
        <v>3225</v>
      </c>
      <c r="B349" s="6" t="s">
        <v>3226</v>
      </c>
      <c r="C349" s="3"/>
      <c r="D349" s="6" t="s">
        <v>3229</v>
      </c>
      <c r="E349" s="3" t="s">
        <v>47</v>
      </c>
      <c r="F349" s="7">
        <v>43447.0</v>
      </c>
      <c r="G349" s="3" t="s">
        <v>128</v>
      </c>
    </row>
    <row r="350" ht="15.75" customHeight="1">
      <c r="A350" s="6" t="s">
        <v>3230</v>
      </c>
      <c r="B350" s="6" t="s">
        <v>3231</v>
      </c>
      <c r="C350" s="6" t="s">
        <v>3233</v>
      </c>
      <c r="D350" s="6" t="s">
        <v>3236</v>
      </c>
      <c r="E350" s="3" t="s">
        <v>38</v>
      </c>
      <c r="F350" s="3"/>
      <c r="G350" s="3" t="s">
        <v>128</v>
      </c>
    </row>
    <row r="351" ht="15.75" customHeight="1">
      <c r="A351" s="6" t="s">
        <v>3254</v>
      </c>
      <c r="B351" s="6" t="s">
        <v>1797</v>
      </c>
      <c r="C351" s="6" t="s">
        <v>3255</v>
      </c>
      <c r="D351" s="6" t="s">
        <v>3256</v>
      </c>
      <c r="E351" s="3" t="s">
        <v>54</v>
      </c>
      <c r="F351" s="7">
        <v>43315.0</v>
      </c>
      <c r="G351" s="3" t="s">
        <v>128</v>
      </c>
    </row>
    <row r="352" ht="15.75" customHeight="1">
      <c r="A352" s="6" t="s">
        <v>3259</v>
      </c>
      <c r="B352" s="6" t="s">
        <v>3260</v>
      </c>
      <c r="C352" s="6" t="s">
        <v>3261</v>
      </c>
      <c r="D352" s="6" t="s">
        <v>3262</v>
      </c>
      <c r="E352" s="3" t="s">
        <v>54</v>
      </c>
      <c r="F352" s="7">
        <v>44368.0</v>
      </c>
      <c r="G352" s="3" t="s">
        <v>78</v>
      </c>
    </row>
    <row r="353" ht="15.75" customHeight="1">
      <c r="A353" s="6" t="s">
        <v>3266</v>
      </c>
      <c r="B353" s="6" t="s">
        <v>1292</v>
      </c>
      <c r="C353" s="6" t="s">
        <v>1306</v>
      </c>
      <c r="D353" s="6" t="s">
        <v>1308</v>
      </c>
      <c r="E353" s="3" t="s">
        <v>54</v>
      </c>
      <c r="F353" s="7">
        <v>40802.0</v>
      </c>
      <c r="G353" s="3" t="s">
        <v>152</v>
      </c>
    </row>
    <row r="354" ht="15.75" customHeight="1">
      <c r="A354" s="6" t="s">
        <v>3269</v>
      </c>
      <c r="B354" s="6" t="s">
        <v>3271</v>
      </c>
      <c r="C354" s="6" t="s">
        <v>3274</v>
      </c>
      <c r="D354" s="6" t="s">
        <v>3276</v>
      </c>
      <c r="E354" s="3" t="s">
        <v>54</v>
      </c>
      <c r="F354" s="7">
        <v>45280.0</v>
      </c>
      <c r="G354" s="3" t="s">
        <v>128</v>
      </c>
    </row>
    <row r="355" ht="15.75" customHeight="1">
      <c r="A355" s="6" t="s">
        <v>3281</v>
      </c>
      <c r="B355" s="6" t="s">
        <v>1692</v>
      </c>
      <c r="C355" s="6" t="s">
        <v>1704</v>
      </c>
      <c r="D355" s="6" t="s">
        <v>1710</v>
      </c>
      <c r="E355" s="3" t="s">
        <v>38</v>
      </c>
      <c r="F355" s="3"/>
      <c r="G355" s="3" t="s">
        <v>110</v>
      </c>
    </row>
    <row r="356" ht="15.75" customHeight="1">
      <c r="A356" s="6" t="s">
        <v>3286</v>
      </c>
      <c r="B356" s="6" t="s">
        <v>1438</v>
      </c>
      <c r="C356" s="6" t="s">
        <v>1450</v>
      </c>
      <c r="D356" s="6" t="s">
        <v>1452</v>
      </c>
      <c r="E356" s="3" t="s">
        <v>54</v>
      </c>
      <c r="F356" s="7">
        <v>44038.0</v>
      </c>
      <c r="G356" s="3" t="s">
        <v>128</v>
      </c>
    </row>
    <row r="357" ht="15.75" customHeight="1">
      <c r="A357" s="6" t="s">
        <v>3295</v>
      </c>
      <c r="B357" s="6" t="s">
        <v>3296</v>
      </c>
      <c r="C357" s="6" t="s">
        <v>3298</v>
      </c>
      <c r="D357" s="6" t="s">
        <v>3299</v>
      </c>
      <c r="E357" s="3" t="s">
        <v>54</v>
      </c>
      <c r="F357" s="7">
        <v>44612.0</v>
      </c>
      <c r="G357" s="3" t="s">
        <v>94</v>
      </c>
    </row>
    <row r="358" ht="15.75" customHeight="1">
      <c r="A358" s="6" t="s">
        <v>3301</v>
      </c>
      <c r="B358" s="6" t="s">
        <v>3303</v>
      </c>
      <c r="C358" s="6" t="s">
        <v>3304</v>
      </c>
      <c r="D358" s="3"/>
      <c r="E358" s="3" t="s">
        <v>54</v>
      </c>
      <c r="F358" s="7">
        <v>44258.0</v>
      </c>
      <c r="G358" s="3" t="s">
        <v>78</v>
      </c>
    </row>
    <row r="359" ht="15.75" customHeight="1">
      <c r="A359" s="6" t="s">
        <v>3309</v>
      </c>
      <c r="B359" s="6" t="s">
        <v>3312</v>
      </c>
      <c r="C359" s="6" t="s">
        <v>3314</v>
      </c>
      <c r="D359" s="6" t="s">
        <v>3315</v>
      </c>
      <c r="E359" s="3" t="s">
        <v>54</v>
      </c>
      <c r="F359" s="7">
        <v>41095.0</v>
      </c>
      <c r="G359" s="3" t="s">
        <v>152</v>
      </c>
    </row>
    <row r="360" ht="15.75" customHeight="1">
      <c r="A360" s="6" t="s">
        <v>3317</v>
      </c>
      <c r="B360" s="6" t="s">
        <v>450</v>
      </c>
      <c r="C360" s="6" t="s">
        <v>459</v>
      </c>
      <c r="D360" s="6" t="s">
        <v>462</v>
      </c>
      <c r="E360" s="3" t="s">
        <v>54</v>
      </c>
      <c r="F360" s="7">
        <v>44968.0</v>
      </c>
      <c r="G360" s="3" t="s">
        <v>78</v>
      </c>
    </row>
    <row r="361" ht="15.75" customHeight="1">
      <c r="A361" s="6" t="s">
        <v>3321</v>
      </c>
      <c r="B361" s="6" t="s">
        <v>3322</v>
      </c>
      <c r="C361" s="6" t="s">
        <v>3323</v>
      </c>
      <c r="D361" s="6" t="s">
        <v>3324</v>
      </c>
      <c r="E361" s="3" t="s">
        <v>38</v>
      </c>
      <c r="F361" s="3"/>
      <c r="G361" s="3" t="s">
        <v>94</v>
      </c>
    </row>
    <row r="362" ht="15.75" customHeight="1">
      <c r="A362" s="6" t="s">
        <v>3328</v>
      </c>
      <c r="B362" s="6" t="s">
        <v>3329</v>
      </c>
      <c r="C362" s="6" t="s">
        <v>3330</v>
      </c>
      <c r="D362" s="6" t="s">
        <v>3332</v>
      </c>
      <c r="E362" s="3" t="s">
        <v>54</v>
      </c>
      <c r="F362" s="7">
        <v>42572.0</v>
      </c>
      <c r="G362" s="3" t="s">
        <v>78</v>
      </c>
    </row>
    <row r="363" ht="15.75" customHeight="1">
      <c r="A363" s="6" t="s">
        <v>3335</v>
      </c>
      <c r="B363" s="6" t="s">
        <v>3336</v>
      </c>
      <c r="C363" s="6" t="s">
        <v>3337</v>
      </c>
      <c r="D363" s="6" t="s">
        <v>3338</v>
      </c>
      <c r="E363" s="3" t="s">
        <v>54</v>
      </c>
      <c r="F363" s="7">
        <v>44946.0</v>
      </c>
      <c r="G363" s="3" t="s">
        <v>152</v>
      </c>
    </row>
    <row r="364" ht="15.75" customHeight="1">
      <c r="A364" s="6" t="s">
        <v>3340</v>
      </c>
      <c r="B364" s="6" t="s">
        <v>3341</v>
      </c>
      <c r="C364" s="6" t="s">
        <v>3343</v>
      </c>
      <c r="D364" s="6" t="s">
        <v>3345</v>
      </c>
      <c r="E364" s="3" t="s">
        <v>54</v>
      </c>
      <c r="F364" s="7">
        <v>44709.0</v>
      </c>
      <c r="G364" s="3" t="s">
        <v>152</v>
      </c>
    </row>
    <row r="365" ht="15.75" customHeight="1">
      <c r="A365" s="6" t="s">
        <v>3350</v>
      </c>
      <c r="B365" s="6" t="s">
        <v>3352</v>
      </c>
      <c r="C365" s="6" t="s">
        <v>3353</v>
      </c>
      <c r="D365" s="6" t="s">
        <v>3354</v>
      </c>
      <c r="E365" s="3" t="s">
        <v>54</v>
      </c>
      <c r="F365" s="7">
        <v>42663.0</v>
      </c>
      <c r="G365" s="3" t="s">
        <v>152</v>
      </c>
    </row>
    <row r="366" ht="15.75" customHeight="1">
      <c r="A366" s="6" t="s">
        <v>3356</v>
      </c>
      <c r="B366" s="6" t="s">
        <v>3357</v>
      </c>
      <c r="C366" s="6" t="s">
        <v>3359</v>
      </c>
      <c r="D366" s="6" t="s">
        <v>3361</v>
      </c>
      <c r="E366" s="3" t="s">
        <v>54</v>
      </c>
      <c r="F366" s="7">
        <v>43388.0</v>
      </c>
      <c r="G366" s="3" t="s">
        <v>110</v>
      </c>
    </row>
    <row r="367" ht="15.75" customHeight="1">
      <c r="A367" s="6" t="s">
        <v>3366</v>
      </c>
      <c r="B367" s="6" t="s">
        <v>2878</v>
      </c>
      <c r="C367" s="6" t="s">
        <v>2890</v>
      </c>
      <c r="D367" s="6" t="s">
        <v>2892</v>
      </c>
      <c r="E367" s="3" t="s">
        <v>54</v>
      </c>
      <c r="F367" s="7">
        <v>42666.0</v>
      </c>
      <c r="G367" s="3" t="s">
        <v>78</v>
      </c>
    </row>
    <row r="368" ht="15.75" customHeight="1">
      <c r="A368" s="6" t="s">
        <v>3371</v>
      </c>
      <c r="B368" s="6" t="s">
        <v>3036</v>
      </c>
      <c r="C368" s="6" t="s">
        <v>3372</v>
      </c>
      <c r="D368" s="6" t="s">
        <v>3376</v>
      </c>
      <c r="E368" s="3" t="s">
        <v>38</v>
      </c>
      <c r="F368" s="3"/>
      <c r="G368" s="3" t="s">
        <v>110</v>
      </c>
    </row>
    <row r="369" ht="15.75" customHeight="1">
      <c r="A369" s="6" t="s">
        <v>3378</v>
      </c>
      <c r="B369" s="6" t="s">
        <v>1641</v>
      </c>
      <c r="C369" s="6" t="s">
        <v>3380</v>
      </c>
      <c r="D369" s="6" t="s">
        <v>3382</v>
      </c>
      <c r="E369" s="3" t="s">
        <v>47</v>
      </c>
      <c r="F369" s="7">
        <v>43902.0</v>
      </c>
      <c r="G369" s="3" t="s">
        <v>152</v>
      </c>
    </row>
    <row r="370" ht="15.75" customHeight="1">
      <c r="A370" s="6" t="s">
        <v>3386</v>
      </c>
      <c r="B370" s="6" t="s">
        <v>3389</v>
      </c>
      <c r="C370" s="6" t="s">
        <v>3390</v>
      </c>
      <c r="D370" s="6" t="s">
        <v>3391</v>
      </c>
      <c r="E370" s="3" t="s">
        <v>38</v>
      </c>
      <c r="F370" s="3"/>
      <c r="G370" s="3" t="s">
        <v>110</v>
      </c>
    </row>
    <row r="371" ht="15.75" customHeight="1">
      <c r="A371" s="6" t="s">
        <v>3393</v>
      </c>
      <c r="B371" s="6" t="s">
        <v>3395</v>
      </c>
      <c r="C371" s="6" t="s">
        <v>3396</v>
      </c>
      <c r="D371" s="6" t="s">
        <v>3398</v>
      </c>
      <c r="E371" s="3" t="s">
        <v>54</v>
      </c>
      <c r="F371" s="7">
        <v>43881.0</v>
      </c>
      <c r="G371" s="3" t="s">
        <v>152</v>
      </c>
    </row>
    <row r="372" ht="15.75" customHeight="1">
      <c r="A372" s="6" t="s">
        <v>3404</v>
      </c>
      <c r="B372" s="6" t="s">
        <v>3405</v>
      </c>
      <c r="C372" s="6" t="s">
        <v>3406</v>
      </c>
      <c r="D372" s="6" t="s">
        <v>3407</v>
      </c>
      <c r="E372" s="3" t="s">
        <v>47</v>
      </c>
      <c r="F372" s="7">
        <v>45447.0</v>
      </c>
      <c r="G372" s="3" t="s">
        <v>152</v>
      </c>
    </row>
    <row r="373" ht="15.75" customHeight="1">
      <c r="A373" s="6" t="s">
        <v>3411</v>
      </c>
      <c r="B373" s="6" t="s">
        <v>2280</v>
      </c>
      <c r="C373" s="6" t="s">
        <v>3413</v>
      </c>
      <c r="D373" s="6" t="s">
        <v>3415</v>
      </c>
      <c r="E373" s="3" t="s">
        <v>54</v>
      </c>
      <c r="F373" s="7">
        <v>43655.0</v>
      </c>
      <c r="G373" s="3" t="s">
        <v>94</v>
      </c>
    </row>
    <row r="374" ht="15.75" customHeight="1">
      <c r="A374" s="6" t="s">
        <v>3420</v>
      </c>
      <c r="B374" s="6" t="s">
        <v>797</v>
      </c>
      <c r="C374" s="6" t="s">
        <v>3423</v>
      </c>
      <c r="D374" s="6" t="s">
        <v>3425</v>
      </c>
      <c r="E374" s="3" t="s">
        <v>54</v>
      </c>
      <c r="F374" s="7">
        <v>41203.0</v>
      </c>
      <c r="G374" s="3" t="s">
        <v>94</v>
      </c>
    </row>
    <row r="375" ht="15.75" customHeight="1">
      <c r="A375" s="6" t="s">
        <v>3426</v>
      </c>
      <c r="B375" s="6" t="s">
        <v>1869</v>
      </c>
      <c r="C375" s="6" t="s">
        <v>1881</v>
      </c>
      <c r="D375" s="6" t="s">
        <v>1884</v>
      </c>
      <c r="E375" s="3" t="s">
        <v>38</v>
      </c>
      <c r="F375" s="3"/>
      <c r="G375" s="3" t="s">
        <v>78</v>
      </c>
    </row>
    <row r="376" ht="15.75" customHeight="1">
      <c r="A376" s="6" t="s">
        <v>3434</v>
      </c>
      <c r="B376" s="6" t="s">
        <v>655</v>
      </c>
      <c r="C376" s="6" t="s">
        <v>3439</v>
      </c>
      <c r="D376" s="3"/>
      <c r="E376" s="3" t="s">
        <v>54</v>
      </c>
      <c r="F376" s="7">
        <v>41183.0</v>
      </c>
      <c r="G376" s="3" t="s">
        <v>152</v>
      </c>
    </row>
    <row r="377" ht="15.75" customHeight="1">
      <c r="A377" s="6" t="s">
        <v>3442</v>
      </c>
      <c r="B377" s="6" t="s">
        <v>2859</v>
      </c>
      <c r="C377" s="6" t="s">
        <v>3446</v>
      </c>
      <c r="D377" s="6" t="s">
        <v>3447</v>
      </c>
      <c r="E377" s="3" t="s">
        <v>54</v>
      </c>
      <c r="F377" s="7">
        <v>45053.0</v>
      </c>
      <c r="G377" s="3" t="s">
        <v>94</v>
      </c>
    </row>
    <row r="378" ht="15.75" customHeight="1">
      <c r="A378" s="6" t="s">
        <v>3448</v>
      </c>
      <c r="B378" s="6" t="s">
        <v>1272</v>
      </c>
      <c r="C378" s="6" t="s">
        <v>1284</v>
      </c>
      <c r="D378" s="6" t="s">
        <v>1288</v>
      </c>
      <c r="E378" s="3" t="s">
        <v>47</v>
      </c>
      <c r="F378" s="7">
        <v>44912.0</v>
      </c>
      <c r="G378" s="3" t="s">
        <v>78</v>
      </c>
    </row>
    <row r="379" ht="15.75" customHeight="1">
      <c r="A379" s="6" t="s">
        <v>3456</v>
      </c>
      <c r="B379" s="6" t="s">
        <v>952</v>
      </c>
      <c r="C379" s="6" t="s">
        <v>3459</v>
      </c>
      <c r="D379" s="6" t="s">
        <v>3461</v>
      </c>
      <c r="E379" s="3" t="s">
        <v>54</v>
      </c>
      <c r="F379" s="7">
        <v>45747.0</v>
      </c>
      <c r="G379" s="3" t="s">
        <v>110</v>
      </c>
    </row>
    <row r="380" ht="15.75" customHeight="1">
      <c r="A380" s="6" t="s">
        <v>3464</v>
      </c>
      <c r="B380" s="6" t="s">
        <v>3467</v>
      </c>
      <c r="C380" s="6" t="s">
        <v>3469</v>
      </c>
      <c r="D380" s="6" t="s">
        <v>3470</v>
      </c>
      <c r="E380" s="3" t="s">
        <v>54</v>
      </c>
      <c r="F380" s="7">
        <v>43525.0</v>
      </c>
      <c r="G380" s="3" t="s">
        <v>78</v>
      </c>
    </row>
    <row r="381" ht="15.75" customHeight="1">
      <c r="A381" s="6" t="s">
        <v>3474</v>
      </c>
      <c r="B381" s="6" t="s">
        <v>1731</v>
      </c>
      <c r="C381" s="6" t="s">
        <v>3477</v>
      </c>
      <c r="D381" s="6" t="s">
        <v>3479</v>
      </c>
      <c r="E381" s="3" t="s">
        <v>54</v>
      </c>
      <c r="F381" s="7">
        <v>40835.0</v>
      </c>
      <c r="G381" s="3" t="s">
        <v>110</v>
      </c>
    </row>
    <row r="382" ht="15.75" customHeight="1">
      <c r="A382" s="6" t="s">
        <v>3484</v>
      </c>
      <c r="B382" s="6" t="s">
        <v>667</v>
      </c>
      <c r="C382" s="6" t="s">
        <v>3369</v>
      </c>
      <c r="D382" s="6" t="s">
        <v>3370</v>
      </c>
      <c r="E382" s="3" t="s">
        <v>47</v>
      </c>
      <c r="F382" s="7">
        <v>42359.0</v>
      </c>
      <c r="G382" s="3" t="s">
        <v>152</v>
      </c>
    </row>
    <row r="383" ht="15.75" customHeight="1">
      <c r="A383" s="6" t="s">
        <v>3489</v>
      </c>
      <c r="B383" s="6" t="s">
        <v>1227</v>
      </c>
      <c r="C383" s="6" t="s">
        <v>3491</v>
      </c>
      <c r="D383" s="6" t="s">
        <v>3493</v>
      </c>
      <c r="E383" s="3" t="s">
        <v>54</v>
      </c>
      <c r="F383" s="7">
        <v>45369.0</v>
      </c>
      <c r="G383" s="3" t="s">
        <v>152</v>
      </c>
    </row>
    <row r="384" ht="15.75" customHeight="1">
      <c r="A384" s="6" t="s">
        <v>3495</v>
      </c>
      <c r="B384" s="6" t="s">
        <v>3497</v>
      </c>
      <c r="C384" s="6" t="s">
        <v>3498</v>
      </c>
      <c r="D384" s="6" t="s">
        <v>3500</v>
      </c>
      <c r="E384" s="3" t="s">
        <v>54</v>
      </c>
      <c r="F384" s="7">
        <v>45345.0</v>
      </c>
      <c r="G384" s="3" t="s">
        <v>128</v>
      </c>
    </row>
    <row r="385" ht="15.75" customHeight="1">
      <c r="A385" s="6" t="s">
        <v>3502</v>
      </c>
      <c r="B385" s="6" t="s">
        <v>854</v>
      </c>
      <c r="C385" s="6" t="s">
        <v>864</v>
      </c>
      <c r="D385" s="3"/>
      <c r="E385" s="3" t="s">
        <v>54</v>
      </c>
      <c r="F385" s="7">
        <v>44155.0</v>
      </c>
      <c r="G385" s="3" t="s">
        <v>78</v>
      </c>
    </row>
    <row r="386" ht="15.75" customHeight="1">
      <c r="A386" s="6" t="s">
        <v>3509</v>
      </c>
      <c r="B386" s="6" t="s">
        <v>2792</v>
      </c>
      <c r="C386" s="6" t="s">
        <v>3511</v>
      </c>
      <c r="D386" s="6" t="s">
        <v>3512</v>
      </c>
      <c r="E386" s="3" t="s">
        <v>47</v>
      </c>
      <c r="F386" s="7">
        <v>42498.0</v>
      </c>
      <c r="G386" s="3" t="s">
        <v>128</v>
      </c>
    </row>
    <row r="387" ht="15.75" customHeight="1">
      <c r="A387" s="6" t="s">
        <v>3516</v>
      </c>
      <c r="B387" s="6" t="s">
        <v>2128</v>
      </c>
      <c r="C387" s="6" t="s">
        <v>2138</v>
      </c>
      <c r="D387" s="6" t="s">
        <v>2140</v>
      </c>
      <c r="E387" s="3" t="s">
        <v>54</v>
      </c>
      <c r="F387" s="7">
        <v>41427.0</v>
      </c>
      <c r="G387" s="3" t="s">
        <v>128</v>
      </c>
    </row>
    <row r="388" ht="15.75" customHeight="1">
      <c r="A388" s="6" t="s">
        <v>3522</v>
      </c>
      <c r="B388" s="6" t="s">
        <v>2056</v>
      </c>
      <c r="C388" s="6" t="s">
        <v>3524</v>
      </c>
      <c r="D388" s="6" t="s">
        <v>3525</v>
      </c>
      <c r="E388" s="3" t="s">
        <v>54</v>
      </c>
      <c r="F388" s="7">
        <v>43315.0</v>
      </c>
      <c r="G388" s="3" t="s">
        <v>78</v>
      </c>
    </row>
    <row r="389" ht="15.75" customHeight="1">
      <c r="A389" s="6" t="s">
        <v>3527</v>
      </c>
      <c r="B389" s="6" t="s">
        <v>748</v>
      </c>
      <c r="C389" s="3"/>
      <c r="D389" s="6" t="s">
        <v>1645</v>
      </c>
      <c r="E389" s="3" t="s">
        <v>54</v>
      </c>
      <c r="F389" s="7">
        <v>44997.0</v>
      </c>
      <c r="G389" s="3" t="s">
        <v>78</v>
      </c>
    </row>
    <row r="390" ht="15.75" customHeight="1">
      <c r="A390" s="6" t="s">
        <v>3532</v>
      </c>
      <c r="B390" s="6" t="s">
        <v>3534</v>
      </c>
      <c r="C390" s="6" t="s">
        <v>3536</v>
      </c>
      <c r="D390" s="6" t="s">
        <v>3537</v>
      </c>
      <c r="E390" s="3" t="s">
        <v>54</v>
      </c>
      <c r="F390" s="7">
        <v>43905.0</v>
      </c>
      <c r="G390" s="3" t="s">
        <v>94</v>
      </c>
    </row>
    <row r="391" ht="15.75" customHeight="1">
      <c r="A391" s="6" t="s">
        <v>3541</v>
      </c>
      <c r="B391" s="6" t="s">
        <v>1129</v>
      </c>
      <c r="C391" s="6" t="s">
        <v>3542</v>
      </c>
      <c r="D391" s="6" t="s">
        <v>3543</v>
      </c>
      <c r="E391" s="3" t="s">
        <v>54</v>
      </c>
      <c r="F391" s="7">
        <v>41635.0</v>
      </c>
      <c r="G391" s="3" t="s">
        <v>94</v>
      </c>
    </row>
    <row r="392" ht="15.75" customHeight="1">
      <c r="A392" s="6" t="s">
        <v>3547</v>
      </c>
      <c r="B392" s="6" t="s">
        <v>3548</v>
      </c>
      <c r="C392" s="6" t="s">
        <v>3551</v>
      </c>
      <c r="D392" s="6" t="s">
        <v>3555</v>
      </c>
      <c r="E392" s="3" t="s">
        <v>47</v>
      </c>
      <c r="F392" s="7">
        <v>41812.0</v>
      </c>
      <c r="G392" s="3" t="s">
        <v>152</v>
      </c>
    </row>
    <row r="393" ht="15.75" customHeight="1">
      <c r="A393" s="6" t="s">
        <v>3559</v>
      </c>
      <c r="B393" s="6" t="s">
        <v>994</v>
      </c>
      <c r="C393" s="6" t="s">
        <v>3561</v>
      </c>
      <c r="D393" s="6" t="s">
        <v>3562</v>
      </c>
      <c r="E393" s="3" t="s">
        <v>54</v>
      </c>
      <c r="F393" s="7">
        <v>44411.0</v>
      </c>
      <c r="G393" s="3" t="s">
        <v>110</v>
      </c>
    </row>
    <row r="394" ht="15.75" customHeight="1">
      <c r="A394" s="6" t="s">
        <v>3564</v>
      </c>
      <c r="B394" s="6" t="s">
        <v>3567</v>
      </c>
      <c r="C394" s="6" t="s">
        <v>3568</v>
      </c>
      <c r="D394" s="6" t="s">
        <v>3569</v>
      </c>
      <c r="E394" s="3" t="s">
        <v>54</v>
      </c>
      <c r="F394" s="7">
        <v>44943.0</v>
      </c>
      <c r="G394" s="3" t="s">
        <v>128</v>
      </c>
    </row>
    <row r="395" ht="15.75" customHeight="1">
      <c r="A395" s="6" t="s">
        <v>3574</v>
      </c>
      <c r="B395" s="6" t="s">
        <v>3313</v>
      </c>
      <c r="C395" s="6" t="s">
        <v>3575</v>
      </c>
      <c r="D395" s="6" t="s">
        <v>3576</v>
      </c>
      <c r="E395" s="3" t="s">
        <v>54</v>
      </c>
      <c r="F395" s="7">
        <v>40557.0</v>
      </c>
      <c r="G395" s="3" t="s">
        <v>78</v>
      </c>
    </row>
    <row r="396" ht="15.75" customHeight="1">
      <c r="A396" s="6" t="s">
        <v>3581</v>
      </c>
      <c r="B396" s="6" t="s">
        <v>974</v>
      </c>
      <c r="C396" s="6" t="s">
        <v>3583</v>
      </c>
      <c r="D396" s="6" t="s">
        <v>3585</v>
      </c>
      <c r="E396" s="3" t="s">
        <v>54</v>
      </c>
      <c r="F396" s="7">
        <v>45818.0</v>
      </c>
      <c r="G396" s="3" t="s">
        <v>78</v>
      </c>
    </row>
    <row r="397" ht="15.75" customHeight="1">
      <c r="A397" s="6" t="s">
        <v>3591</v>
      </c>
      <c r="B397" s="6" t="s">
        <v>1197</v>
      </c>
      <c r="C397" s="6" t="s">
        <v>2390</v>
      </c>
      <c r="D397" s="3"/>
      <c r="E397" s="3" t="s">
        <v>54</v>
      </c>
      <c r="F397" s="7">
        <v>43936.0</v>
      </c>
      <c r="G397" s="3" t="s">
        <v>110</v>
      </c>
    </row>
    <row r="398" ht="15.75" customHeight="1">
      <c r="A398" s="6" t="s">
        <v>3596</v>
      </c>
      <c r="B398" s="6" t="s">
        <v>3597</v>
      </c>
      <c r="C398" s="6" t="s">
        <v>3599</v>
      </c>
      <c r="D398" s="3"/>
      <c r="E398" s="3" t="s">
        <v>47</v>
      </c>
      <c r="F398" s="7">
        <v>44970.0</v>
      </c>
      <c r="G398" s="3" t="s">
        <v>110</v>
      </c>
    </row>
    <row r="399" ht="15.75" customHeight="1">
      <c r="A399" s="6" t="s">
        <v>3605</v>
      </c>
      <c r="B399" s="6" t="s">
        <v>3552</v>
      </c>
      <c r="C399" s="6" t="s">
        <v>3609</v>
      </c>
      <c r="D399" s="6" t="s">
        <v>3611</v>
      </c>
      <c r="E399" s="3" t="s">
        <v>54</v>
      </c>
      <c r="F399" s="7">
        <v>44018.0</v>
      </c>
      <c r="G399" s="3" t="s">
        <v>128</v>
      </c>
    </row>
    <row r="400" ht="15.75" customHeight="1">
      <c r="A400" s="6" t="s">
        <v>3616</v>
      </c>
      <c r="B400" s="6" t="s">
        <v>2923</v>
      </c>
      <c r="C400" s="6" t="s">
        <v>3618</v>
      </c>
      <c r="D400" s="6" t="s">
        <v>3619</v>
      </c>
      <c r="E400" s="3" t="s">
        <v>54</v>
      </c>
      <c r="F400" s="7">
        <v>44627.0</v>
      </c>
      <c r="G400" s="3" t="s">
        <v>152</v>
      </c>
    </row>
    <row r="401" ht="15.75" customHeight="1">
      <c r="A401" s="6" t="s">
        <v>3621</v>
      </c>
      <c r="B401" s="6" t="s">
        <v>3623</v>
      </c>
      <c r="C401" s="6" t="s">
        <v>3625</v>
      </c>
      <c r="D401" s="3"/>
      <c r="E401" s="3" t="s">
        <v>54</v>
      </c>
      <c r="F401" s="7">
        <v>42272.0</v>
      </c>
      <c r="G401" s="3" t="s">
        <v>110</v>
      </c>
    </row>
    <row r="402" ht="15.75" customHeight="1">
      <c r="A402" s="6" t="s">
        <v>3630</v>
      </c>
      <c r="B402" s="6" t="s">
        <v>815</v>
      </c>
      <c r="C402" s="6" t="s">
        <v>3633</v>
      </c>
      <c r="D402" s="6" t="s">
        <v>3635</v>
      </c>
      <c r="E402" s="3" t="s">
        <v>54</v>
      </c>
      <c r="F402" s="7">
        <v>43307.0</v>
      </c>
      <c r="G402" s="3" t="s">
        <v>78</v>
      </c>
    </row>
    <row r="403" ht="15.75" customHeight="1">
      <c r="A403" s="6" t="s">
        <v>3639</v>
      </c>
      <c r="B403" s="6" t="s">
        <v>3640</v>
      </c>
      <c r="C403" s="3"/>
      <c r="D403" s="6" t="s">
        <v>3641</v>
      </c>
      <c r="E403" s="3" t="s">
        <v>54</v>
      </c>
      <c r="F403" s="7">
        <v>45797.0</v>
      </c>
      <c r="G403" s="3" t="s">
        <v>110</v>
      </c>
    </row>
    <row r="404" ht="15.75" customHeight="1">
      <c r="A404" s="6" t="s">
        <v>3646</v>
      </c>
      <c r="B404" s="6" t="s">
        <v>3649</v>
      </c>
      <c r="C404" s="6" t="s">
        <v>3650</v>
      </c>
      <c r="D404" s="6" t="s">
        <v>3651</v>
      </c>
      <c r="E404" s="3" t="s">
        <v>54</v>
      </c>
      <c r="F404" s="7">
        <v>43625.0</v>
      </c>
      <c r="G404" s="3" t="s">
        <v>110</v>
      </c>
    </row>
    <row r="405" ht="15.75" customHeight="1">
      <c r="A405" s="6" t="s">
        <v>3655</v>
      </c>
      <c r="B405" s="6" t="s">
        <v>3658</v>
      </c>
      <c r="C405" s="6" t="s">
        <v>3660</v>
      </c>
      <c r="D405" s="6" t="s">
        <v>3662</v>
      </c>
      <c r="E405" s="3" t="s">
        <v>38</v>
      </c>
      <c r="F405" s="3"/>
      <c r="G405" s="3" t="s">
        <v>152</v>
      </c>
    </row>
    <row r="406" ht="15.75" customHeight="1">
      <c r="A406" s="6" t="s">
        <v>3664</v>
      </c>
      <c r="B406" s="6" t="s">
        <v>3665</v>
      </c>
      <c r="C406" s="6" t="s">
        <v>3666</v>
      </c>
      <c r="D406" s="3"/>
      <c r="E406" s="3" t="s">
        <v>54</v>
      </c>
      <c r="F406" s="7">
        <v>41819.0</v>
      </c>
      <c r="G406" s="3" t="s">
        <v>128</v>
      </c>
    </row>
    <row r="407" ht="15.75" customHeight="1">
      <c r="A407" s="6" t="s">
        <v>3673</v>
      </c>
      <c r="B407" s="6" t="s">
        <v>3675</v>
      </c>
      <c r="C407" s="6" t="s">
        <v>3676</v>
      </c>
      <c r="D407" s="3"/>
      <c r="E407" s="3" t="s">
        <v>54</v>
      </c>
      <c r="F407" s="7">
        <v>43246.0</v>
      </c>
      <c r="G407" s="3" t="s">
        <v>152</v>
      </c>
    </row>
    <row r="408" ht="15.75" customHeight="1">
      <c r="A408" s="6" t="s">
        <v>3678</v>
      </c>
      <c r="B408" s="6" t="s">
        <v>1953</v>
      </c>
      <c r="C408" s="6" t="s">
        <v>3679</v>
      </c>
      <c r="D408" s="6" t="s">
        <v>3681</v>
      </c>
      <c r="E408" s="3" t="s">
        <v>38</v>
      </c>
      <c r="F408" s="3"/>
      <c r="G408" s="3" t="s">
        <v>152</v>
      </c>
    </row>
    <row r="409" ht="15.75" customHeight="1">
      <c r="A409" s="6" t="s">
        <v>3685</v>
      </c>
      <c r="B409" s="6" t="s">
        <v>3686</v>
      </c>
      <c r="C409" s="6" t="s">
        <v>3688</v>
      </c>
      <c r="D409" s="3"/>
      <c r="E409" s="3" t="s">
        <v>38</v>
      </c>
      <c r="F409" s="3"/>
      <c r="G409" s="3" t="s">
        <v>110</v>
      </c>
    </row>
    <row r="410" ht="15.75" customHeight="1">
      <c r="A410" s="6" t="s">
        <v>3694</v>
      </c>
      <c r="B410" s="6" t="s">
        <v>2158</v>
      </c>
      <c r="C410" s="6" t="s">
        <v>3695</v>
      </c>
      <c r="D410" s="3"/>
      <c r="E410" s="3" t="s">
        <v>54</v>
      </c>
      <c r="F410" s="7">
        <v>41408.0</v>
      </c>
      <c r="G410" s="3" t="s">
        <v>94</v>
      </c>
    </row>
    <row r="411" ht="15.75" customHeight="1">
      <c r="A411" s="6" t="s">
        <v>3697</v>
      </c>
      <c r="B411" s="6" t="s">
        <v>3698</v>
      </c>
      <c r="C411" s="6" t="s">
        <v>3700</v>
      </c>
      <c r="D411" s="6" t="s">
        <v>3703</v>
      </c>
      <c r="E411" s="3" t="s">
        <v>38</v>
      </c>
      <c r="F411" s="3"/>
      <c r="G411" s="3" t="s">
        <v>128</v>
      </c>
    </row>
    <row r="412" ht="15.75" customHeight="1">
      <c r="A412" s="6" t="s">
        <v>3707</v>
      </c>
      <c r="B412" s="6" t="s">
        <v>2374</v>
      </c>
      <c r="C412" s="6" t="s">
        <v>3711</v>
      </c>
      <c r="D412" s="6" t="s">
        <v>3713</v>
      </c>
      <c r="E412" s="3" t="s">
        <v>54</v>
      </c>
      <c r="F412" s="7">
        <v>43331.0</v>
      </c>
      <c r="G412" s="3" t="s">
        <v>152</v>
      </c>
    </row>
    <row r="413" ht="15.75" customHeight="1">
      <c r="A413" s="6" t="s">
        <v>3714</v>
      </c>
      <c r="B413" s="6" t="s">
        <v>3716</v>
      </c>
      <c r="C413" s="6" t="s">
        <v>3717</v>
      </c>
      <c r="D413" s="6" t="s">
        <v>3719</v>
      </c>
      <c r="E413" s="3" t="s">
        <v>38</v>
      </c>
      <c r="F413" s="3"/>
      <c r="G413" s="3" t="s">
        <v>78</v>
      </c>
    </row>
    <row r="414" ht="15.75" customHeight="1">
      <c r="A414" s="6" t="s">
        <v>3725</v>
      </c>
      <c r="B414" s="6" t="s">
        <v>467</v>
      </c>
      <c r="C414" s="6" t="s">
        <v>477</v>
      </c>
      <c r="D414" s="3"/>
      <c r="E414" s="3" t="s">
        <v>54</v>
      </c>
      <c r="F414" s="7">
        <v>41123.0</v>
      </c>
      <c r="G414" s="3" t="s">
        <v>110</v>
      </c>
    </row>
    <row r="415" ht="15.75" customHeight="1">
      <c r="A415" s="6" t="s">
        <v>3727</v>
      </c>
      <c r="B415" s="6" t="s">
        <v>3728</v>
      </c>
      <c r="C415" s="6" t="s">
        <v>3729</v>
      </c>
      <c r="D415" s="6" t="s">
        <v>3731</v>
      </c>
      <c r="E415" s="3" t="s">
        <v>54</v>
      </c>
      <c r="F415" s="7">
        <v>40639.0</v>
      </c>
      <c r="G415" s="3" t="s">
        <v>152</v>
      </c>
    </row>
    <row r="416" ht="15.75" customHeight="1">
      <c r="A416" s="6" t="s">
        <v>3737</v>
      </c>
      <c r="B416" s="6" t="s">
        <v>1043</v>
      </c>
      <c r="C416" s="6" t="s">
        <v>1057</v>
      </c>
      <c r="D416" s="6" t="s">
        <v>1059</v>
      </c>
      <c r="E416" s="3" t="s">
        <v>54</v>
      </c>
      <c r="F416" s="7">
        <v>40199.0</v>
      </c>
      <c r="G416" s="3" t="s">
        <v>110</v>
      </c>
    </row>
    <row r="417" ht="15.75" customHeight="1">
      <c r="A417" s="6" t="s">
        <v>3744</v>
      </c>
      <c r="B417" s="6" t="s">
        <v>628</v>
      </c>
      <c r="C417" s="6" t="s">
        <v>3745</v>
      </c>
      <c r="D417" s="6" t="s">
        <v>3747</v>
      </c>
      <c r="E417" s="3" t="s">
        <v>47</v>
      </c>
      <c r="F417" s="7">
        <v>40483.0</v>
      </c>
      <c r="G417" s="3" t="s">
        <v>152</v>
      </c>
    </row>
    <row r="418" ht="15.75" customHeight="1">
      <c r="A418" s="6" t="s">
        <v>3749</v>
      </c>
      <c r="B418" s="6" t="s">
        <v>3751</v>
      </c>
      <c r="C418" s="6" t="s">
        <v>3752</v>
      </c>
      <c r="D418" s="6" t="s">
        <v>3753</v>
      </c>
      <c r="E418" s="3" t="s">
        <v>54</v>
      </c>
      <c r="F418" s="7">
        <v>41596.0</v>
      </c>
      <c r="G418" s="3" t="s">
        <v>78</v>
      </c>
    </row>
    <row r="419" ht="15.75" customHeight="1">
      <c r="A419" s="6" t="s">
        <v>3761</v>
      </c>
      <c r="B419" s="6" t="s">
        <v>3735</v>
      </c>
      <c r="C419" s="6" t="s">
        <v>3763</v>
      </c>
      <c r="D419" s="3"/>
      <c r="E419" s="3" t="s">
        <v>54</v>
      </c>
      <c r="F419" s="7">
        <v>43693.0</v>
      </c>
      <c r="G419" s="3" t="s">
        <v>152</v>
      </c>
    </row>
    <row r="420" ht="15.75" customHeight="1">
      <c r="A420" s="6" t="s">
        <v>3765</v>
      </c>
      <c r="B420" s="6" t="s">
        <v>3766</v>
      </c>
      <c r="C420" s="6" t="s">
        <v>3768</v>
      </c>
      <c r="D420" s="6" t="s">
        <v>3770</v>
      </c>
      <c r="E420" s="3" t="s">
        <v>47</v>
      </c>
      <c r="F420" s="7">
        <v>45438.0</v>
      </c>
      <c r="G420" s="3" t="s">
        <v>152</v>
      </c>
    </row>
    <row r="421" ht="15.75" customHeight="1">
      <c r="A421" s="6" t="s">
        <v>3775</v>
      </c>
      <c r="B421" s="6" t="s">
        <v>3776</v>
      </c>
      <c r="C421" s="6" t="s">
        <v>3777</v>
      </c>
      <c r="D421" s="6" t="s">
        <v>3778</v>
      </c>
      <c r="E421" s="3" t="s">
        <v>54</v>
      </c>
      <c r="F421" s="7">
        <v>44184.0</v>
      </c>
      <c r="G421" s="3" t="s">
        <v>78</v>
      </c>
    </row>
    <row r="422" ht="15.75" customHeight="1">
      <c r="A422" s="6" t="s">
        <v>3782</v>
      </c>
      <c r="B422" s="6" t="s">
        <v>3783</v>
      </c>
      <c r="C422" s="6" t="s">
        <v>3784</v>
      </c>
      <c r="D422" s="6" t="s">
        <v>3785</v>
      </c>
      <c r="E422" s="3" t="s">
        <v>54</v>
      </c>
      <c r="F422" s="7">
        <v>40839.0</v>
      </c>
      <c r="G422" s="3" t="s">
        <v>78</v>
      </c>
    </row>
    <row r="423" ht="15.75" customHeight="1">
      <c r="A423" s="6" t="s">
        <v>3788</v>
      </c>
      <c r="B423" s="6" t="s">
        <v>818</v>
      </c>
      <c r="C423" s="6" t="s">
        <v>3791</v>
      </c>
      <c r="D423" s="6" t="s">
        <v>3793</v>
      </c>
      <c r="E423" s="3" t="s">
        <v>54</v>
      </c>
      <c r="F423" s="7">
        <v>42105.0</v>
      </c>
      <c r="G423" s="3" t="s">
        <v>110</v>
      </c>
    </row>
    <row r="424" ht="15.75" customHeight="1">
      <c r="A424" s="6" t="s">
        <v>3798</v>
      </c>
      <c r="B424" s="6" t="s">
        <v>3799</v>
      </c>
      <c r="C424" s="6" t="s">
        <v>3800</v>
      </c>
      <c r="D424" s="6" t="s">
        <v>3802</v>
      </c>
      <c r="E424" s="3" t="s">
        <v>54</v>
      </c>
      <c r="F424" s="7">
        <v>42988.0</v>
      </c>
      <c r="G424" s="3" t="s">
        <v>94</v>
      </c>
    </row>
    <row r="425" ht="15.75" customHeight="1">
      <c r="A425" s="6" t="s">
        <v>3803</v>
      </c>
      <c r="B425" s="6" t="s">
        <v>1795</v>
      </c>
      <c r="C425" s="6" t="s">
        <v>3806</v>
      </c>
      <c r="D425" s="6" t="s">
        <v>3807</v>
      </c>
      <c r="E425" s="3" t="s">
        <v>47</v>
      </c>
      <c r="F425" s="7">
        <v>43433.0</v>
      </c>
      <c r="G425" s="3" t="s">
        <v>152</v>
      </c>
    </row>
    <row r="426" ht="15.75" customHeight="1">
      <c r="A426" s="6" t="s">
        <v>3813</v>
      </c>
      <c r="B426" s="6" t="s">
        <v>2491</v>
      </c>
      <c r="C426" s="6" t="s">
        <v>3814</v>
      </c>
      <c r="D426" s="6" t="s">
        <v>3817</v>
      </c>
      <c r="E426" s="3" t="s">
        <v>54</v>
      </c>
      <c r="F426" s="7">
        <v>40197.0</v>
      </c>
      <c r="G426" s="3" t="s">
        <v>78</v>
      </c>
    </row>
    <row r="427" ht="15.75" customHeight="1">
      <c r="A427" s="6" t="s">
        <v>3818</v>
      </c>
      <c r="B427" s="6" t="s">
        <v>174</v>
      </c>
      <c r="C427" s="6" t="s">
        <v>195</v>
      </c>
      <c r="D427" s="6" t="s">
        <v>200</v>
      </c>
      <c r="E427" s="3" t="s">
        <v>54</v>
      </c>
      <c r="F427" s="7">
        <v>43111.0</v>
      </c>
      <c r="G427" s="3" t="s">
        <v>128</v>
      </c>
    </row>
    <row r="428" ht="15.75" customHeight="1">
      <c r="A428" s="6" t="s">
        <v>3826</v>
      </c>
      <c r="B428" s="6" t="s">
        <v>1894</v>
      </c>
      <c r="C428" s="6" t="s">
        <v>3828</v>
      </c>
      <c r="D428" s="3"/>
      <c r="E428" s="3" t="s">
        <v>38</v>
      </c>
      <c r="F428" s="3"/>
      <c r="G428" s="3" t="s">
        <v>78</v>
      </c>
    </row>
    <row r="429" ht="15.75" customHeight="1">
      <c r="A429" s="6" t="s">
        <v>3831</v>
      </c>
      <c r="B429" s="6" t="s">
        <v>1432</v>
      </c>
      <c r="C429" s="6" t="s">
        <v>3833</v>
      </c>
      <c r="D429" s="6" t="s">
        <v>3836</v>
      </c>
      <c r="E429" s="3" t="s">
        <v>38</v>
      </c>
      <c r="F429" s="3"/>
      <c r="G429" s="3" t="s">
        <v>94</v>
      </c>
    </row>
    <row r="430" ht="15.75" customHeight="1">
      <c r="A430" s="6" t="s">
        <v>3839</v>
      </c>
      <c r="B430" s="6" t="s">
        <v>1022</v>
      </c>
      <c r="C430" s="6" t="s">
        <v>3843</v>
      </c>
      <c r="D430" s="6" t="s">
        <v>3845</v>
      </c>
      <c r="E430" s="3" t="s">
        <v>54</v>
      </c>
      <c r="F430" s="7">
        <v>41433.0</v>
      </c>
      <c r="G430" s="3" t="s">
        <v>152</v>
      </c>
    </row>
    <row r="431" ht="15.75" customHeight="1">
      <c r="A431" s="6" t="s">
        <v>3847</v>
      </c>
      <c r="B431" s="6" t="s">
        <v>3848</v>
      </c>
      <c r="C431" s="6" t="s">
        <v>3851</v>
      </c>
      <c r="D431" s="6" t="s">
        <v>3852</v>
      </c>
      <c r="E431" s="3" t="s">
        <v>54</v>
      </c>
      <c r="F431" s="7">
        <v>40694.0</v>
      </c>
      <c r="G431" s="3" t="s">
        <v>94</v>
      </c>
    </row>
    <row r="432" ht="15.75" customHeight="1">
      <c r="A432" s="6" t="s">
        <v>3853</v>
      </c>
      <c r="B432" s="6" t="s">
        <v>3854</v>
      </c>
      <c r="C432" s="6" t="s">
        <v>3855</v>
      </c>
      <c r="D432" s="6" t="s">
        <v>3857</v>
      </c>
      <c r="E432" s="3" t="s">
        <v>54</v>
      </c>
      <c r="F432" s="7">
        <v>40350.0</v>
      </c>
      <c r="G432" s="3" t="s">
        <v>128</v>
      </c>
    </row>
    <row r="433" ht="15.75" customHeight="1">
      <c r="A433" s="6" t="s">
        <v>3859</v>
      </c>
      <c r="B433" s="6" t="s">
        <v>3861</v>
      </c>
      <c r="C433" s="6" t="s">
        <v>3711</v>
      </c>
      <c r="D433" s="6" t="s">
        <v>3713</v>
      </c>
      <c r="E433" s="3" t="s">
        <v>38</v>
      </c>
      <c r="F433" s="3"/>
      <c r="G433" s="3" t="s">
        <v>78</v>
      </c>
    </row>
    <row r="434" ht="15.75" customHeight="1">
      <c r="A434" s="6" t="s">
        <v>3865</v>
      </c>
      <c r="B434" s="6" t="s">
        <v>811</v>
      </c>
      <c r="C434" s="6" t="s">
        <v>825</v>
      </c>
      <c r="D434" s="6" t="s">
        <v>826</v>
      </c>
      <c r="E434" s="3" t="s">
        <v>38</v>
      </c>
      <c r="F434" s="3"/>
      <c r="G434" s="3" t="s">
        <v>152</v>
      </c>
    </row>
    <row r="435" ht="15.75" customHeight="1">
      <c r="A435" s="6" t="s">
        <v>3870</v>
      </c>
      <c r="B435" s="6" t="s">
        <v>1627</v>
      </c>
      <c r="C435" s="6" t="s">
        <v>574</v>
      </c>
      <c r="D435" s="6" t="s">
        <v>575</v>
      </c>
      <c r="E435" s="3" t="s">
        <v>54</v>
      </c>
      <c r="F435" s="7">
        <v>44151.0</v>
      </c>
      <c r="G435" s="3" t="s">
        <v>94</v>
      </c>
    </row>
    <row r="436" ht="15.75" customHeight="1">
      <c r="A436" s="6" t="s">
        <v>3882</v>
      </c>
      <c r="B436" s="6" t="s">
        <v>3883</v>
      </c>
      <c r="C436" s="3"/>
      <c r="D436" s="6" t="s">
        <v>3884</v>
      </c>
      <c r="E436" s="3" t="s">
        <v>38</v>
      </c>
      <c r="F436" s="3"/>
      <c r="G436" s="3" t="s">
        <v>152</v>
      </c>
    </row>
    <row r="437" ht="15.75" customHeight="1">
      <c r="A437" s="6" t="s">
        <v>3888</v>
      </c>
      <c r="B437" s="6" t="s">
        <v>3889</v>
      </c>
      <c r="C437" s="6" t="s">
        <v>3891</v>
      </c>
      <c r="D437" s="6" t="s">
        <v>3893</v>
      </c>
      <c r="E437" s="3" t="s">
        <v>54</v>
      </c>
      <c r="F437" s="7">
        <v>45872.0</v>
      </c>
      <c r="G437" s="3" t="s">
        <v>78</v>
      </c>
    </row>
    <row r="438" ht="15.75" customHeight="1">
      <c r="A438" s="6" t="s">
        <v>3897</v>
      </c>
      <c r="B438" s="6" t="s">
        <v>3881</v>
      </c>
      <c r="C438" s="6" t="s">
        <v>3899</v>
      </c>
      <c r="D438" s="6" t="s">
        <v>3903</v>
      </c>
      <c r="E438" s="3" t="s">
        <v>54</v>
      </c>
      <c r="F438" s="7">
        <v>45685.0</v>
      </c>
      <c r="G438" s="3" t="s">
        <v>94</v>
      </c>
    </row>
    <row r="439" ht="15.75" customHeight="1">
      <c r="A439" s="6" t="s">
        <v>3904</v>
      </c>
      <c r="B439" s="6" t="s">
        <v>3906</v>
      </c>
      <c r="C439" s="6" t="s">
        <v>3907</v>
      </c>
      <c r="D439" s="6" t="s">
        <v>3909</v>
      </c>
      <c r="E439" s="3" t="s">
        <v>54</v>
      </c>
      <c r="F439" s="7">
        <v>43815.0</v>
      </c>
      <c r="G439" s="3" t="s">
        <v>128</v>
      </c>
    </row>
    <row r="440" ht="15.75" customHeight="1">
      <c r="A440" s="6" t="s">
        <v>3916</v>
      </c>
      <c r="B440" s="6" t="s">
        <v>1189</v>
      </c>
      <c r="C440" s="6" t="s">
        <v>3917</v>
      </c>
      <c r="D440" s="6" t="s">
        <v>3918</v>
      </c>
      <c r="E440" s="3" t="s">
        <v>47</v>
      </c>
      <c r="F440" s="7">
        <v>44016.0</v>
      </c>
      <c r="G440" s="3" t="s">
        <v>110</v>
      </c>
    </row>
    <row r="441" ht="15.75" customHeight="1">
      <c r="A441" s="6" t="s">
        <v>3921</v>
      </c>
      <c r="B441" s="6" t="s">
        <v>3215</v>
      </c>
      <c r="C441" s="6" t="s">
        <v>3922</v>
      </c>
      <c r="D441" s="6" t="s">
        <v>3923</v>
      </c>
      <c r="E441" s="3" t="s">
        <v>38</v>
      </c>
      <c r="F441" s="3"/>
      <c r="G441" s="3" t="s">
        <v>110</v>
      </c>
    </row>
    <row r="442" ht="15.75" customHeight="1">
      <c r="A442" s="6" t="s">
        <v>3927</v>
      </c>
      <c r="B442" s="6" t="s">
        <v>3929</v>
      </c>
      <c r="C442" s="6" t="s">
        <v>3931</v>
      </c>
      <c r="D442" s="6" t="s">
        <v>3933</v>
      </c>
      <c r="E442" s="3" t="s">
        <v>54</v>
      </c>
      <c r="F442" s="7">
        <v>41103.0</v>
      </c>
      <c r="G442" s="3" t="s">
        <v>110</v>
      </c>
    </row>
    <row r="443" ht="15.75" customHeight="1">
      <c r="A443" s="6" t="s">
        <v>3935</v>
      </c>
      <c r="B443" s="6" t="s">
        <v>2247</v>
      </c>
      <c r="C443" s="6" t="s">
        <v>3938</v>
      </c>
      <c r="D443" s="6" t="s">
        <v>3940</v>
      </c>
      <c r="E443" s="3" t="s">
        <v>54</v>
      </c>
      <c r="F443" s="7">
        <v>43337.0</v>
      </c>
      <c r="G443" s="3" t="s">
        <v>152</v>
      </c>
    </row>
    <row r="444" ht="15.75" customHeight="1">
      <c r="A444" s="6" t="s">
        <v>3943</v>
      </c>
      <c r="B444" s="6" t="s">
        <v>3944</v>
      </c>
      <c r="C444" s="6" t="s">
        <v>3946</v>
      </c>
      <c r="D444" s="6" t="s">
        <v>3948</v>
      </c>
      <c r="E444" s="3" t="s">
        <v>54</v>
      </c>
      <c r="F444" s="7">
        <v>40896.0</v>
      </c>
      <c r="G444" s="3" t="s">
        <v>94</v>
      </c>
    </row>
    <row r="445" ht="15.75" customHeight="1">
      <c r="A445" s="6" t="s">
        <v>3954</v>
      </c>
      <c r="B445" s="6" t="s">
        <v>3955</v>
      </c>
      <c r="C445" s="6" t="s">
        <v>3956</v>
      </c>
      <c r="D445" s="6" t="s">
        <v>3957</v>
      </c>
      <c r="E445" s="3" t="s">
        <v>47</v>
      </c>
      <c r="F445" s="7">
        <v>42110.0</v>
      </c>
      <c r="G445" s="3" t="s">
        <v>94</v>
      </c>
    </row>
    <row r="446" ht="15.75" customHeight="1">
      <c r="A446" s="6" t="s">
        <v>3960</v>
      </c>
      <c r="B446" s="6" t="s">
        <v>1564</v>
      </c>
      <c r="C446" s="6" t="s">
        <v>1574</v>
      </c>
      <c r="D446" s="6" t="s">
        <v>1578</v>
      </c>
      <c r="E446" s="3" t="s">
        <v>54</v>
      </c>
      <c r="F446" s="7">
        <v>40260.0</v>
      </c>
      <c r="G446" s="3" t="s">
        <v>152</v>
      </c>
    </row>
    <row r="447" ht="15.75" customHeight="1">
      <c r="A447" s="6" t="s">
        <v>3967</v>
      </c>
      <c r="B447" s="6" t="s">
        <v>3022</v>
      </c>
      <c r="C447" s="3"/>
      <c r="D447" s="6" t="s">
        <v>3523</v>
      </c>
      <c r="E447" s="3" t="s">
        <v>54</v>
      </c>
      <c r="F447" s="7">
        <v>43329.0</v>
      </c>
      <c r="G447" s="3" t="s">
        <v>128</v>
      </c>
    </row>
    <row r="448" ht="15.75" customHeight="1">
      <c r="A448" s="6" t="s">
        <v>3970</v>
      </c>
      <c r="B448" s="6" t="s">
        <v>2511</v>
      </c>
      <c r="C448" s="6" t="s">
        <v>3971</v>
      </c>
      <c r="D448" s="6" t="s">
        <v>3972</v>
      </c>
      <c r="E448" s="3" t="s">
        <v>54</v>
      </c>
      <c r="F448" s="7">
        <v>41281.0</v>
      </c>
      <c r="G448" s="3" t="s">
        <v>78</v>
      </c>
    </row>
    <row r="449" ht="15.75" customHeight="1">
      <c r="A449" s="6" t="s">
        <v>3977</v>
      </c>
      <c r="B449" s="6" t="s">
        <v>1269</v>
      </c>
      <c r="C449" s="6" t="s">
        <v>3980</v>
      </c>
      <c r="D449" s="6" t="s">
        <v>3983</v>
      </c>
      <c r="E449" s="3" t="s">
        <v>54</v>
      </c>
      <c r="F449" s="7">
        <v>44293.0</v>
      </c>
      <c r="G449" s="3" t="s">
        <v>152</v>
      </c>
    </row>
    <row r="450" ht="15.75" customHeight="1">
      <c r="A450" s="6" t="s">
        <v>3984</v>
      </c>
      <c r="B450" s="6" t="s">
        <v>3428</v>
      </c>
      <c r="C450" s="3"/>
      <c r="D450" s="6" t="s">
        <v>3988</v>
      </c>
      <c r="E450" s="3" t="s">
        <v>54</v>
      </c>
      <c r="F450" s="7">
        <v>43279.0</v>
      </c>
      <c r="G450" s="3" t="s">
        <v>128</v>
      </c>
    </row>
    <row r="451" ht="15.75" customHeight="1">
      <c r="A451" s="6" t="s">
        <v>3989</v>
      </c>
      <c r="B451" s="6" t="s">
        <v>2232</v>
      </c>
      <c r="C451" s="6" t="s">
        <v>235</v>
      </c>
      <c r="D451" s="3"/>
      <c r="E451" s="3" t="s">
        <v>38</v>
      </c>
      <c r="F451" s="3"/>
      <c r="G451" s="3" t="s">
        <v>110</v>
      </c>
    </row>
    <row r="452" ht="15.75" customHeight="1">
      <c r="A452" s="6" t="s">
        <v>3995</v>
      </c>
      <c r="B452" s="6" t="s">
        <v>3998</v>
      </c>
      <c r="C452" s="6" t="s">
        <v>4000</v>
      </c>
      <c r="D452" s="6" t="s">
        <v>4001</v>
      </c>
      <c r="E452" s="3" t="s">
        <v>54</v>
      </c>
      <c r="F452" s="7">
        <v>41116.0</v>
      </c>
      <c r="G452" s="3" t="s">
        <v>94</v>
      </c>
    </row>
    <row r="453" ht="15.75" customHeight="1">
      <c r="A453" s="6" t="s">
        <v>4005</v>
      </c>
      <c r="B453" s="6" t="s">
        <v>4006</v>
      </c>
      <c r="C453" s="6" t="s">
        <v>4008</v>
      </c>
      <c r="D453" s="6" t="s">
        <v>4010</v>
      </c>
      <c r="E453" s="3" t="s">
        <v>38</v>
      </c>
      <c r="F453" s="3"/>
      <c r="G453" s="3" t="s">
        <v>152</v>
      </c>
    </row>
    <row r="454" ht="15.75" customHeight="1">
      <c r="A454" s="6" t="s">
        <v>4013</v>
      </c>
      <c r="B454" s="6" t="s">
        <v>1389</v>
      </c>
      <c r="C454" s="6" t="s">
        <v>4014</v>
      </c>
      <c r="D454" s="6" t="s">
        <v>4015</v>
      </c>
      <c r="E454" s="3" t="s">
        <v>54</v>
      </c>
      <c r="F454" s="7">
        <v>45745.0</v>
      </c>
      <c r="G454" s="3" t="s">
        <v>152</v>
      </c>
    </row>
    <row r="455" ht="15.75" customHeight="1">
      <c r="A455" s="6" t="s">
        <v>4022</v>
      </c>
      <c r="B455" s="6" t="s">
        <v>4023</v>
      </c>
      <c r="C455" s="3"/>
      <c r="D455" s="6" t="s">
        <v>4024</v>
      </c>
      <c r="E455" s="3" t="s">
        <v>54</v>
      </c>
      <c r="F455" s="7">
        <v>42977.0</v>
      </c>
      <c r="G455" s="3" t="s">
        <v>128</v>
      </c>
    </row>
    <row r="456" ht="15.75" customHeight="1">
      <c r="A456" s="6" t="s">
        <v>4028</v>
      </c>
      <c r="B456" s="6" t="s">
        <v>1417</v>
      </c>
      <c r="C456" s="6" t="s">
        <v>1427</v>
      </c>
      <c r="D456" s="6" t="s">
        <v>1429</v>
      </c>
      <c r="E456" s="3" t="s">
        <v>54</v>
      </c>
      <c r="F456" s="7">
        <v>44030.0</v>
      </c>
      <c r="G456" s="3" t="s">
        <v>152</v>
      </c>
    </row>
    <row r="457" ht="15.75" customHeight="1">
      <c r="A457" s="6" t="s">
        <v>4032</v>
      </c>
      <c r="B457" s="6" t="s">
        <v>4034</v>
      </c>
      <c r="C457" s="6" t="s">
        <v>4036</v>
      </c>
      <c r="D457" s="6" t="s">
        <v>4038</v>
      </c>
      <c r="E457" s="3" t="s">
        <v>38</v>
      </c>
      <c r="F457" s="3"/>
      <c r="G457" s="3" t="s">
        <v>152</v>
      </c>
    </row>
    <row r="458" ht="15.75" customHeight="1">
      <c r="A458" s="6" t="s">
        <v>4041</v>
      </c>
      <c r="B458" s="6" t="s">
        <v>2844</v>
      </c>
      <c r="C458" s="6" t="s">
        <v>2853</v>
      </c>
      <c r="D458" s="6" t="s">
        <v>2855</v>
      </c>
      <c r="E458" s="3" t="s">
        <v>47</v>
      </c>
      <c r="F458" s="7">
        <v>40259.0</v>
      </c>
      <c r="G458" s="3" t="s">
        <v>94</v>
      </c>
    </row>
    <row r="459" ht="15.75" customHeight="1">
      <c r="A459" s="6" t="s">
        <v>4045</v>
      </c>
      <c r="B459" s="6" t="s">
        <v>332</v>
      </c>
      <c r="C459" s="6" t="s">
        <v>345</v>
      </c>
      <c r="D459" s="6" t="s">
        <v>346</v>
      </c>
      <c r="E459" s="3" t="s">
        <v>54</v>
      </c>
      <c r="F459" s="7">
        <v>40450.0</v>
      </c>
      <c r="G459" s="3" t="s">
        <v>152</v>
      </c>
    </row>
    <row r="460" ht="15.75" customHeight="1">
      <c r="A460" s="6" t="s">
        <v>4050</v>
      </c>
      <c r="B460" s="6" t="s">
        <v>3213</v>
      </c>
      <c r="C460" s="3"/>
      <c r="D460" s="6" t="s">
        <v>4053</v>
      </c>
      <c r="E460" s="3" t="s">
        <v>54</v>
      </c>
      <c r="F460" s="7">
        <v>40682.0</v>
      </c>
      <c r="G460" s="3" t="s">
        <v>94</v>
      </c>
    </row>
    <row r="461" ht="15.75" customHeight="1">
      <c r="A461" s="6" t="s">
        <v>4055</v>
      </c>
      <c r="B461" s="6" t="s">
        <v>499</v>
      </c>
      <c r="C461" s="6" t="s">
        <v>508</v>
      </c>
      <c r="D461" s="6" t="s">
        <v>510</v>
      </c>
      <c r="E461" s="3" t="s">
        <v>54</v>
      </c>
      <c r="F461" s="7">
        <v>41088.0</v>
      </c>
      <c r="G461" s="3" t="s">
        <v>152</v>
      </c>
    </row>
    <row r="462" ht="15.75" customHeight="1">
      <c r="A462" s="6" t="s">
        <v>4063</v>
      </c>
      <c r="B462" s="6" t="s">
        <v>2211</v>
      </c>
      <c r="C462" s="6" t="s">
        <v>4065</v>
      </c>
      <c r="D462" s="6" t="s">
        <v>4067</v>
      </c>
      <c r="E462" s="3" t="s">
        <v>54</v>
      </c>
      <c r="F462" s="7">
        <v>43403.0</v>
      </c>
      <c r="G462" s="3" t="s">
        <v>78</v>
      </c>
    </row>
    <row r="463" ht="15.75" customHeight="1">
      <c r="A463" s="6" t="s">
        <v>4070</v>
      </c>
      <c r="B463" s="6" t="s">
        <v>2342</v>
      </c>
      <c r="C463" s="6" t="s">
        <v>4071</v>
      </c>
      <c r="D463" s="6" t="s">
        <v>4073</v>
      </c>
      <c r="E463" s="3" t="s">
        <v>54</v>
      </c>
      <c r="F463" s="7">
        <v>41700.0</v>
      </c>
      <c r="G463" s="3" t="s">
        <v>110</v>
      </c>
    </row>
    <row r="464" ht="15.75" customHeight="1">
      <c r="A464" s="6" t="s">
        <v>4075</v>
      </c>
      <c r="B464" s="6" t="s">
        <v>3113</v>
      </c>
      <c r="C464" s="6" t="s">
        <v>4079</v>
      </c>
      <c r="D464" s="6" t="s">
        <v>4080</v>
      </c>
      <c r="E464" s="3" t="s">
        <v>54</v>
      </c>
      <c r="F464" s="7">
        <v>44362.0</v>
      </c>
      <c r="G464" s="3" t="s">
        <v>110</v>
      </c>
    </row>
    <row r="465" ht="15.75" customHeight="1">
      <c r="A465" s="6" t="s">
        <v>4085</v>
      </c>
      <c r="B465" s="6" t="s">
        <v>4086</v>
      </c>
      <c r="C465" s="6" t="s">
        <v>4087</v>
      </c>
      <c r="D465" s="6" t="s">
        <v>4089</v>
      </c>
      <c r="E465" s="3" t="s">
        <v>54</v>
      </c>
      <c r="F465" s="7">
        <v>45909.0</v>
      </c>
      <c r="G465" s="3" t="s">
        <v>152</v>
      </c>
    </row>
    <row r="466" ht="15.75" customHeight="1">
      <c r="A466" s="6" t="s">
        <v>4091</v>
      </c>
      <c r="B466" s="6" t="s">
        <v>4093</v>
      </c>
      <c r="C466" s="6" t="s">
        <v>4097</v>
      </c>
      <c r="D466" s="6" t="s">
        <v>4100</v>
      </c>
      <c r="E466" s="3" t="s">
        <v>54</v>
      </c>
      <c r="F466" s="7">
        <v>40626.0</v>
      </c>
      <c r="G466" s="3" t="s">
        <v>152</v>
      </c>
    </row>
    <row r="467" ht="15.75" customHeight="1">
      <c r="A467" s="6" t="s">
        <v>4104</v>
      </c>
      <c r="B467" s="6" t="s">
        <v>914</v>
      </c>
      <c r="C467" s="6" t="s">
        <v>4106</v>
      </c>
      <c r="D467" s="6" t="s">
        <v>4108</v>
      </c>
      <c r="E467" s="3" t="s">
        <v>54</v>
      </c>
      <c r="F467" s="7">
        <v>44938.0</v>
      </c>
      <c r="G467" s="3" t="s">
        <v>94</v>
      </c>
    </row>
    <row r="468" ht="15.75" customHeight="1">
      <c r="A468" s="6" t="s">
        <v>4111</v>
      </c>
      <c r="B468" s="6" t="s">
        <v>4113</v>
      </c>
      <c r="C468" s="6" t="s">
        <v>4115</v>
      </c>
      <c r="D468" s="6" t="s">
        <v>4117</v>
      </c>
      <c r="E468" s="3" t="s">
        <v>54</v>
      </c>
      <c r="F468" s="7">
        <v>42346.0</v>
      </c>
      <c r="G468" s="3" t="s">
        <v>94</v>
      </c>
    </row>
    <row r="469" ht="15.75" customHeight="1">
      <c r="A469" s="6" t="s">
        <v>4123</v>
      </c>
      <c r="B469" s="6" t="s">
        <v>4124</v>
      </c>
      <c r="C469" s="6" t="s">
        <v>4125</v>
      </c>
      <c r="D469" s="3"/>
      <c r="E469" s="3" t="s">
        <v>54</v>
      </c>
      <c r="F469" s="7">
        <v>42401.0</v>
      </c>
      <c r="G469" s="3" t="s">
        <v>110</v>
      </c>
    </row>
    <row r="470" ht="15.75" customHeight="1">
      <c r="A470" s="6" t="s">
        <v>4129</v>
      </c>
      <c r="B470" s="6" t="s">
        <v>1536</v>
      </c>
      <c r="C470" s="6" t="s">
        <v>1543</v>
      </c>
      <c r="D470" s="6" t="s">
        <v>1544</v>
      </c>
      <c r="E470" s="3" t="s">
        <v>54</v>
      </c>
      <c r="F470" s="7">
        <v>43455.0</v>
      </c>
      <c r="G470" s="3" t="s">
        <v>128</v>
      </c>
    </row>
    <row r="471" ht="15.75" customHeight="1">
      <c r="A471" s="6" t="s">
        <v>4136</v>
      </c>
      <c r="B471" s="6" t="s">
        <v>4137</v>
      </c>
      <c r="C471" s="6" t="s">
        <v>4138</v>
      </c>
      <c r="D471" s="6" t="s">
        <v>4139</v>
      </c>
      <c r="E471" s="3" t="s">
        <v>38</v>
      </c>
      <c r="F471" s="3"/>
      <c r="G471" s="3" t="s">
        <v>152</v>
      </c>
    </row>
    <row r="472" ht="15.75" customHeight="1">
      <c r="A472" s="6" t="s">
        <v>4142</v>
      </c>
      <c r="B472" s="6" t="s">
        <v>4144</v>
      </c>
      <c r="C472" s="6" t="s">
        <v>4145</v>
      </c>
      <c r="D472" s="3"/>
      <c r="E472" s="3" t="s">
        <v>54</v>
      </c>
      <c r="F472" s="7">
        <v>45859.0</v>
      </c>
      <c r="G472" s="3" t="s">
        <v>94</v>
      </c>
    </row>
    <row r="473" ht="15.75" customHeight="1">
      <c r="A473" s="6" t="s">
        <v>4150</v>
      </c>
      <c r="B473" s="6" t="s">
        <v>3632</v>
      </c>
      <c r="C473" s="6" t="s">
        <v>4152</v>
      </c>
      <c r="D473" s="6" t="s">
        <v>4153</v>
      </c>
      <c r="E473" s="3" t="s">
        <v>54</v>
      </c>
      <c r="F473" s="7">
        <v>44989.0</v>
      </c>
      <c r="G473" s="3" t="s">
        <v>78</v>
      </c>
    </row>
    <row r="474" ht="15.75" customHeight="1">
      <c r="A474" s="6" t="s">
        <v>4155</v>
      </c>
      <c r="B474" s="6" t="s">
        <v>2393</v>
      </c>
      <c r="C474" s="6" t="s">
        <v>4158</v>
      </c>
      <c r="D474" s="6" t="s">
        <v>4159</v>
      </c>
      <c r="E474" s="3" t="s">
        <v>54</v>
      </c>
      <c r="F474" s="7">
        <v>42451.0</v>
      </c>
      <c r="G474" s="3" t="s">
        <v>78</v>
      </c>
    </row>
    <row r="475" ht="15.75" customHeight="1">
      <c r="A475" s="6" t="s">
        <v>4162</v>
      </c>
      <c r="B475" s="6" t="s">
        <v>4163</v>
      </c>
      <c r="C475" s="6" t="s">
        <v>4164</v>
      </c>
      <c r="D475" s="6" t="s">
        <v>4166</v>
      </c>
      <c r="E475" s="3" t="s">
        <v>54</v>
      </c>
      <c r="F475" s="7">
        <v>41720.0</v>
      </c>
      <c r="G475" s="3" t="s">
        <v>94</v>
      </c>
    </row>
    <row r="476" ht="15.75" customHeight="1">
      <c r="A476" s="6" t="s">
        <v>4171</v>
      </c>
      <c r="B476" s="6" t="s">
        <v>1739</v>
      </c>
      <c r="C476" s="3"/>
      <c r="D476" s="6" t="s">
        <v>1752</v>
      </c>
      <c r="E476" s="3" t="s">
        <v>54</v>
      </c>
      <c r="F476" s="7">
        <v>42943.0</v>
      </c>
      <c r="G476" s="3" t="s">
        <v>128</v>
      </c>
    </row>
    <row r="477" ht="15.75" customHeight="1">
      <c r="A477" s="6" t="s">
        <v>4173</v>
      </c>
      <c r="B477" s="6" t="s">
        <v>1982</v>
      </c>
      <c r="C477" s="6" t="s">
        <v>4175</v>
      </c>
      <c r="D477" s="6" t="s">
        <v>4176</v>
      </c>
      <c r="E477" s="3" t="s">
        <v>54</v>
      </c>
      <c r="F477" s="7">
        <v>41625.0</v>
      </c>
      <c r="G477" s="3" t="s">
        <v>128</v>
      </c>
    </row>
    <row r="478" ht="15.75" customHeight="1">
      <c r="A478" s="6" t="s">
        <v>4182</v>
      </c>
      <c r="B478" s="6" t="s">
        <v>2953</v>
      </c>
      <c r="C478" s="6" t="s">
        <v>3760</v>
      </c>
      <c r="D478" s="6" t="s">
        <v>3762</v>
      </c>
      <c r="E478" s="3" t="s">
        <v>54</v>
      </c>
      <c r="F478" s="7">
        <v>41575.0</v>
      </c>
      <c r="G478" s="3" t="s">
        <v>110</v>
      </c>
    </row>
    <row r="479" ht="15.75" customHeight="1">
      <c r="A479" s="6" t="s">
        <v>4183</v>
      </c>
      <c r="B479" s="6" t="s">
        <v>2124</v>
      </c>
      <c r="C479" s="6" t="s">
        <v>4186</v>
      </c>
      <c r="D479" s="6" t="s">
        <v>4188</v>
      </c>
      <c r="E479" s="3" t="s">
        <v>54</v>
      </c>
      <c r="F479" s="7">
        <v>40675.0</v>
      </c>
      <c r="G479" s="3" t="s">
        <v>128</v>
      </c>
    </row>
    <row r="480" ht="15.75" customHeight="1">
      <c r="A480" s="6" t="s">
        <v>4194</v>
      </c>
      <c r="B480" s="6" t="s">
        <v>1279</v>
      </c>
      <c r="C480" s="6" t="s">
        <v>4196</v>
      </c>
      <c r="D480" s="6" t="s">
        <v>4197</v>
      </c>
      <c r="E480" s="3" t="s">
        <v>54</v>
      </c>
      <c r="F480" s="7">
        <v>40633.0</v>
      </c>
      <c r="G480" s="3" t="s">
        <v>128</v>
      </c>
    </row>
    <row r="481" ht="15.75" customHeight="1">
      <c r="A481" s="6" t="s">
        <v>4200</v>
      </c>
      <c r="B481" s="6" t="s">
        <v>2474</v>
      </c>
      <c r="C481" s="6" t="s">
        <v>4201</v>
      </c>
      <c r="D481" s="6" t="s">
        <v>4203</v>
      </c>
      <c r="E481" s="3" t="s">
        <v>54</v>
      </c>
      <c r="F481" s="7">
        <v>41111.0</v>
      </c>
      <c r="G481" s="3" t="s">
        <v>152</v>
      </c>
    </row>
    <row r="482" ht="15.75" customHeight="1">
      <c r="A482" s="6" t="s">
        <v>4209</v>
      </c>
      <c r="B482" s="6" t="s">
        <v>4210</v>
      </c>
      <c r="C482" s="6" t="s">
        <v>4211</v>
      </c>
      <c r="D482" s="6" t="s">
        <v>4212</v>
      </c>
      <c r="E482" s="3" t="s">
        <v>54</v>
      </c>
      <c r="F482" s="7">
        <v>44229.0</v>
      </c>
      <c r="G482" s="3" t="s">
        <v>94</v>
      </c>
    </row>
    <row r="483" ht="15.75" customHeight="1">
      <c r="A483" s="6" t="s">
        <v>4214</v>
      </c>
      <c r="B483" s="6" t="s">
        <v>1265</v>
      </c>
      <c r="C483" s="6" t="s">
        <v>2421</v>
      </c>
      <c r="D483" s="6" t="s">
        <v>2422</v>
      </c>
      <c r="E483" s="3" t="s">
        <v>54</v>
      </c>
      <c r="F483" s="7">
        <v>44424.0</v>
      </c>
      <c r="G483" s="3" t="s">
        <v>78</v>
      </c>
    </row>
    <row r="484" ht="15.75" customHeight="1">
      <c r="A484" s="6" t="s">
        <v>4222</v>
      </c>
      <c r="B484" s="6" t="s">
        <v>4223</v>
      </c>
      <c r="C484" s="6" t="s">
        <v>4226</v>
      </c>
      <c r="D484" s="6" t="s">
        <v>4227</v>
      </c>
      <c r="E484" s="3" t="s">
        <v>38</v>
      </c>
      <c r="F484" s="3"/>
      <c r="G484" s="3" t="s">
        <v>94</v>
      </c>
    </row>
    <row r="485" ht="15.75" customHeight="1">
      <c r="A485" s="6" t="s">
        <v>4230</v>
      </c>
      <c r="B485" s="6" t="s">
        <v>3170</v>
      </c>
      <c r="C485" s="6" t="s">
        <v>4233</v>
      </c>
      <c r="D485" s="6" t="s">
        <v>4234</v>
      </c>
      <c r="E485" s="3" t="s">
        <v>47</v>
      </c>
      <c r="F485" s="7">
        <v>41448.0</v>
      </c>
      <c r="G485" s="3" t="s">
        <v>110</v>
      </c>
    </row>
    <row r="486" ht="15.75" customHeight="1">
      <c r="A486" s="6" t="s">
        <v>4236</v>
      </c>
      <c r="B486" s="6" t="s">
        <v>1975</v>
      </c>
      <c r="C486" s="6" t="s">
        <v>2436</v>
      </c>
      <c r="D486" s="3"/>
      <c r="E486" s="3" t="s">
        <v>54</v>
      </c>
      <c r="F486" s="7">
        <v>42095.0</v>
      </c>
      <c r="G486" s="3" t="s">
        <v>110</v>
      </c>
    </row>
    <row r="487" ht="15.75" customHeight="1">
      <c r="A487" s="6" t="s">
        <v>4243</v>
      </c>
      <c r="B487" s="6" t="s">
        <v>4244</v>
      </c>
      <c r="C487" s="6" t="s">
        <v>4245</v>
      </c>
      <c r="D487" s="6" t="s">
        <v>4246</v>
      </c>
      <c r="E487" s="3" t="s">
        <v>54</v>
      </c>
      <c r="F487" s="7">
        <v>43243.0</v>
      </c>
      <c r="G487" s="3" t="s">
        <v>94</v>
      </c>
    </row>
    <row r="488" ht="15.75" customHeight="1">
      <c r="A488" s="6" t="s">
        <v>4249</v>
      </c>
      <c r="B488" s="6" t="s">
        <v>946</v>
      </c>
      <c r="C488" s="6" t="s">
        <v>959</v>
      </c>
      <c r="D488" s="6" t="s">
        <v>961</v>
      </c>
      <c r="E488" s="3" t="s">
        <v>54</v>
      </c>
      <c r="F488" s="7">
        <v>40389.0</v>
      </c>
      <c r="G488" s="3" t="s">
        <v>94</v>
      </c>
    </row>
    <row r="489" ht="15.75" customHeight="1">
      <c r="A489" s="6" t="s">
        <v>4254</v>
      </c>
      <c r="B489" s="6" t="s">
        <v>1357</v>
      </c>
      <c r="C489" s="6" t="s">
        <v>4258</v>
      </c>
      <c r="D489" s="6" t="s">
        <v>4260</v>
      </c>
      <c r="E489" s="3" t="s">
        <v>38</v>
      </c>
      <c r="F489" s="3"/>
      <c r="G489" s="3" t="s">
        <v>78</v>
      </c>
    </row>
    <row r="490" ht="15.75" customHeight="1">
      <c r="A490" s="6" t="s">
        <v>4261</v>
      </c>
      <c r="B490" s="6" t="s">
        <v>4026</v>
      </c>
      <c r="C490" s="6" t="s">
        <v>4262</v>
      </c>
      <c r="D490" s="6" t="s">
        <v>4264</v>
      </c>
      <c r="E490" s="3" t="s">
        <v>38</v>
      </c>
      <c r="F490" s="3"/>
      <c r="G490" s="3" t="s">
        <v>152</v>
      </c>
    </row>
    <row r="491" ht="15.75" customHeight="1">
      <c r="A491" s="6" t="s">
        <v>4267</v>
      </c>
      <c r="B491" s="6" t="s">
        <v>4269</v>
      </c>
      <c r="C491" s="6" t="s">
        <v>4271</v>
      </c>
      <c r="D491" s="6" t="s">
        <v>4274</v>
      </c>
      <c r="E491" s="3" t="s">
        <v>54</v>
      </c>
      <c r="F491" s="7">
        <v>40194.0</v>
      </c>
      <c r="G491" s="3" t="s">
        <v>78</v>
      </c>
    </row>
    <row r="492" ht="15.75" customHeight="1">
      <c r="A492" s="6" t="s">
        <v>4277</v>
      </c>
      <c r="B492" s="6" t="s">
        <v>4278</v>
      </c>
      <c r="C492" s="6" t="s">
        <v>4279</v>
      </c>
      <c r="D492" s="6" t="s">
        <v>4281</v>
      </c>
      <c r="E492" s="3" t="s">
        <v>54</v>
      </c>
      <c r="F492" s="7">
        <v>45219.0</v>
      </c>
      <c r="G492" s="3" t="s">
        <v>128</v>
      </c>
    </row>
    <row r="493" ht="15.75" customHeight="1">
      <c r="A493" s="6" t="s">
        <v>4284</v>
      </c>
      <c r="B493" s="6" t="s">
        <v>4285</v>
      </c>
      <c r="C493" s="6" t="s">
        <v>4286</v>
      </c>
      <c r="D493" s="6" t="s">
        <v>4288</v>
      </c>
      <c r="E493" s="3" t="s">
        <v>38</v>
      </c>
      <c r="F493" s="3"/>
      <c r="G493" s="3" t="s">
        <v>128</v>
      </c>
    </row>
    <row r="494" ht="15.75" customHeight="1">
      <c r="A494" s="6" t="s">
        <v>4293</v>
      </c>
      <c r="B494" s="6" t="s">
        <v>238</v>
      </c>
      <c r="C494" s="6" t="s">
        <v>253</v>
      </c>
      <c r="D494" s="6" t="s">
        <v>255</v>
      </c>
      <c r="E494" s="3" t="s">
        <v>54</v>
      </c>
      <c r="F494" s="7">
        <v>41353.0</v>
      </c>
      <c r="G494" s="3" t="s">
        <v>94</v>
      </c>
    </row>
    <row r="495" ht="15.75" customHeight="1">
      <c r="A495" s="6" t="s">
        <v>4296</v>
      </c>
      <c r="B495" s="6" t="s">
        <v>4141</v>
      </c>
      <c r="C495" s="6" t="s">
        <v>936</v>
      </c>
      <c r="D495" s="6" t="s">
        <v>937</v>
      </c>
      <c r="E495" s="3" t="s">
        <v>54</v>
      </c>
      <c r="F495" s="7">
        <v>41662.0</v>
      </c>
      <c r="G495" s="3" t="s">
        <v>128</v>
      </c>
    </row>
    <row r="496" ht="15.75" customHeight="1">
      <c r="A496" s="6" t="s">
        <v>4304</v>
      </c>
      <c r="B496" s="6" t="s">
        <v>4185</v>
      </c>
      <c r="C496" s="6" t="s">
        <v>4307</v>
      </c>
      <c r="D496" s="6" t="s">
        <v>4309</v>
      </c>
      <c r="E496" s="3" t="s">
        <v>54</v>
      </c>
      <c r="F496" s="7">
        <v>40935.0</v>
      </c>
      <c r="G496" s="3" t="s">
        <v>78</v>
      </c>
    </row>
    <row r="497" ht="15.75" customHeight="1">
      <c r="A497" s="6" t="s">
        <v>4310</v>
      </c>
      <c r="B497" s="6" t="s">
        <v>4311</v>
      </c>
      <c r="C497" s="6" t="s">
        <v>4314</v>
      </c>
      <c r="D497" s="6" t="s">
        <v>4317</v>
      </c>
      <c r="E497" s="3" t="s">
        <v>54</v>
      </c>
      <c r="F497" s="7">
        <v>44254.0</v>
      </c>
      <c r="G497" s="3" t="s">
        <v>94</v>
      </c>
    </row>
    <row r="498" ht="15.75" customHeight="1">
      <c r="A498" s="6" t="s">
        <v>4319</v>
      </c>
      <c r="B498" s="6" t="s">
        <v>4321</v>
      </c>
      <c r="C498" s="6" t="s">
        <v>4323</v>
      </c>
      <c r="D498" s="6" t="s">
        <v>4327</v>
      </c>
      <c r="E498" s="3" t="s">
        <v>54</v>
      </c>
      <c r="F498" s="7">
        <v>42574.0</v>
      </c>
      <c r="G498" s="3" t="s">
        <v>128</v>
      </c>
    </row>
    <row r="499" ht="15.75" customHeight="1">
      <c r="A499" s="6" t="s">
        <v>4331</v>
      </c>
      <c r="B499" s="6" t="s">
        <v>1094</v>
      </c>
      <c r="C499" s="6" t="s">
        <v>4333</v>
      </c>
      <c r="D499" s="6" t="s">
        <v>4335</v>
      </c>
      <c r="E499" s="3" t="s">
        <v>38</v>
      </c>
      <c r="F499" s="3"/>
      <c r="G499" s="3" t="s">
        <v>78</v>
      </c>
    </row>
    <row r="500" ht="15.75" customHeight="1">
      <c r="A500" s="6" t="s">
        <v>4339</v>
      </c>
      <c r="B500" s="6" t="s">
        <v>4341</v>
      </c>
      <c r="C500" s="6" t="s">
        <v>4343</v>
      </c>
      <c r="D500" s="6" t="s">
        <v>4344</v>
      </c>
      <c r="E500" s="3" t="s">
        <v>54</v>
      </c>
      <c r="F500" s="7">
        <v>40314.0</v>
      </c>
      <c r="G500" s="3" t="s">
        <v>94</v>
      </c>
    </row>
    <row r="501" ht="15.75" customHeight="1">
      <c r="A501" s="6" t="s">
        <v>4348</v>
      </c>
      <c r="B501" s="6" t="s">
        <v>732</v>
      </c>
      <c r="C501" s="6" t="s">
        <v>747</v>
      </c>
      <c r="D501" s="6" t="s">
        <v>749</v>
      </c>
      <c r="E501" s="3" t="s">
        <v>54</v>
      </c>
      <c r="F501" s="7">
        <v>41870.0</v>
      </c>
      <c r="G501" s="3" t="s">
        <v>128</v>
      </c>
    </row>
    <row r="502" ht="15.75" customHeight="1">
      <c r="A502" s="6" t="s">
        <v>4352</v>
      </c>
      <c r="B502" s="6" t="s">
        <v>1937</v>
      </c>
      <c r="C502" s="6" t="s">
        <v>4354</v>
      </c>
      <c r="D502" s="6" t="s">
        <v>4355</v>
      </c>
      <c r="E502" s="3" t="s">
        <v>54</v>
      </c>
      <c r="F502" s="7">
        <v>44919.0</v>
      </c>
      <c r="G502" s="3" t="s">
        <v>110</v>
      </c>
    </row>
    <row r="503" ht="15.75" customHeight="1">
      <c r="A503" s="6" t="s">
        <v>4359</v>
      </c>
      <c r="B503" s="6" t="s">
        <v>2357</v>
      </c>
      <c r="C503" s="3"/>
      <c r="D503" s="6" t="s">
        <v>2367</v>
      </c>
      <c r="E503" s="3" t="s">
        <v>54</v>
      </c>
      <c r="F503" s="7">
        <v>45399.0</v>
      </c>
      <c r="G503" s="3" t="s">
        <v>152</v>
      </c>
    </row>
    <row r="504" ht="15.75" customHeight="1">
      <c r="A504" s="6" t="s">
        <v>4364</v>
      </c>
      <c r="B504" s="6" t="s">
        <v>4366</v>
      </c>
      <c r="C504" s="6" t="s">
        <v>4368</v>
      </c>
      <c r="D504" s="6" t="s">
        <v>4370</v>
      </c>
      <c r="E504" s="3" t="s">
        <v>54</v>
      </c>
      <c r="F504" s="7">
        <v>42269.0</v>
      </c>
      <c r="G504" s="3" t="s">
        <v>110</v>
      </c>
    </row>
    <row r="505" ht="15.75" customHeight="1">
      <c r="A505" s="6" t="s">
        <v>4373</v>
      </c>
      <c r="B505" s="6" t="s">
        <v>4374</v>
      </c>
      <c r="C505" s="6" t="s">
        <v>4375</v>
      </c>
      <c r="D505" s="6" t="s">
        <v>4376</v>
      </c>
      <c r="E505" s="3" t="s">
        <v>38</v>
      </c>
      <c r="F505" s="3"/>
      <c r="G505" s="3" t="s">
        <v>94</v>
      </c>
    </row>
    <row r="506" ht="15.75" customHeight="1">
      <c r="A506" s="6" t="s">
        <v>4380</v>
      </c>
      <c r="B506" s="6" t="s">
        <v>4383</v>
      </c>
      <c r="C506" s="6" t="s">
        <v>4385</v>
      </c>
      <c r="D506" s="6" t="s">
        <v>4386</v>
      </c>
      <c r="E506" s="3" t="s">
        <v>47</v>
      </c>
      <c r="F506" s="7">
        <v>45727.0</v>
      </c>
      <c r="G506" s="3" t="s">
        <v>152</v>
      </c>
    </row>
    <row r="507" ht="15.75" customHeight="1">
      <c r="A507" s="6" t="s">
        <v>4388</v>
      </c>
      <c r="B507" s="6" t="s">
        <v>2805</v>
      </c>
      <c r="C507" s="6" t="s">
        <v>4390</v>
      </c>
      <c r="D507" s="6" t="s">
        <v>4391</v>
      </c>
      <c r="E507" s="3" t="s">
        <v>54</v>
      </c>
      <c r="F507" s="7">
        <v>42061.0</v>
      </c>
      <c r="G507" s="3" t="s">
        <v>78</v>
      </c>
    </row>
    <row r="508" ht="15.75" customHeight="1">
      <c r="A508" s="6" t="s">
        <v>4395</v>
      </c>
      <c r="B508" s="6" t="s">
        <v>831</v>
      </c>
      <c r="C508" s="6" t="s">
        <v>4002</v>
      </c>
      <c r="D508" s="6" t="s">
        <v>4003</v>
      </c>
      <c r="E508" s="3" t="s">
        <v>38</v>
      </c>
      <c r="F508" s="3"/>
      <c r="G508" s="3" t="s">
        <v>128</v>
      </c>
    </row>
    <row r="509" ht="15.75" customHeight="1">
      <c r="A509" s="6" t="s">
        <v>4400</v>
      </c>
      <c r="B509" s="6" t="s">
        <v>1774</v>
      </c>
      <c r="C509" s="6" t="s">
        <v>4401</v>
      </c>
      <c r="D509" s="6" t="s">
        <v>4402</v>
      </c>
      <c r="E509" s="3" t="s">
        <v>54</v>
      </c>
      <c r="F509" s="7">
        <v>43969.0</v>
      </c>
      <c r="G509" s="3" t="s">
        <v>152</v>
      </c>
    </row>
    <row r="510" ht="15.75" customHeight="1">
      <c r="A510" s="6" t="s">
        <v>4404</v>
      </c>
      <c r="B510" s="6" t="s">
        <v>2114</v>
      </c>
      <c r="C510" s="6" t="s">
        <v>2123</v>
      </c>
      <c r="D510" s="6" t="s">
        <v>2125</v>
      </c>
      <c r="E510" s="3" t="s">
        <v>54</v>
      </c>
      <c r="F510" s="7">
        <v>44044.0</v>
      </c>
      <c r="G510" s="3" t="s">
        <v>152</v>
      </c>
    </row>
    <row r="511" ht="15.75" customHeight="1">
      <c r="A511" s="6" t="s">
        <v>4408</v>
      </c>
      <c r="B511" s="6" t="s">
        <v>3600</v>
      </c>
      <c r="C511" s="6" t="s">
        <v>4411</v>
      </c>
      <c r="D511" s="6" t="s">
        <v>4413</v>
      </c>
      <c r="E511" s="3" t="s">
        <v>54</v>
      </c>
      <c r="F511" s="7">
        <v>43958.0</v>
      </c>
      <c r="G511" s="3" t="s">
        <v>94</v>
      </c>
    </row>
    <row r="512" ht="15.75" customHeight="1">
      <c r="A512" s="6" t="s">
        <v>4418</v>
      </c>
      <c r="B512" s="6" t="s">
        <v>4419</v>
      </c>
      <c r="C512" s="3"/>
      <c r="D512" s="6" t="s">
        <v>4420</v>
      </c>
      <c r="E512" s="3" t="s">
        <v>38</v>
      </c>
      <c r="F512" s="3"/>
      <c r="G512" s="3" t="s">
        <v>128</v>
      </c>
    </row>
    <row r="513" ht="15.75" customHeight="1">
      <c r="A513" s="6" t="s">
        <v>4423</v>
      </c>
      <c r="B513" s="6" t="s">
        <v>1119</v>
      </c>
      <c r="C513" s="6" t="s">
        <v>4305</v>
      </c>
      <c r="D513" s="6" t="s">
        <v>4308</v>
      </c>
      <c r="E513" s="3" t="s">
        <v>54</v>
      </c>
      <c r="F513" s="7">
        <v>42082.0</v>
      </c>
      <c r="G513" s="3" t="s">
        <v>78</v>
      </c>
    </row>
    <row r="514" ht="15.75" customHeight="1">
      <c r="A514" s="6" t="s">
        <v>4430</v>
      </c>
      <c r="B514" s="6" t="s">
        <v>4431</v>
      </c>
      <c r="C514" s="6" t="s">
        <v>4433</v>
      </c>
      <c r="D514" s="6" t="s">
        <v>4434</v>
      </c>
      <c r="E514" s="3" t="s">
        <v>54</v>
      </c>
      <c r="F514" s="7">
        <v>44310.0</v>
      </c>
      <c r="G514" s="3" t="s">
        <v>152</v>
      </c>
    </row>
    <row r="515" ht="15.75" customHeight="1">
      <c r="A515" s="6" t="s">
        <v>4436</v>
      </c>
      <c r="B515" s="6" t="s">
        <v>1588</v>
      </c>
      <c r="C515" s="6" t="s">
        <v>4440</v>
      </c>
      <c r="D515" s="6" t="s">
        <v>4442</v>
      </c>
      <c r="E515" s="3" t="s">
        <v>54</v>
      </c>
      <c r="F515" s="7">
        <v>44115.0</v>
      </c>
      <c r="G515" s="3" t="s">
        <v>152</v>
      </c>
    </row>
    <row r="516" ht="15.75" customHeight="1">
      <c r="A516" s="6" t="s">
        <v>4446</v>
      </c>
      <c r="B516" s="6" t="s">
        <v>4447</v>
      </c>
      <c r="C516" s="6" t="s">
        <v>4449</v>
      </c>
      <c r="D516" s="6" t="s">
        <v>4450</v>
      </c>
      <c r="E516" s="3" t="s">
        <v>54</v>
      </c>
      <c r="F516" s="7">
        <v>41615.0</v>
      </c>
      <c r="G516" s="3" t="s">
        <v>78</v>
      </c>
    </row>
    <row r="517" ht="15.75" customHeight="1">
      <c r="A517" s="6" t="s">
        <v>4454</v>
      </c>
      <c r="B517" s="6" t="s">
        <v>4455</v>
      </c>
      <c r="C517" s="6" t="s">
        <v>4456</v>
      </c>
      <c r="D517" s="6" t="s">
        <v>4457</v>
      </c>
      <c r="E517" s="3" t="s">
        <v>54</v>
      </c>
      <c r="F517" s="7">
        <v>45115.0</v>
      </c>
      <c r="G517" s="3" t="s">
        <v>152</v>
      </c>
    </row>
    <row r="518" ht="15.75" customHeight="1">
      <c r="A518" s="6" t="s">
        <v>4463</v>
      </c>
      <c r="B518" s="6" t="s">
        <v>2233</v>
      </c>
      <c r="C518" s="6" t="s">
        <v>2243</v>
      </c>
      <c r="D518" s="6" t="s">
        <v>2244</v>
      </c>
      <c r="E518" s="3" t="s">
        <v>38</v>
      </c>
      <c r="F518" s="3"/>
      <c r="G518" s="3" t="s">
        <v>94</v>
      </c>
    </row>
    <row r="519" ht="15.75" customHeight="1">
      <c r="A519" s="6" t="s">
        <v>4465</v>
      </c>
      <c r="B519" s="6" t="s">
        <v>4466</v>
      </c>
      <c r="C519" s="6" t="s">
        <v>4467</v>
      </c>
      <c r="D519" s="3"/>
      <c r="E519" s="3" t="s">
        <v>54</v>
      </c>
      <c r="F519" s="7">
        <v>44987.0</v>
      </c>
      <c r="G519" s="3" t="s">
        <v>128</v>
      </c>
    </row>
    <row r="520" ht="15.75" customHeight="1">
      <c r="A520" s="6" t="s">
        <v>4475</v>
      </c>
      <c r="B520" s="6" t="s">
        <v>4382</v>
      </c>
      <c r="C520" s="6" t="s">
        <v>4476</v>
      </c>
      <c r="D520" s="6" t="s">
        <v>4477</v>
      </c>
      <c r="E520" s="3" t="s">
        <v>54</v>
      </c>
      <c r="F520" s="7">
        <v>44467.0</v>
      </c>
      <c r="G520" s="3" t="s">
        <v>110</v>
      </c>
    </row>
    <row r="521" ht="15.75" customHeight="1">
      <c r="A521" s="6" t="s">
        <v>4481</v>
      </c>
      <c r="B521" s="6" t="s">
        <v>2715</v>
      </c>
      <c r="C521" s="6" t="s">
        <v>2724</v>
      </c>
      <c r="D521" s="6" t="s">
        <v>2725</v>
      </c>
      <c r="E521" s="3" t="s">
        <v>47</v>
      </c>
      <c r="F521" s="7">
        <v>42028.0</v>
      </c>
      <c r="G521" s="3" t="s">
        <v>78</v>
      </c>
    </row>
    <row r="522" ht="15.75" customHeight="1">
      <c r="A522" s="6" t="s">
        <v>4488</v>
      </c>
      <c r="B522" s="6" t="s">
        <v>4389</v>
      </c>
      <c r="C522" s="6" t="s">
        <v>4492</v>
      </c>
      <c r="D522" s="6" t="s">
        <v>4493</v>
      </c>
      <c r="E522" s="3" t="s">
        <v>54</v>
      </c>
      <c r="F522" s="7">
        <v>42318.0</v>
      </c>
      <c r="G522" s="3" t="s">
        <v>152</v>
      </c>
    </row>
    <row r="523" ht="15.75" customHeight="1">
      <c r="A523" s="6" t="s">
        <v>4495</v>
      </c>
      <c r="B523" s="6" t="s">
        <v>3987</v>
      </c>
      <c r="C523" s="6" t="s">
        <v>4496</v>
      </c>
      <c r="D523" s="6" t="s">
        <v>4499</v>
      </c>
      <c r="E523" s="3" t="s">
        <v>54</v>
      </c>
      <c r="F523" s="7">
        <v>42924.0</v>
      </c>
      <c r="G523" s="3" t="s">
        <v>152</v>
      </c>
    </row>
    <row r="524" ht="15.75" customHeight="1">
      <c r="A524" s="6" t="s">
        <v>4501</v>
      </c>
      <c r="B524" s="6" t="s">
        <v>3683</v>
      </c>
      <c r="C524" s="6" t="s">
        <v>3692</v>
      </c>
      <c r="D524" s="3"/>
      <c r="E524" s="3" t="s">
        <v>54</v>
      </c>
      <c r="F524" s="7">
        <v>42482.0</v>
      </c>
      <c r="G524" s="3" t="s">
        <v>94</v>
      </c>
    </row>
    <row r="525" ht="15.75" customHeight="1">
      <c r="A525" s="6" t="s">
        <v>4507</v>
      </c>
      <c r="B525" s="6" t="s">
        <v>2665</v>
      </c>
      <c r="C525" s="6" t="s">
        <v>4510</v>
      </c>
      <c r="D525" s="6" t="s">
        <v>4511</v>
      </c>
      <c r="E525" s="3" t="s">
        <v>54</v>
      </c>
      <c r="F525" s="7">
        <v>42272.0</v>
      </c>
      <c r="G525" s="3" t="s">
        <v>94</v>
      </c>
    </row>
    <row r="526" ht="15.75" customHeight="1">
      <c r="A526" s="6" t="s">
        <v>4517</v>
      </c>
      <c r="B526" s="6" t="s">
        <v>4518</v>
      </c>
      <c r="C526" s="6" t="s">
        <v>4520</v>
      </c>
      <c r="D526" s="6" t="s">
        <v>4522</v>
      </c>
      <c r="E526" s="3" t="s">
        <v>54</v>
      </c>
      <c r="F526" s="7">
        <v>44737.0</v>
      </c>
      <c r="G526" s="3" t="s">
        <v>110</v>
      </c>
    </row>
    <row r="527" ht="15.75" customHeight="1">
      <c r="A527" s="6" t="s">
        <v>4525</v>
      </c>
      <c r="B527" s="6" t="s">
        <v>593</v>
      </c>
      <c r="C527" s="6" t="s">
        <v>604</v>
      </c>
      <c r="D527" s="6" t="s">
        <v>605</v>
      </c>
      <c r="E527" s="3" t="s">
        <v>38</v>
      </c>
      <c r="F527" s="3"/>
      <c r="G527" s="3" t="s">
        <v>128</v>
      </c>
    </row>
    <row r="528" ht="15.75" customHeight="1">
      <c r="A528" s="6" t="s">
        <v>4531</v>
      </c>
      <c r="B528" s="6" t="s">
        <v>4500</v>
      </c>
      <c r="C528" s="6" t="s">
        <v>4535</v>
      </c>
      <c r="D528" s="6" t="s">
        <v>4537</v>
      </c>
      <c r="E528" s="3" t="s">
        <v>54</v>
      </c>
      <c r="F528" s="7">
        <v>44479.0</v>
      </c>
      <c r="G528" s="3" t="s">
        <v>94</v>
      </c>
    </row>
    <row r="529" ht="15.75" customHeight="1">
      <c r="A529" s="6" t="s">
        <v>4538</v>
      </c>
      <c r="B529" s="6" t="s">
        <v>786</v>
      </c>
      <c r="C529" s="6" t="s">
        <v>800</v>
      </c>
      <c r="D529" s="6" t="s">
        <v>801</v>
      </c>
      <c r="E529" s="3" t="s">
        <v>54</v>
      </c>
      <c r="F529" s="7">
        <v>41026.0</v>
      </c>
      <c r="G529" s="3" t="s">
        <v>128</v>
      </c>
    </row>
    <row r="530" ht="15.75" customHeight="1">
      <c r="A530" s="6" t="s">
        <v>4543</v>
      </c>
      <c r="B530" s="6" t="s">
        <v>1716</v>
      </c>
      <c r="C530" s="6" t="s">
        <v>2797</v>
      </c>
      <c r="D530" s="6" t="s">
        <v>2799</v>
      </c>
      <c r="E530" s="3" t="s">
        <v>47</v>
      </c>
      <c r="F530" s="7">
        <v>44465.0</v>
      </c>
      <c r="G530" s="3" t="s">
        <v>110</v>
      </c>
    </row>
    <row r="531" ht="15.75" customHeight="1">
      <c r="A531" s="6" t="s">
        <v>4548</v>
      </c>
      <c r="B531" s="6" t="s">
        <v>2983</v>
      </c>
      <c r="C531" s="6" t="s">
        <v>4549</v>
      </c>
      <c r="D531" s="6" t="s">
        <v>4550</v>
      </c>
      <c r="E531" s="3" t="s">
        <v>54</v>
      </c>
      <c r="F531" s="7">
        <v>42172.0</v>
      </c>
      <c r="G531" s="3" t="s">
        <v>110</v>
      </c>
    </row>
    <row r="532" ht="15.75" customHeight="1">
      <c r="A532" s="6" t="s">
        <v>4552</v>
      </c>
      <c r="B532" s="6" t="s">
        <v>3579</v>
      </c>
      <c r="C532" s="6" t="s">
        <v>4557</v>
      </c>
      <c r="D532" s="6" t="s">
        <v>4558</v>
      </c>
      <c r="E532" s="3" t="s">
        <v>54</v>
      </c>
      <c r="F532" s="7">
        <v>45348.0</v>
      </c>
      <c r="G532" s="3" t="s">
        <v>78</v>
      </c>
    </row>
    <row r="533" ht="15.75" customHeight="1">
      <c r="A533" s="6" t="s">
        <v>4559</v>
      </c>
      <c r="B533" s="6" t="s">
        <v>2252</v>
      </c>
      <c r="C533" s="3"/>
      <c r="D533" s="6" t="s">
        <v>4560</v>
      </c>
      <c r="E533" s="3" t="s">
        <v>54</v>
      </c>
      <c r="F533" s="7">
        <v>43430.0</v>
      </c>
      <c r="G533" s="3" t="s">
        <v>152</v>
      </c>
    </row>
    <row r="534" ht="15.75" customHeight="1">
      <c r="A534" s="6" t="s">
        <v>4563</v>
      </c>
      <c r="B534" s="6" t="s">
        <v>4565</v>
      </c>
      <c r="C534" s="6" t="s">
        <v>4568</v>
      </c>
      <c r="D534" s="6" t="s">
        <v>4569</v>
      </c>
      <c r="E534" s="3" t="s">
        <v>54</v>
      </c>
      <c r="F534" s="7">
        <v>45753.0</v>
      </c>
      <c r="G534" s="3" t="s">
        <v>110</v>
      </c>
    </row>
    <row r="535" ht="15.75" customHeight="1">
      <c r="A535" s="6" t="s">
        <v>4570</v>
      </c>
      <c r="B535" s="6" t="s">
        <v>1890</v>
      </c>
      <c r="C535" s="6" t="s">
        <v>1903</v>
      </c>
      <c r="D535" s="6" t="s">
        <v>1907</v>
      </c>
      <c r="E535" s="3" t="s">
        <v>54</v>
      </c>
      <c r="F535" s="7">
        <v>44241.0</v>
      </c>
      <c r="G535" s="3" t="s">
        <v>110</v>
      </c>
    </row>
    <row r="536" ht="15.75" customHeight="1">
      <c r="A536" s="6" t="s">
        <v>4574</v>
      </c>
      <c r="B536" s="6" t="s">
        <v>689</v>
      </c>
      <c r="C536" s="6" t="s">
        <v>4429</v>
      </c>
      <c r="D536" s="6" t="s">
        <v>4432</v>
      </c>
      <c r="E536" s="3" t="s">
        <v>54</v>
      </c>
      <c r="F536" s="7">
        <v>44368.0</v>
      </c>
      <c r="G536" s="3" t="s">
        <v>128</v>
      </c>
    </row>
    <row r="537" ht="15.75" customHeight="1">
      <c r="A537" s="6" t="s">
        <v>4577</v>
      </c>
      <c r="B537" s="6" t="s">
        <v>2402</v>
      </c>
      <c r="C537" s="6" t="s">
        <v>1173</v>
      </c>
      <c r="D537" s="6" t="s">
        <v>1174</v>
      </c>
      <c r="E537" s="3" t="s">
        <v>54</v>
      </c>
      <c r="F537" s="7">
        <v>43741.0</v>
      </c>
      <c r="G537" s="3" t="s">
        <v>94</v>
      </c>
    </row>
    <row r="538" ht="15.75" customHeight="1">
      <c r="A538" s="6" t="s">
        <v>4579</v>
      </c>
      <c r="B538" s="6" t="s">
        <v>2185</v>
      </c>
      <c r="C538" s="6" t="s">
        <v>4580</v>
      </c>
      <c r="D538" s="6" t="s">
        <v>4581</v>
      </c>
      <c r="E538" s="3" t="s">
        <v>54</v>
      </c>
      <c r="F538" s="7">
        <v>41238.0</v>
      </c>
      <c r="G538" s="3" t="s">
        <v>78</v>
      </c>
    </row>
    <row r="539" ht="15.75" customHeight="1">
      <c r="A539" s="6" t="s">
        <v>4585</v>
      </c>
      <c r="B539" s="6" t="s">
        <v>1069</v>
      </c>
      <c r="C539" s="6" t="s">
        <v>1082</v>
      </c>
      <c r="D539" s="6" t="s">
        <v>1085</v>
      </c>
      <c r="E539" s="3" t="s">
        <v>54</v>
      </c>
      <c r="F539" s="7">
        <v>41096.0</v>
      </c>
      <c r="G539" s="3" t="s">
        <v>128</v>
      </c>
    </row>
    <row r="540" ht="15.75" customHeight="1">
      <c r="A540" s="6" t="s">
        <v>4593</v>
      </c>
      <c r="B540" s="6" t="s">
        <v>4594</v>
      </c>
      <c r="C540" s="6" t="s">
        <v>4596</v>
      </c>
      <c r="D540" s="6" t="s">
        <v>4597</v>
      </c>
      <c r="E540" s="3" t="s">
        <v>38</v>
      </c>
      <c r="F540" s="3"/>
      <c r="G540" s="3" t="s">
        <v>94</v>
      </c>
    </row>
    <row r="541" ht="15.75" customHeight="1">
      <c r="A541" s="6" t="s">
        <v>4602</v>
      </c>
      <c r="B541" s="6" t="s">
        <v>1672</v>
      </c>
      <c r="C541" s="6" t="s">
        <v>1684</v>
      </c>
      <c r="D541" s="6" t="s">
        <v>1686</v>
      </c>
      <c r="E541" s="3" t="s">
        <v>54</v>
      </c>
      <c r="F541" s="7">
        <v>45156.0</v>
      </c>
      <c r="G541" s="3" t="s">
        <v>152</v>
      </c>
    </row>
    <row r="542" ht="15.75" customHeight="1">
      <c r="A542" s="6" t="s">
        <v>4610</v>
      </c>
      <c r="B542" s="6" t="s">
        <v>4612</v>
      </c>
      <c r="C542" s="6" t="s">
        <v>4616</v>
      </c>
      <c r="D542" s="6" t="s">
        <v>4619</v>
      </c>
      <c r="E542" s="3" t="s">
        <v>38</v>
      </c>
      <c r="F542" s="3"/>
      <c r="G542" s="3" t="s">
        <v>78</v>
      </c>
    </row>
    <row r="543" ht="15.75" customHeight="1">
      <c r="A543" s="6" t="s">
        <v>4624</v>
      </c>
      <c r="B543" s="6" t="s">
        <v>3759</v>
      </c>
      <c r="C543" s="6" t="s">
        <v>4628</v>
      </c>
      <c r="D543" s="6" t="s">
        <v>4629</v>
      </c>
      <c r="E543" s="3" t="s">
        <v>54</v>
      </c>
      <c r="F543" s="7">
        <v>42513.0</v>
      </c>
      <c r="G543" s="3" t="s">
        <v>152</v>
      </c>
    </row>
    <row r="544" ht="15.75" customHeight="1">
      <c r="A544" s="6" t="s">
        <v>4634</v>
      </c>
      <c r="B544" s="6" t="s">
        <v>3176</v>
      </c>
      <c r="C544" s="6" t="s">
        <v>4637</v>
      </c>
      <c r="D544" s="6" t="s">
        <v>4639</v>
      </c>
      <c r="E544" s="3" t="s">
        <v>54</v>
      </c>
      <c r="F544" s="7">
        <v>41829.0</v>
      </c>
      <c r="G544" s="3" t="s">
        <v>78</v>
      </c>
    </row>
    <row r="545" ht="15.75" customHeight="1">
      <c r="A545" s="6" t="s">
        <v>4645</v>
      </c>
      <c r="B545" s="6" t="s">
        <v>4646</v>
      </c>
      <c r="C545" s="6" t="s">
        <v>4648</v>
      </c>
      <c r="D545" s="6" t="s">
        <v>4652</v>
      </c>
      <c r="E545" s="3" t="s">
        <v>54</v>
      </c>
      <c r="F545" s="7">
        <v>40906.0</v>
      </c>
      <c r="G545" s="3" t="s">
        <v>128</v>
      </c>
    </row>
    <row r="546" ht="15.75" customHeight="1">
      <c r="A546" s="6" t="s">
        <v>4663</v>
      </c>
      <c r="B546" s="6" t="s">
        <v>1722</v>
      </c>
      <c r="C546" s="6" t="s">
        <v>2785</v>
      </c>
      <c r="D546" s="6" t="s">
        <v>2786</v>
      </c>
      <c r="E546" s="3" t="s">
        <v>54</v>
      </c>
      <c r="F546" s="7">
        <v>45224.0</v>
      </c>
      <c r="G546" s="3" t="s">
        <v>152</v>
      </c>
    </row>
    <row r="547" ht="15.75" customHeight="1">
      <c r="A547" s="6" t="s">
        <v>4668</v>
      </c>
      <c r="B547" s="6" t="s">
        <v>4670</v>
      </c>
      <c r="C547" s="6" t="s">
        <v>4673</v>
      </c>
      <c r="D547" s="6" t="s">
        <v>4675</v>
      </c>
      <c r="E547" s="3" t="s">
        <v>54</v>
      </c>
      <c r="F547" s="7">
        <v>40565.0</v>
      </c>
      <c r="G547" s="3" t="s">
        <v>110</v>
      </c>
    </row>
    <row r="548" ht="15.75" customHeight="1">
      <c r="A548" s="6" t="s">
        <v>4678</v>
      </c>
      <c r="B548" s="6" t="s">
        <v>1873</v>
      </c>
      <c r="C548" s="3"/>
      <c r="D548" s="6" t="s">
        <v>4679</v>
      </c>
      <c r="E548" s="3" t="s">
        <v>54</v>
      </c>
      <c r="F548" s="7">
        <v>45236.0</v>
      </c>
      <c r="G548" s="3" t="s">
        <v>110</v>
      </c>
    </row>
    <row r="549" ht="15.75" customHeight="1">
      <c r="A549" s="6" t="s">
        <v>4682</v>
      </c>
      <c r="B549" s="6" t="s">
        <v>4683</v>
      </c>
      <c r="C549" s="3"/>
      <c r="D549" s="6" t="s">
        <v>4685</v>
      </c>
      <c r="E549" s="3" t="s">
        <v>38</v>
      </c>
      <c r="F549" s="3"/>
      <c r="G549" s="3" t="s">
        <v>94</v>
      </c>
    </row>
    <row r="550" ht="15.75" customHeight="1">
      <c r="A550" s="6" t="s">
        <v>4688</v>
      </c>
      <c r="B550" s="6" t="s">
        <v>3830</v>
      </c>
      <c r="C550" s="6" t="s">
        <v>4690</v>
      </c>
      <c r="D550" s="6" t="s">
        <v>4691</v>
      </c>
      <c r="E550" s="3" t="s">
        <v>54</v>
      </c>
      <c r="F550" s="7">
        <v>40383.0</v>
      </c>
      <c r="G550" s="3" t="s">
        <v>78</v>
      </c>
    </row>
    <row r="551" ht="15.75" customHeight="1">
      <c r="A551" s="6" t="s">
        <v>4692</v>
      </c>
      <c r="B551" s="6" t="s">
        <v>4371</v>
      </c>
      <c r="C551" s="6" t="s">
        <v>4693</v>
      </c>
      <c r="D551" s="3"/>
      <c r="E551" s="3" t="s">
        <v>54</v>
      </c>
      <c r="F551" s="7">
        <v>45231.0</v>
      </c>
      <c r="G551" s="3" t="s">
        <v>128</v>
      </c>
    </row>
    <row r="552" ht="15.75" customHeight="1">
      <c r="A552" s="6" t="s">
        <v>4696</v>
      </c>
      <c r="B552" s="6" t="s">
        <v>4294</v>
      </c>
      <c r="C552" s="6" t="s">
        <v>4699</v>
      </c>
      <c r="D552" s="6" t="s">
        <v>4701</v>
      </c>
      <c r="E552" s="3" t="s">
        <v>54</v>
      </c>
      <c r="F552" s="7">
        <v>42404.0</v>
      </c>
      <c r="G552" s="3" t="s">
        <v>110</v>
      </c>
    </row>
    <row r="553" ht="15.75" customHeight="1">
      <c r="A553" s="6" t="s">
        <v>4704</v>
      </c>
      <c r="B553" s="6" t="s">
        <v>3699</v>
      </c>
      <c r="C553" s="6" t="s">
        <v>3708</v>
      </c>
      <c r="D553" s="6" t="s">
        <v>3710</v>
      </c>
      <c r="E553" s="3" t="s">
        <v>54</v>
      </c>
      <c r="F553" s="7">
        <v>42801.0</v>
      </c>
      <c r="G553" s="3" t="s">
        <v>110</v>
      </c>
    </row>
    <row r="554" ht="15.75" customHeight="1">
      <c r="A554" s="6" t="s">
        <v>4706</v>
      </c>
      <c r="B554" s="6" t="s">
        <v>4315</v>
      </c>
      <c r="C554" s="6" t="s">
        <v>4707</v>
      </c>
      <c r="D554" s="6" t="s">
        <v>4709</v>
      </c>
      <c r="E554" s="3" t="s">
        <v>38</v>
      </c>
      <c r="F554" s="3"/>
      <c r="G554" s="3" t="s">
        <v>78</v>
      </c>
    </row>
    <row r="555" ht="15.75" customHeight="1">
      <c r="A555" s="6" t="s">
        <v>4712</v>
      </c>
      <c r="B555" s="6" t="s">
        <v>3458</v>
      </c>
      <c r="C555" s="3"/>
      <c r="D555" s="6" t="s">
        <v>4687</v>
      </c>
      <c r="E555" s="3" t="s">
        <v>54</v>
      </c>
      <c r="F555" s="7">
        <v>41964.0</v>
      </c>
      <c r="G555" s="3" t="s">
        <v>78</v>
      </c>
    </row>
    <row r="556" ht="15.75" customHeight="1">
      <c r="A556" s="6" t="s">
        <v>4715</v>
      </c>
      <c r="B556" s="6" t="s">
        <v>1637</v>
      </c>
      <c r="C556" s="6" t="s">
        <v>4716</v>
      </c>
      <c r="D556" s="6" t="s">
        <v>4718</v>
      </c>
      <c r="E556" s="3" t="s">
        <v>54</v>
      </c>
      <c r="F556" s="7">
        <v>45509.0</v>
      </c>
      <c r="G556" s="3" t="s">
        <v>78</v>
      </c>
    </row>
    <row r="557" ht="15.75" customHeight="1">
      <c r="A557" s="6" t="s">
        <v>4720</v>
      </c>
      <c r="B557" s="6" t="s">
        <v>2655</v>
      </c>
      <c r="C557" s="6" t="s">
        <v>4721</v>
      </c>
      <c r="D557" s="3"/>
      <c r="E557" s="3" t="s">
        <v>38</v>
      </c>
      <c r="F557" s="3"/>
      <c r="G557" s="3" t="s">
        <v>152</v>
      </c>
    </row>
    <row r="558" ht="15.75" customHeight="1">
      <c r="A558" s="6" t="s">
        <v>4726</v>
      </c>
      <c r="B558" s="6" t="s">
        <v>4727</v>
      </c>
      <c r="C558" s="6" t="s">
        <v>4728</v>
      </c>
      <c r="D558" s="6" t="s">
        <v>4729</v>
      </c>
      <c r="E558" s="3" t="s">
        <v>54</v>
      </c>
      <c r="F558" s="7">
        <v>44541.0</v>
      </c>
      <c r="G558" s="3" t="s">
        <v>110</v>
      </c>
    </row>
    <row r="559" ht="15.75" customHeight="1">
      <c r="A559" s="6" t="s">
        <v>4731</v>
      </c>
      <c r="B559" s="6" t="s">
        <v>3375</v>
      </c>
      <c r="C559" s="6" t="s">
        <v>4734</v>
      </c>
      <c r="D559" s="6" t="s">
        <v>4736</v>
      </c>
      <c r="E559" s="3" t="s">
        <v>54</v>
      </c>
      <c r="F559" s="7">
        <v>44549.0</v>
      </c>
      <c r="G559" s="3" t="s">
        <v>152</v>
      </c>
    </row>
    <row r="560" ht="15.75" customHeight="1">
      <c r="A560" s="6" t="s">
        <v>4740</v>
      </c>
      <c r="B560" s="6" t="s">
        <v>2772</v>
      </c>
      <c r="C560" s="6" t="s">
        <v>4742</v>
      </c>
      <c r="D560" s="6" t="s">
        <v>4743</v>
      </c>
      <c r="E560" s="3" t="s">
        <v>54</v>
      </c>
      <c r="F560" s="7">
        <v>42417.0</v>
      </c>
      <c r="G560" s="3" t="s">
        <v>110</v>
      </c>
    </row>
    <row r="561" ht="15.75" customHeight="1">
      <c r="A561" s="6" t="s">
        <v>4745</v>
      </c>
      <c r="B561" s="6" t="s">
        <v>1581</v>
      </c>
      <c r="C561" s="6" t="s">
        <v>1592</v>
      </c>
      <c r="D561" s="6" t="s">
        <v>1595</v>
      </c>
      <c r="E561" s="3" t="s">
        <v>54</v>
      </c>
      <c r="F561" s="7">
        <v>43138.0</v>
      </c>
      <c r="G561" s="3" t="s">
        <v>94</v>
      </c>
    </row>
    <row r="562" ht="15.75" customHeight="1">
      <c r="A562" s="6" t="s">
        <v>4750</v>
      </c>
      <c r="B562" s="6" t="s">
        <v>3580</v>
      </c>
      <c r="C562" s="6" t="s">
        <v>4752</v>
      </c>
      <c r="D562" s="6" t="s">
        <v>4753</v>
      </c>
      <c r="E562" s="3" t="s">
        <v>54</v>
      </c>
      <c r="F562" s="7">
        <v>40745.0</v>
      </c>
      <c r="G562" s="3" t="s">
        <v>152</v>
      </c>
    </row>
    <row r="563" ht="15.75" customHeight="1">
      <c r="A563" s="6" t="s">
        <v>4754</v>
      </c>
      <c r="B563" s="6" t="s">
        <v>4503</v>
      </c>
      <c r="C563" s="6" t="s">
        <v>4755</v>
      </c>
      <c r="D563" s="3"/>
      <c r="E563" s="3" t="s">
        <v>54</v>
      </c>
      <c r="F563" s="7">
        <v>42377.0</v>
      </c>
      <c r="G563" s="3" t="s">
        <v>94</v>
      </c>
    </row>
    <row r="564" ht="15.75" customHeight="1">
      <c r="A564" s="6" t="s">
        <v>4757</v>
      </c>
      <c r="B564" s="6" t="s">
        <v>3466</v>
      </c>
      <c r="C564" s="6" t="s">
        <v>3478</v>
      </c>
      <c r="D564" s="6" t="s">
        <v>3481</v>
      </c>
      <c r="E564" s="3" t="s">
        <v>54</v>
      </c>
      <c r="F564" s="7">
        <v>42616.0</v>
      </c>
      <c r="G564" s="3" t="s">
        <v>152</v>
      </c>
    </row>
    <row r="565" ht="15.75" customHeight="1">
      <c r="A565" s="6" t="s">
        <v>4761</v>
      </c>
      <c r="B565" s="6" t="s">
        <v>1670</v>
      </c>
      <c r="C565" s="6" t="s">
        <v>4763</v>
      </c>
      <c r="D565" s="6" t="s">
        <v>4764</v>
      </c>
      <c r="E565" s="3" t="s">
        <v>54</v>
      </c>
      <c r="F565" s="7">
        <v>43095.0</v>
      </c>
      <c r="G565" s="3" t="s">
        <v>78</v>
      </c>
    </row>
    <row r="566" ht="15.75" customHeight="1">
      <c r="A566" s="6" t="s">
        <v>4765</v>
      </c>
      <c r="B566" s="6" t="s">
        <v>1410</v>
      </c>
      <c r="C566" s="3"/>
      <c r="D566" s="6" t="s">
        <v>4767</v>
      </c>
      <c r="E566" s="3" t="s">
        <v>54</v>
      </c>
      <c r="F566" s="7">
        <v>44697.0</v>
      </c>
      <c r="G566" s="3" t="s">
        <v>94</v>
      </c>
    </row>
    <row r="567" ht="15.75" customHeight="1">
      <c r="A567" s="6" t="s">
        <v>4771</v>
      </c>
      <c r="B567" s="6" t="s">
        <v>3432</v>
      </c>
      <c r="C567" s="6" t="s">
        <v>4772</v>
      </c>
      <c r="D567" s="6" t="s">
        <v>4773</v>
      </c>
      <c r="E567" s="3" t="s">
        <v>54</v>
      </c>
      <c r="F567" s="7">
        <v>44248.0</v>
      </c>
      <c r="G567" s="3" t="s">
        <v>78</v>
      </c>
    </row>
    <row r="568" ht="15.75" customHeight="1">
      <c r="A568" s="6" t="s">
        <v>4774</v>
      </c>
      <c r="B568" s="6" t="s">
        <v>4775</v>
      </c>
      <c r="C568" s="6" t="s">
        <v>4776</v>
      </c>
      <c r="D568" s="6" t="s">
        <v>4779</v>
      </c>
      <c r="E568" s="3" t="s">
        <v>38</v>
      </c>
      <c r="F568" s="3"/>
      <c r="G568" s="3" t="s">
        <v>128</v>
      </c>
    </row>
    <row r="569" ht="15.75" customHeight="1">
      <c r="A569" s="6" t="s">
        <v>4782</v>
      </c>
      <c r="B569" s="6" t="s">
        <v>986</v>
      </c>
      <c r="C569" s="6" t="s">
        <v>4784</v>
      </c>
      <c r="D569" s="6" t="s">
        <v>4785</v>
      </c>
      <c r="E569" s="3" t="s">
        <v>54</v>
      </c>
      <c r="F569" s="7">
        <v>44788.0</v>
      </c>
      <c r="G569" s="3" t="s">
        <v>128</v>
      </c>
    </row>
    <row r="570" ht="15.75" customHeight="1">
      <c r="A570" s="6" t="s">
        <v>4788</v>
      </c>
      <c r="B570" s="6" t="s">
        <v>515</v>
      </c>
      <c r="C570" s="6" t="s">
        <v>524</v>
      </c>
      <c r="D570" s="6" t="s">
        <v>525</v>
      </c>
      <c r="E570" s="3" t="s">
        <v>54</v>
      </c>
      <c r="F570" s="7">
        <v>44674.0</v>
      </c>
      <c r="G570" s="3" t="s">
        <v>94</v>
      </c>
    </row>
    <row r="571" ht="15.75" customHeight="1">
      <c r="A571" s="6" t="s">
        <v>4789</v>
      </c>
      <c r="B571" s="6" t="s">
        <v>3880</v>
      </c>
      <c r="C571" s="6" t="s">
        <v>4793</v>
      </c>
      <c r="D571" s="6" t="s">
        <v>4794</v>
      </c>
      <c r="E571" s="3" t="s">
        <v>54</v>
      </c>
      <c r="F571" s="7">
        <v>41089.0</v>
      </c>
      <c r="G571" s="3" t="s">
        <v>152</v>
      </c>
    </row>
    <row r="572" ht="15.75" customHeight="1">
      <c r="A572" s="6" t="s">
        <v>4795</v>
      </c>
      <c r="B572" s="6" t="s">
        <v>2197</v>
      </c>
      <c r="C572" s="6" t="s">
        <v>4796</v>
      </c>
      <c r="D572" s="3"/>
      <c r="E572" s="3" t="s">
        <v>54</v>
      </c>
      <c r="F572" s="7">
        <v>43588.0</v>
      </c>
      <c r="G572" s="3" t="s">
        <v>110</v>
      </c>
    </row>
    <row r="573" ht="15.75" customHeight="1">
      <c r="A573" s="6" t="s">
        <v>4798</v>
      </c>
      <c r="B573" s="6" t="s">
        <v>1816</v>
      </c>
      <c r="C573" s="6" t="s">
        <v>1825</v>
      </c>
      <c r="D573" s="6" t="s">
        <v>1827</v>
      </c>
      <c r="E573" s="3" t="s">
        <v>54</v>
      </c>
      <c r="F573" s="7">
        <v>41964.0</v>
      </c>
      <c r="G573" s="3" t="s">
        <v>94</v>
      </c>
    </row>
    <row r="574" ht="15.75" customHeight="1">
      <c r="A574" s="6" t="s">
        <v>4801</v>
      </c>
      <c r="B574" s="6" t="s">
        <v>4437</v>
      </c>
      <c r="C574" s="6" t="s">
        <v>4804</v>
      </c>
      <c r="D574" s="6" t="s">
        <v>4806</v>
      </c>
      <c r="E574" s="3" t="s">
        <v>54</v>
      </c>
      <c r="F574" s="7">
        <v>40330.0</v>
      </c>
      <c r="G574" s="3" t="s">
        <v>110</v>
      </c>
    </row>
    <row r="575" ht="15.75" customHeight="1">
      <c r="A575" s="6" t="s">
        <v>4809</v>
      </c>
      <c r="B575" s="6" t="s">
        <v>4810</v>
      </c>
      <c r="C575" s="6" t="s">
        <v>4811</v>
      </c>
      <c r="D575" s="3"/>
      <c r="E575" s="3" t="s">
        <v>54</v>
      </c>
      <c r="F575" s="7">
        <v>45076.0</v>
      </c>
      <c r="G575" s="3" t="s">
        <v>110</v>
      </c>
    </row>
    <row r="576" ht="15.75" customHeight="1">
      <c r="A576" s="6" t="s">
        <v>4812</v>
      </c>
      <c r="B576" s="6" t="s">
        <v>4814</v>
      </c>
      <c r="C576" s="6" t="s">
        <v>4815</v>
      </c>
      <c r="D576" s="6" t="s">
        <v>4816</v>
      </c>
      <c r="E576" s="3" t="s">
        <v>54</v>
      </c>
      <c r="F576" s="7">
        <v>45862.0</v>
      </c>
      <c r="G576" s="3" t="s">
        <v>110</v>
      </c>
    </row>
    <row r="577" ht="15.75" customHeight="1">
      <c r="A577" s="6" t="s">
        <v>4820</v>
      </c>
      <c r="B577" s="6" t="s">
        <v>4058</v>
      </c>
      <c r="C577" s="6" t="s">
        <v>4821</v>
      </c>
      <c r="D577" s="6" t="s">
        <v>4822</v>
      </c>
      <c r="E577" s="3" t="s">
        <v>54</v>
      </c>
      <c r="F577" s="7">
        <v>43398.0</v>
      </c>
      <c r="G577" s="3" t="s">
        <v>152</v>
      </c>
    </row>
    <row r="578" ht="15.75" customHeight="1">
      <c r="A578" s="6" t="s">
        <v>4824</v>
      </c>
      <c r="B578" s="6" t="s">
        <v>4825</v>
      </c>
      <c r="C578" s="6" t="s">
        <v>4826</v>
      </c>
      <c r="D578" s="6" t="s">
        <v>4828</v>
      </c>
      <c r="E578" s="3" t="s">
        <v>54</v>
      </c>
      <c r="F578" s="7">
        <v>42635.0</v>
      </c>
      <c r="G578" s="3" t="s">
        <v>110</v>
      </c>
    </row>
    <row r="579" ht="15.75" customHeight="1">
      <c r="A579" s="6" t="s">
        <v>4830</v>
      </c>
      <c r="B579" s="6" t="s">
        <v>1658</v>
      </c>
      <c r="C579" s="3"/>
      <c r="D579" s="6" t="s">
        <v>4832</v>
      </c>
      <c r="E579" s="3" t="s">
        <v>54</v>
      </c>
      <c r="F579" s="7">
        <v>44399.0</v>
      </c>
      <c r="G579" s="3" t="s">
        <v>78</v>
      </c>
    </row>
    <row r="580" ht="15.75" customHeight="1">
      <c r="A580" s="6" t="s">
        <v>4834</v>
      </c>
      <c r="B580" s="6" t="s">
        <v>4573</v>
      </c>
      <c r="C580" s="6" t="s">
        <v>4837</v>
      </c>
      <c r="D580" s="6" t="s">
        <v>4838</v>
      </c>
      <c r="E580" s="3" t="s">
        <v>54</v>
      </c>
      <c r="F580" s="7">
        <v>40223.0</v>
      </c>
      <c r="G580" s="3" t="s">
        <v>128</v>
      </c>
    </row>
    <row r="581" ht="15.75" customHeight="1">
      <c r="A581" s="6" t="s">
        <v>4843</v>
      </c>
      <c r="B581" s="6" t="s">
        <v>1965</v>
      </c>
      <c r="C581" s="6" t="s">
        <v>4845</v>
      </c>
      <c r="D581" s="6" t="s">
        <v>4846</v>
      </c>
      <c r="E581" s="3" t="s">
        <v>54</v>
      </c>
      <c r="F581" s="7">
        <v>45484.0</v>
      </c>
      <c r="G581" s="3" t="s">
        <v>78</v>
      </c>
    </row>
    <row r="582" ht="15.75" customHeight="1">
      <c r="A582" s="6" t="s">
        <v>4847</v>
      </c>
      <c r="B582" s="6" t="s">
        <v>1380</v>
      </c>
      <c r="C582" s="6" t="s">
        <v>4851</v>
      </c>
      <c r="D582" s="6" t="s">
        <v>4853</v>
      </c>
      <c r="E582" s="3" t="s">
        <v>54</v>
      </c>
      <c r="F582" s="7">
        <v>45510.0</v>
      </c>
      <c r="G582" s="3" t="s">
        <v>152</v>
      </c>
    </row>
    <row r="583" ht="15.75" customHeight="1">
      <c r="A583" s="6" t="s">
        <v>4857</v>
      </c>
      <c r="B583" s="6" t="s">
        <v>1091</v>
      </c>
      <c r="C583" s="6" t="s">
        <v>4858</v>
      </c>
      <c r="D583" s="6" t="s">
        <v>4859</v>
      </c>
      <c r="E583" s="3" t="s">
        <v>54</v>
      </c>
      <c r="F583" s="7">
        <v>41728.0</v>
      </c>
      <c r="G583" s="3" t="s">
        <v>94</v>
      </c>
    </row>
    <row r="584" ht="15.75" customHeight="1">
      <c r="A584" s="6" t="s">
        <v>4862</v>
      </c>
      <c r="B584" s="6" t="s">
        <v>2707</v>
      </c>
      <c r="C584" s="6" t="s">
        <v>4863</v>
      </c>
      <c r="D584" s="6" t="s">
        <v>4864</v>
      </c>
      <c r="E584" s="3" t="s">
        <v>54</v>
      </c>
      <c r="F584" s="7">
        <v>40418.0</v>
      </c>
      <c r="G584" s="3" t="s">
        <v>78</v>
      </c>
    </row>
    <row r="585" ht="15.75" customHeight="1">
      <c r="A585" s="6" t="s">
        <v>4868</v>
      </c>
      <c r="B585" s="6" t="s">
        <v>4870</v>
      </c>
      <c r="C585" s="3"/>
      <c r="D585" s="6" t="s">
        <v>4872</v>
      </c>
      <c r="E585" s="3" t="s">
        <v>54</v>
      </c>
      <c r="F585" s="7">
        <v>42976.0</v>
      </c>
      <c r="G585" s="3" t="s">
        <v>94</v>
      </c>
    </row>
    <row r="586" ht="15.75" customHeight="1">
      <c r="A586" s="6" t="s">
        <v>4873</v>
      </c>
      <c r="B586" s="6" t="s">
        <v>3409</v>
      </c>
      <c r="C586" s="6" t="s">
        <v>4874</v>
      </c>
      <c r="D586" s="6" t="s">
        <v>4875</v>
      </c>
      <c r="E586" s="3" t="s">
        <v>54</v>
      </c>
      <c r="F586" s="7">
        <v>44577.0</v>
      </c>
      <c r="G586" s="3" t="s">
        <v>128</v>
      </c>
    </row>
    <row r="587" ht="15.75" customHeight="1">
      <c r="A587" s="6" t="s">
        <v>4878</v>
      </c>
      <c r="B587" s="6" t="s">
        <v>2189</v>
      </c>
      <c r="C587" s="6" t="s">
        <v>3065</v>
      </c>
      <c r="D587" s="6" t="s">
        <v>3066</v>
      </c>
      <c r="E587" s="3" t="s">
        <v>54</v>
      </c>
      <c r="F587" s="7">
        <v>40569.0</v>
      </c>
      <c r="G587" s="3" t="s">
        <v>152</v>
      </c>
    </row>
    <row r="588" ht="15.75" customHeight="1">
      <c r="A588" s="6" t="s">
        <v>4882</v>
      </c>
      <c r="B588" s="6" t="s">
        <v>870</v>
      </c>
      <c r="C588" s="6" t="s">
        <v>882</v>
      </c>
      <c r="D588" s="6" t="s">
        <v>883</v>
      </c>
      <c r="E588" s="3" t="s">
        <v>38</v>
      </c>
      <c r="F588" s="3"/>
      <c r="G588" s="3" t="s">
        <v>128</v>
      </c>
    </row>
    <row r="589" ht="15.75" customHeight="1">
      <c r="A589" s="6" t="s">
        <v>4886</v>
      </c>
      <c r="B589" s="6" t="s">
        <v>3834</v>
      </c>
      <c r="C589" s="6" t="s">
        <v>3844</v>
      </c>
      <c r="D589" s="6" t="s">
        <v>3846</v>
      </c>
      <c r="E589" s="3" t="s">
        <v>54</v>
      </c>
      <c r="F589" s="7">
        <v>42177.0</v>
      </c>
      <c r="G589" s="3" t="s">
        <v>110</v>
      </c>
    </row>
    <row r="590" ht="15.75" customHeight="1">
      <c r="A590" s="6" t="s">
        <v>4891</v>
      </c>
      <c r="B590" s="6" t="s">
        <v>2293</v>
      </c>
      <c r="C590" s="6" t="s">
        <v>4893</v>
      </c>
      <c r="D590" s="6" t="s">
        <v>4894</v>
      </c>
      <c r="E590" s="3" t="s">
        <v>47</v>
      </c>
      <c r="F590" s="7">
        <v>45833.0</v>
      </c>
      <c r="G590" s="3" t="s">
        <v>152</v>
      </c>
    </row>
    <row r="591" ht="15.75" customHeight="1">
      <c r="A591" s="6" t="s">
        <v>4896</v>
      </c>
      <c r="B591" s="6" t="s">
        <v>2456</v>
      </c>
      <c r="C591" s="6" t="s">
        <v>2466</v>
      </c>
      <c r="D591" s="6" t="s">
        <v>2468</v>
      </c>
      <c r="E591" s="3" t="s">
        <v>54</v>
      </c>
      <c r="F591" s="7">
        <v>44610.0</v>
      </c>
      <c r="G591" s="3" t="s">
        <v>110</v>
      </c>
    </row>
    <row r="592" ht="15.75" customHeight="1">
      <c r="A592" s="6" t="s">
        <v>4902</v>
      </c>
      <c r="B592" s="6" t="s">
        <v>1842</v>
      </c>
      <c r="C592" s="3"/>
      <c r="D592" s="6" t="s">
        <v>4903</v>
      </c>
      <c r="E592" s="3" t="s">
        <v>54</v>
      </c>
      <c r="F592" s="7">
        <v>40796.0</v>
      </c>
      <c r="G592" s="3" t="s">
        <v>110</v>
      </c>
    </row>
    <row r="593" ht="15.75" customHeight="1">
      <c r="A593" s="6" t="s">
        <v>4905</v>
      </c>
      <c r="B593" s="6" t="s">
        <v>4906</v>
      </c>
      <c r="C593" s="6" t="s">
        <v>4907</v>
      </c>
      <c r="D593" s="6" t="s">
        <v>4908</v>
      </c>
      <c r="E593" s="3" t="s">
        <v>54</v>
      </c>
      <c r="F593" s="7">
        <v>45632.0</v>
      </c>
      <c r="G593" s="3" t="s">
        <v>78</v>
      </c>
    </row>
    <row r="594" ht="15.75" customHeight="1">
      <c r="A594" s="6" t="s">
        <v>4914</v>
      </c>
      <c r="B594" s="6" t="s">
        <v>2601</v>
      </c>
      <c r="C594" s="6" t="s">
        <v>4916</v>
      </c>
      <c r="D594" s="6" t="s">
        <v>4917</v>
      </c>
      <c r="E594" s="3" t="s">
        <v>54</v>
      </c>
      <c r="F594" s="7">
        <v>40472.0</v>
      </c>
      <c r="G594" s="3" t="s">
        <v>128</v>
      </c>
    </row>
    <row r="595" ht="15.75" customHeight="1">
      <c r="A595" s="6" t="s">
        <v>4919</v>
      </c>
      <c r="B595" s="6" t="s">
        <v>4922</v>
      </c>
      <c r="C595" s="6" t="s">
        <v>4924</v>
      </c>
      <c r="D595" s="6" t="s">
        <v>4925</v>
      </c>
      <c r="E595" s="3" t="s">
        <v>54</v>
      </c>
      <c r="F595" s="7">
        <v>44511.0</v>
      </c>
      <c r="G595" s="3" t="s">
        <v>152</v>
      </c>
    </row>
    <row r="596" ht="15.75" customHeight="1">
      <c r="A596" s="6" t="s">
        <v>4928</v>
      </c>
      <c r="B596" s="6" t="s">
        <v>848</v>
      </c>
      <c r="C596" s="6" t="s">
        <v>2962</v>
      </c>
      <c r="D596" s="6" t="s">
        <v>2964</v>
      </c>
      <c r="E596" s="3" t="s">
        <v>54</v>
      </c>
      <c r="F596" s="7">
        <v>42581.0</v>
      </c>
      <c r="G596" s="3" t="s">
        <v>78</v>
      </c>
    </row>
    <row r="597" ht="15.75" customHeight="1">
      <c r="A597" s="6" t="s">
        <v>4933</v>
      </c>
      <c r="B597" s="6" t="s">
        <v>1486</v>
      </c>
      <c r="C597" s="6" t="s">
        <v>4935</v>
      </c>
      <c r="D597" s="3"/>
      <c r="E597" s="3" t="s">
        <v>54</v>
      </c>
      <c r="F597" s="7">
        <v>41530.0</v>
      </c>
      <c r="G597" s="3" t="s">
        <v>110</v>
      </c>
    </row>
    <row r="598" ht="15.75" customHeight="1">
      <c r="A598" s="6" t="s">
        <v>4938</v>
      </c>
      <c r="B598" s="6" t="s">
        <v>4508</v>
      </c>
      <c r="C598" s="3"/>
      <c r="D598" s="6" t="s">
        <v>4521</v>
      </c>
      <c r="E598" s="3" t="s">
        <v>54</v>
      </c>
      <c r="F598" s="7">
        <v>42010.0</v>
      </c>
      <c r="G598" s="3" t="s">
        <v>78</v>
      </c>
    </row>
    <row r="599" ht="15.75" customHeight="1">
      <c r="A599" s="6" t="s">
        <v>4943</v>
      </c>
      <c r="B599" s="6" t="s">
        <v>2931</v>
      </c>
      <c r="C599" s="6" t="s">
        <v>4944</v>
      </c>
      <c r="D599" s="6" t="s">
        <v>4945</v>
      </c>
      <c r="E599" s="3" t="s">
        <v>54</v>
      </c>
      <c r="F599" s="7">
        <v>45615.0</v>
      </c>
      <c r="G599" s="3" t="s">
        <v>94</v>
      </c>
    </row>
    <row r="600" ht="15.75" customHeight="1">
      <c r="A600" s="6" t="s">
        <v>4947</v>
      </c>
      <c r="B600" s="6" t="s">
        <v>4948</v>
      </c>
      <c r="C600" s="6" t="s">
        <v>4949</v>
      </c>
      <c r="D600" s="6" t="s">
        <v>4951</v>
      </c>
      <c r="E600" s="3" t="s">
        <v>54</v>
      </c>
      <c r="F600" s="7">
        <v>41381.0</v>
      </c>
      <c r="G600" s="3" t="s">
        <v>78</v>
      </c>
    </row>
    <row r="601" ht="15.75" customHeight="1">
      <c r="A601" s="6" t="s">
        <v>4955</v>
      </c>
      <c r="B601" s="6" t="s">
        <v>1183</v>
      </c>
      <c r="C601" s="6" t="s">
        <v>4956</v>
      </c>
      <c r="D601" s="6" t="s">
        <v>4958</v>
      </c>
      <c r="E601" s="3" t="s">
        <v>54</v>
      </c>
      <c r="F601" s="7">
        <v>45566.0</v>
      </c>
      <c r="G601" s="3" t="s">
        <v>128</v>
      </c>
    </row>
    <row r="602" ht="15.75" customHeight="1">
      <c r="A602" s="6" t="s">
        <v>4961</v>
      </c>
      <c r="B602" s="6" t="s">
        <v>4641</v>
      </c>
      <c r="C602" s="6" t="s">
        <v>4659</v>
      </c>
      <c r="D602" s="6" t="s">
        <v>4660</v>
      </c>
      <c r="E602" s="3" t="s">
        <v>54</v>
      </c>
      <c r="F602" s="7">
        <v>44751.0</v>
      </c>
      <c r="G602" s="3" t="s">
        <v>152</v>
      </c>
    </row>
    <row r="603" ht="15.75" customHeight="1">
      <c r="A603" s="6" t="s">
        <v>4966</v>
      </c>
      <c r="B603" s="6" t="s">
        <v>4967</v>
      </c>
      <c r="C603" s="6" t="s">
        <v>4968</v>
      </c>
      <c r="D603" s="6" t="s">
        <v>4969</v>
      </c>
      <c r="E603" s="3" t="s">
        <v>54</v>
      </c>
      <c r="F603" s="7">
        <v>42209.0</v>
      </c>
      <c r="G603" s="3" t="s">
        <v>110</v>
      </c>
    </row>
    <row r="604" ht="15.75" customHeight="1">
      <c r="A604" s="6" t="s">
        <v>4972</v>
      </c>
      <c r="B604" s="6" t="s">
        <v>4367</v>
      </c>
      <c r="C604" s="6" t="s">
        <v>4976</v>
      </c>
      <c r="D604" s="6" t="s">
        <v>4978</v>
      </c>
      <c r="E604" s="3" t="s">
        <v>54</v>
      </c>
      <c r="F604" s="7">
        <v>41449.0</v>
      </c>
      <c r="G604" s="3" t="s">
        <v>128</v>
      </c>
    </row>
    <row r="605" ht="15.75" customHeight="1">
      <c r="A605" s="6" t="s">
        <v>4981</v>
      </c>
      <c r="B605" s="6" t="s">
        <v>2896</v>
      </c>
      <c r="C605" s="6" t="s">
        <v>4102</v>
      </c>
      <c r="D605" s="6" t="s">
        <v>4103</v>
      </c>
      <c r="E605" s="3" t="s">
        <v>54</v>
      </c>
      <c r="F605" s="7">
        <v>43059.0</v>
      </c>
      <c r="G605" s="3" t="s">
        <v>128</v>
      </c>
    </row>
    <row r="606" ht="15.75" customHeight="1">
      <c r="A606" s="6" t="s">
        <v>4984</v>
      </c>
      <c r="B606" s="6" t="s">
        <v>2054</v>
      </c>
      <c r="C606" s="6" t="s">
        <v>4496</v>
      </c>
      <c r="D606" s="6" t="s">
        <v>4499</v>
      </c>
      <c r="E606" s="3" t="s">
        <v>54</v>
      </c>
      <c r="F606" s="7">
        <v>45300.0</v>
      </c>
      <c r="G606" s="3" t="s">
        <v>78</v>
      </c>
    </row>
    <row r="607" ht="15.75" customHeight="1">
      <c r="A607" s="6" t="s">
        <v>4988</v>
      </c>
      <c r="B607" s="6" t="s">
        <v>1657</v>
      </c>
      <c r="C607" s="6" t="s">
        <v>4990</v>
      </c>
      <c r="D607" s="6" t="s">
        <v>4991</v>
      </c>
      <c r="E607" s="3" t="s">
        <v>54</v>
      </c>
      <c r="F607" s="7">
        <v>45980.0</v>
      </c>
      <c r="G607" s="3" t="s">
        <v>78</v>
      </c>
    </row>
    <row r="608" ht="15.75" customHeight="1">
      <c r="A608" s="6" t="s">
        <v>4992</v>
      </c>
      <c r="B608" s="6" t="s">
        <v>4994</v>
      </c>
      <c r="C608" s="6" t="s">
        <v>4995</v>
      </c>
      <c r="D608" s="6" t="s">
        <v>4996</v>
      </c>
      <c r="E608" s="3" t="s">
        <v>54</v>
      </c>
      <c r="F608" s="7">
        <v>41956.0</v>
      </c>
      <c r="G608" s="3" t="s">
        <v>152</v>
      </c>
    </row>
    <row r="609" ht="15.75" customHeight="1">
      <c r="A609" s="6" t="s">
        <v>5000</v>
      </c>
      <c r="B609" s="6" t="s">
        <v>3911</v>
      </c>
      <c r="C609" s="6" t="s">
        <v>5003</v>
      </c>
      <c r="D609" s="6" t="s">
        <v>5005</v>
      </c>
      <c r="E609" s="3" t="s">
        <v>54</v>
      </c>
      <c r="F609" s="7">
        <v>44785.0</v>
      </c>
      <c r="G609" s="3" t="s">
        <v>78</v>
      </c>
    </row>
    <row r="610" ht="15.75" customHeight="1">
      <c r="A610" s="6" t="s">
        <v>5006</v>
      </c>
      <c r="B610" s="6" t="s">
        <v>931</v>
      </c>
      <c r="C610" s="3"/>
      <c r="D610" s="6" t="s">
        <v>5007</v>
      </c>
      <c r="E610" s="3" t="s">
        <v>47</v>
      </c>
      <c r="F610" s="7">
        <v>44493.0</v>
      </c>
      <c r="G610" s="3" t="s">
        <v>110</v>
      </c>
    </row>
    <row r="611" ht="15.75" customHeight="1">
      <c r="A611" s="6" t="s">
        <v>5010</v>
      </c>
      <c r="B611" s="6" t="s">
        <v>5013</v>
      </c>
      <c r="C611" s="6" t="s">
        <v>5015</v>
      </c>
      <c r="D611" s="6" t="s">
        <v>5016</v>
      </c>
      <c r="E611" s="3" t="s">
        <v>54</v>
      </c>
      <c r="F611" s="7">
        <v>45388.0</v>
      </c>
      <c r="G611" s="3" t="s">
        <v>110</v>
      </c>
    </row>
    <row r="612" ht="15.75" customHeight="1">
      <c r="A612" s="6" t="s">
        <v>5019</v>
      </c>
      <c r="B612" s="6" t="s">
        <v>4156</v>
      </c>
      <c r="C612" s="6" t="s">
        <v>5021</v>
      </c>
      <c r="D612" s="6" t="s">
        <v>5022</v>
      </c>
      <c r="E612" s="3" t="s">
        <v>54</v>
      </c>
      <c r="F612" s="7">
        <v>41453.0</v>
      </c>
      <c r="G612" s="3" t="s">
        <v>110</v>
      </c>
    </row>
    <row r="613" ht="15.75" customHeight="1">
      <c r="A613" s="6" t="s">
        <v>5024</v>
      </c>
      <c r="B613" s="6" t="s">
        <v>4134</v>
      </c>
      <c r="C613" s="6" t="s">
        <v>5027</v>
      </c>
      <c r="D613" s="6" t="s">
        <v>5029</v>
      </c>
      <c r="E613" s="3" t="s">
        <v>54</v>
      </c>
      <c r="F613" s="7">
        <v>41864.0</v>
      </c>
      <c r="G613" s="3" t="s">
        <v>94</v>
      </c>
    </row>
    <row r="614" ht="15.75" customHeight="1">
      <c r="A614" s="6" t="s">
        <v>5031</v>
      </c>
      <c r="B614" s="6" t="s">
        <v>1987</v>
      </c>
      <c r="C614" s="6" t="s">
        <v>5032</v>
      </c>
      <c r="D614" s="6" t="s">
        <v>5033</v>
      </c>
      <c r="E614" s="3" t="s">
        <v>54</v>
      </c>
      <c r="F614" s="7">
        <v>40259.0</v>
      </c>
      <c r="G614" s="3" t="s">
        <v>94</v>
      </c>
    </row>
    <row r="615" ht="15.75" customHeight="1">
      <c r="A615" s="6" t="s">
        <v>5036</v>
      </c>
      <c r="B615" s="6" t="s">
        <v>1110</v>
      </c>
      <c r="C615" s="6" t="s">
        <v>5038</v>
      </c>
      <c r="D615" s="6" t="s">
        <v>5039</v>
      </c>
      <c r="E615" s="3" t="s">
        <v>54</v>
      </c>
      <c r="F615" s="7">
        <v>42645.0</v>
      </c>
      <c r="G615" s="3" t="s">
        <v>128</v>
      </c>
    </row>
    <row r="616" ht="15.75" customHeight="1">
      <c r="A616" s="6" t="s">
        <v>5040</v>
      </c>
      <c r="B616" s="6" t="s">
        <v>5041</v>
      </c>
      <c r="C616" s="3"/>
      <c r="D616" s="6" t="s">
        <v>5042</v>
      </c>
      <c r="E616" s="3" t="s">
        <v>54</v>
      </c>
      <c r="F616" s="7">
        <v>43496.0</v>
      </c>
      <c r="G616" s="3" t="s">
        <v>94</v>
      </c>
    </row>
    <row r="617" ht="15.75" customHeight="1">
      <c r="A617" s="6" t="s">
        <v>5045</v>
      </c>
      <c r="B617" s="6" t="s">
        <v>139</v>
      </c>
      <c r="C617" s="6" t="s">
        <v>155</v>
      </c>
      <c r="D617" s="6" t="s">
        <v>158</v>
      </c>
      <c r="E617" s="3" t="s">
        <v>54</v>
      </c>
      <c r="F617" s="7">
        <v>45521.0</v>
      </c>
      <c r="G617" s="3" t="s">
        <v>110</v>
      </c>
    </row>
    <row r="618" ht="15.75" customHeight="1">
      <c r="A618" s="6" t="s">
        <v>5049</v>
      </c>
      <c r="B618" s="6" t="s">
        <v>1708</v>
      </c>
      <c r="C618" s="6" t="s">
        <v>5050</v>
      </c>
      <c r="D618" s="6" t="s">
        <v>5051</v>
      </c>
      <c r="E618" s="3" t="s">
        <v>54</v>
      </c>
      <c r="F618" s="7">
        <v>45466.0</v>
      </c>
      <c r="G618" s="3" t="s">
        <v>128</v>
      </c>
    </row>
    <row r="619" ht="15.75" customHeight="1">
      <c r="A619" s="6" t="s">
        <v>5055</v>
      </c>
      <c r="B619" s="6" t="s">
        <v>5057</v>
      </c>
      <c r="C619" s="6" t="s">
        <v>5059</v>
      </c>
      <c r="D619" s="6" t="s">
        <v>5060</v>
      </c>
      <c r="E619" s="3" t="s">
        <v>38</v>
      </c>
      <c r="F619" s="3"/>
      <c r="G619" s="3" t="s">
        <v>152</v>
      </c>
    </row>
    <row r="620" ht="15.75" customHeight="1">
      <c r="A620" s="6" t="s">
        <v>5061</v>
      </c>
      <c r="B620" s="6" t="s">
        <v>5063</v>
      </c>
      <c r="C620" s="6" t="s">
        <v>5065</v>
      </c>
      <c r="D620" s="6" t="s">
        <v>5066</v>
      </c>
      <c r="E620" s="3" t="s">
        <v>38</v>
      </c>
      <c r="F620" s="3"/>
      <c r="G620" s="3" t="s">
        <v>128</v>
      </c>
    </row>
    <row r="621" ht="15.75" customHeight="1">
      <c r="A621" s="6" t="s">
        <v>5068</v>
      </c>
      <c r="B621" s="6" t="s">
        <v>2881</v>
      </c>
      <c r="C621" s="6" t="s">
        <v>5071</v>
      </c>
      <c r="D621" s="6" t="s">
        <v>5072</v>
      </c>
      <c r="E621" s="3" t="s">
        <v>54</v>
      </c>
      <c r="F621" s="7">
        <v>40276.0</v>
      </c>
      <c r="G621" s="3" t="s">
        <v>128</v>
      </c>
    </row>
    <row r="622" ht="15.75" customHeight="1">
      <c r="A622" s="6" t="s">
        <v>5074</v>
      </c>
      <c r="B622" s="6" t="s">
        <v>1028</v>
      </c>
      <c r="C622" s="6" t="s">
        <v>5075</v>
      </c>
      <c r="D622" s="6" t="s">
        <v>5077</v>
      </c>
      <c r="E622" s="3" t="s">
        <v>54</v>
      </c>
      <c r="F622" s="7">
        <v>44993.0</v>
      </c>
      <c r="G622" s="3" t="s">
        <v>94</v>
      </c>
    </row>
    <row r="623" ht="15.75" customHeight="1">
      <c r="A623" s="6" t="s">
        <v>5079</v>
      </c>
      <c r="B623" s="6" t="s">
        <v>3531</v>
      </c>
      <c r="C623" s="6" t="s">
        <v>5083</v>
      </c>
      <c r="D623" s="6" t="s">
        <v>5085</v>
      </c>
      <c r="E623" s="3" t="s">
        <v>54</v>
      </c>
      <c r="F623" s="7">
        <v>45616.0</v>
      </c>
      <c r="G623" s="3" t="s">
        <v>128</v>
      </c>
    </row>
    <row r="624" ht="15.75" customHeight="1">
      <c r="A624" s="6" t="s">
        <v>5087</v>
      </c>
      <c r="B624" s="6" t="s">
        <v>3645</v>
      </c>
      <c r="C624" s="6" t="s">
        <v>3657</v>
      </c>
      <c r="D624" s="6" t="s">
        <v>3659</v>
      </c>
      <c r="E624" s="3" t="s">
        <v>54</v>
      </c>
      <c r="F624" s="7">
        <v>45557.0</v>
      </c>
      <c r="G624" s="3" t="s">
        <v>128</v>
      </c>
    </row>
    <row r="625" ht="15.75" customHeight="1">
      <c r="A625" s="6" t="s">
        <v>5090</v>
      </c>
      <c r="B625" s="6" t="s">
        <v>1240</v>
      </c>
      <c r="C625" s="6" t="s">
        <v>1394</v>
      </c>
      <c r="D625" s="6" t="s">
        <v>1396</v>
      </c>
      <c r="E625" s="3" t="s">
        <v>54</v>
      </c>
      <c r="F625" s="7">
        <v>43029.0</v>
      </c>
      <c r="G625" s="3" t="s">
        <v>78</v>
      </c>
    </row>
    <row r="626" ht="15.75" customHeight="1">
      <c r="A626" s="6" t="s">
        <v>5094</v>
      </c>
      <c r="B626" s="6" t="s">
        <v>2032</v>
      </c>
      <c r="C626" s="6" t="s">
        <v>5095</v>
      </c>
      <c r="D626" s="6" t="s">
        <v>5097</v>
      </c>
      <c r="E626" s="3" t="s">
        <v>54</v>
      </c>
      <c r="F626" s="7">
        <v>43870.0</v>
      </c>
      <c r="G626" s="3" t="s">
        <v>78</v>
      </c>
    </row>
    <row r="627" ht="15.75" customHeight="1">
      <c r="A627" s="6" t="s">
        <v>5098</v>
      </c>
      <c r="B627" s="6" t="s">
        <v>5099</v>
      </c>
      <c r="C627" s="6" t="s">
        <v>5100</v>
      </c>
      <c r="D627" s="6" t="s">
        <v>5102</v>
      </c>
      <c r="E627" s="3" t="s">
        <v>54</v>
      </c>
      <c r="F627" s="7">
        <v>42314.0</v>
      </c>
      <c r="G627" s="3" t="s">
        <v>78</v>
      </c>
    </row>
    <row r="628" ht="15.75" customHeight="1">
      <c r="A628" s="6" t="s">
        <v>5105</v>
      </c>
      <c r="B628" s="6" t="s">
        <v>5107</v>
      </c>
      <c r="C628" s="6" t="s">
        <v>5109</v>
      </c>
      <c r="D628" s="6" t="s">
        <v>5111</v>
      </c>
      <c r="E628" s="3" t="s">
        <v>54</v>
      </c>
      <c r="F628" s="7">
        <v>43914.0</v>
      </c>
      <c r="G628" s="3" t="s">
        <v>128</v>
      </c>
    </row>
    <row r="629" ht="15.75" customHeight="1">
      <c r="A629" s="6" t="s">
        <v>5114</v>
      </c>
      <c r="B629" s="6" t="s">
        <v>878</v>
      </c>
      <c r="C629" s="6" t="s">
        <v>5115</v>
      </c>
      <c r="D629" s="6" t="s">
        <v>5117</v>
      </c>
      <c r="E629" s="3" t="s">
        <v>54</v>
      </c>
      <c r="F629" s="7">
        <v>43240.0</v>
      </c>
      <c r="G629" s="3" t="s">
        <v>110</v>
      </c>
    </row>
    <row r="630" ht="15.75" customHeight="1">
      <c r="A630" s="6" t="s">
        <v>5121</v>
      </c>
      <c r="B630" s="6" t="s">
        <v>5122</v>
      </c>
      <c r="C630" s="6" t="s">
        <v>5123</v>
      </c>
      <c r="D630" s="3"/>
      <c r="E630" s="3" t="s">
        <v>54</v>
      </c>
      <c r="F630" s="7">
        <v>42331.0</v>
      </c>
      <c r="G630" s="3" t="s">
        <v>94</v>
      </c>
    </row>
    <row r="631" ht="15.75" customHeight="1">
      <c r="A631" s="6" t="s">
        <v>5125</v>
      </c>
      <c r="B631" s="6" t="s">
        <v>4101</v>
      </c>
      <c r="C631" s="6" t="s">
        <v>5126</v>
      </c>
      <c r="D631" s="6" t="s">
        <v>5128</v>
      </c>
      <c r="E631" s="3" t="s">
        <v>54</v>
      </c>
      <c r="F631" s="7">
        <v>45758.0</v>
      </c>
      <c r="G631" s="3" t="s">
        <v>110</v>
      </c>
    </row>
    <row r="632" ht="15.75" customHeight="1">
      <c r="A632" s="6" t="s">
        <v>5133</v>
      </c>
      <c r="B632" s="6" t="s">
        <v>2568</v>
      </c>
      <c r="C632" s="6" t="s">
        <v>3538</v>
      </c>
      <c r="D632" s="3"/>
      <c r="E632" s="3" t="s">
        <v>54</v>
      </c>
      <c r="F632" s="7">
        <v>43493.0</v>
      </c>
      <c r="G632" s="3" t="s">
        <v>128</v>
      </c>
    </row>
    <row r="633" ht="15.75" customHeight="1">
      <c r="A633" s="6" t="s">
        <v>5136</v>
      </c>
      <c r="B633" s="6" t="s">
        <v>1864</v>
      </c>
      <c r="C633" s="6" t="s">
        <v>5137</v>
      </c>
      <c r="D633" s="3"/>
      <c r="E633" s="3" t="s">
        <v>54</v>
      </c>
      <c r="F633" s="7">
        <v>44168.0</v>
      </c>
      <c r="G633" s="3" t="s">
        <v>152</v>
      </c>
    </row>
    <row r="634" ht="15.75" customHeight="1">
      <c r="A634" s="6" t="s">
        <v>5143</v>
      </c>
      <c r="B634" s="6" t="s">
        <v>2095</v>
      </c>
      <c r="C634" s="6" t="s">
        <v>2106</v>
      </c>
      <c r="D634" s="6" t="s">
        <v>2108</v>
      </c>
      <c r="E634" s="3" t="s">
        <v>54</v>
      </c>
      <c r="F634" s="7">
        <v>40926.0</v>
      </c>
      <c r="G634" s="3" t="s">
        <v>78</v>
      </c>
    </row>
    <row r="635" ht="15.75" customHeight="1">
      <c r="A635" s="6" t="s">
        <v>5145</v>
      </c>
      <c r="B635" s="6" t="s">
        <v>2215</v>
      </c>
      <c r="C635" s="6" t="s">
        <v>5146</v>
      </c>
      <c r="D635" s="6" t="s">
        <v>5147</v>
      </c>
      <c r="E635" s="3" t="s">
        <v>54</v>
      </c>
      <c r="F635" s="7">
        <v>42033.0</v>
      </c>
      <c r="G635" s="3" t="s">
        <v>152</v>
      </c>
    </row>
    <row r="636" ht="15.75" customHeight="1">
      <c r="A636" s="6" t="s">
        <v>5148</v>
      </c>
      <c r="B636" s="6" t="s">
        <v>888</v>
      </c>
      <c r="C636" s="6" t="s">
        <v>5150</v>
      </c>
      <c r="D636" s="6" t="s">
        <v>5151</v>
      </c>
      <c r="E636" s="3" t="s">
        <v>54</v>
      </c>
      <c r="F636" s="7">
        <v>41008.0</v>
      </c>
      <c r="G636" s="3" t="s">
        <v>128</v>
      </c>
    </row>
    <row r="637" ht="15.75" customHeight="1">
      <c r="A637" s="6" t="s">
        <v>5154</v>
      </c>
      <c r="B637" s="6" t="s">
        <v>2315</v>
      </c>
      <c r="C637" s="6" t="s">
        <v>5157</v>
      </c>
      <c r="D637" s="6" t="s">
        <v>5158</v>
      </c>
      <c r="E637" s="3" t="s">
        <v>54</v>
      </c>
      <c r="F637" s="7">
        <v>43216.0</v>
      </c>
      <c r="G637" s="3" t="s">
        <v>110</v>
      </c>
    </row>
    <row r="638" ht="15.75" customHeight="1">
      <c r="A638" s="6" t="s">
        <v>5160</v>
      </c>
      <c r="B638" s="6" t="s">
        <v>1886</v>
      </c>
      <c r="C638" s="6" t="s">
        <v>5161</v>
      </c>
      <c r="D638" s="6" t="s">
        <v>5162</v>
      </c>
      <c r="E638" s="3" t="s">
        <v>54</v>
      </c>
      <c r="F638" s="7">
        <v>42725.0</v>
      </c>
      <c r="G638" s="3" t="s">
        <v>152</v>
      </c>
    </row>
    <row r="639" ht="15.75" customHeight="1">
      <c r="A639" s="6" t="s">
        <v>5165</v>
      </c>
      <c r="B639" s="6" t="s">
        <v>1250</v>
      </c>
      <c r="C639" s="6" t="s">
        <v>2997</v>
      </c>
      <c r="D639" s="6" t="s">
        <v>2998</v>
      </c>
      <c r="E639" s="3" t="s">
        <v>38</v>
      </c>
      <c r="F639" s="3"/>
      <c r="G639" s="3" t="s">
        <v>110</v>
      </c>
    </row>
    <row r="640" ht="15.75" customHeight="1">
      <c r="A640" s="6" t="s">
        <v>5170</v>
      </c>
      <c r="B640" s="6" t="s">
        <v>2469</v>
      </c>
      <c r="C640" s="6" t="s">
        <v>3511</v>
      </c>
      <c r="D640" s="6" t="s">
        <v>3512</v>
      </c>
      <c r="E640" s="3" t="s">
        <v>54</v>
      </c>
      <c r="F640" s="7">
        <v>44701.0</v>
      </c>
      <c r="G640" s="3" t="s">
        <v>78</v>
      </c>
    </row>
    <row r="641" ht="15.75" customHeight="1">
      <c r="A641" s="6" t="s">
        <v>5171</v>
      </c>
      <c r="B641" s="6" t="s">
        <v>5172</v>
      </c>
      <c r="C641" s="6" t="s">
        <v>5173</v>
      </c>
      <c r="D641" s="6" t="s">
        <v>5175</v>
      </c>
      <c r="E641" s="3" t="s">
        <v>54</v>
      </c>
      <c r="F641" s="7">
        <v>42397.0</v>
      </c>
      <c r="G641" s="3" t="s">
        <v>152</v>
      </c>
    </row>
    <row r="642" ht="15.75" customHeight="1">
      <c r="A642" s="6" t="s">
        <v>5177</v>
      </c>
      <c r="B642" s="6" t="s">
        <v>5179</v>
      </c>
      <c r="C642" s="6" t="s">
        <v>5181</v>
      </c>
      <c r="D642" s="6" t="s">
        <v>5183</v>
      </c>
      <c r="E642" s="3" t="s">
        <v>38</v>
      </c>
      <c r="F642" s="3"/>
      <c r="G642" s="3" t="s">
        <v>78</v>
      </c>
    </row>
    <row r="643" ht="15.75" customHeight="1">
      <c r="A643" s="6" t="s">
        <v>5186</v>
      </c>
      <c r="B643" s="6" t="s">
        <v>1395</v>
      </c>
      <c r="C643" s="6" t="s">
        <v>2838</v>
      </c>
      <c r="D643" s="6" t="s">
        <v>2839</v>
      </c>
      <c r="E643" s="3" t="s">
        <v>54</v>
      </c>
      <c r="F643" s="7">
        <v>44904.0</v>
      </c>
      <c r="G643" s="3" t="s">
        <v>78</v>
      </c>
    </row>
    <row r="644" ht="15.75" customHeight="1">
      <c r="A644" s="6" t="s">
        <v>5188</v>
      </c>
      <c r="B644" s="6" t="s">
        <v>5088</v>
      </c>
      <c r="C644" s="3"/>
      <c r="D644" s="6" t="s">
        <v>5096</v>
      </c>
      <c r="E644" s="3" t="s">
        <v>54</v>
      </c>
      <c r="F644" s="7">
        <v>43688.0</v>
      </c>
      <c r="G644" s="3" t="s">
        <v>94</v>
      </c>
    </row>
    <row r="645" ht="15.75" customHeight="1">
      <c r="A645" s="6" t="s">
        <v>5190</v>
      </c>
      <c r="B645" s="6" t="s">
        <v>3003</v>
      </c>
      <c r="C645" s="6" t="s">
        <v>5192</v>
      </c>
      <c r="D645" s="6" t="s">
        <v>5194</v>
      </c>
      <c r="E645" s="3" t="s">
        <v>54</v>
      </c>
      <c r="F645" s="7">
        <v>40320.0</v>
      </c>
      <c r="G645" s="3" t="s">
        <v>128</v>
      </c>
    </row>
    <row r="646" ht="15.75" customHeight="1">
      <c r="A646" s="6" t="s">
        <v>5195</v>
      </c>
      <c r="B646" s="6" t="s">
        <v>3601</v>
      </c>
      <c r="C646" s="6" t="s">
        <v>3612</v>
      </c>
      <c r="D646" s="6" t="s">
        <v>3615</v>
      </c>
      <c r="E646" s="3" t="s">
        <v>54</v>
      </c>
      <c r="F646" s="7">
        <v>42864.0</v>
      </c>
      <c r="G646" s="3" t="s">
        <v>94</v>
      </c>
    </row>
    <row r="647" ht="15.75" customHeight="1">
      <c r="A647" s="6" t="s">
        <v>5201</v>
      </c>
      <c r="B647" s="6" t="s">
        <v>3399</v>
      </c>
      <c r="C647" s="6" t="s">
        <v>5202</v>
      </c>
      <c r="D647" s="6" t="s">
        <v>5203</v>
      </c>
      <c r="E647" s="3" t="s">
        <v>54</v>
      </c>
      <c r="F647" s="7">
        <v>42585.0</v>
      </c>
      <c r="G647" s="3" t="s">
        <v>128</v>
      </c>
    </row>
    <row r="648" ht="15.75" customHeight="1">
      <c r="A648" s="6" t="s">
        <v>5205</v>
      </c>
      <c r="B648" s="6" t="s">
        <v>5207</v>
      </c>
      <c r="C648" s="6" t="s">
        <v>5208</v>
      </c>
      <c r="D648" s="6" t="s">
        <v>5211</v>
      </c>
      <c r="E648" s="3" t="s">
        <v>54</v>
      </c>
      <c r="F648" s="7">
        <v>44133.0</v>
      </c>
      <c r="G648" s="3" t="s">
        <v>94</v>
      </c>
    </row>
    <row r="649" ht="15.75" customHeight="1">
      <c r="A649" s="6" t="s">
        <v>5215</v>
      </c>
      <c r="B649" s="6" t="s">
        <v>3154</v>
      </c>
      <c r="C649" s="6" t="s">
        <v>5216</v>
      </c>
      <c r="D649" s="6" t="s">
        <v>5217</v>
      </c>
      <c r="E649" s="3" t="s">
        <v>54</v>
      </c>
      <c r="F649" s="7">
        <v>42393.0</v>
      </c>
      <c r="G649" s="3" t="s">
        <v>128</v>
      </c>
    </row>
    <row r="650" ht="15.75" customHeight="1">
      <c r="A650" s="6" t="s">
        <v>5219</v>
      </c>
      <c r="B650" s="6" t="s">
        <v>1653</v>
      </c>
      <c r="C650" s="6" t="s">
        <v>1664</v>
      </c>
      <c r="D650" s="6" t="s">
        <v>1667</v>
      </c>
      <c r="E650" s="3" t="s">
        <v>54</v>
      </c>
      <c r="F650" s="7">
        <v>41073.0</v>
      </c>
      <c r="G650" s="3" t="s">
        <v>94</v>
      </c>
    </row>
    <row r="651" ht="15.75" customHeight="1">
      <c r="A651" s="6" t="s">
        <v>5226</v>
      </c>
      <c r="B651" s="6" t="s">
        <v>5227</v>
      </c>
      <c r="C651" s="3"/>
      <c r="D651" s="6" t="s">
        <v>5228</v>
      </c>
      <c r="E651" s="3" t="s">
        <v>54</v>
      </c>
      <c r="F651" s="7">
        <v>40524.0</v>
      </c>
      <c r="G651" s="3" t="s">
        <v>110</v>
      </c>
    </row>
    <row r="652" ht="15.75" customHeight="1">
      <c r="A652" s="6" t="s">
        <v>5229</v>
      </c>
      <c r="B652" s="6" t="s">
        <v>1493</v>
      </c>
      <c r="C652" s="6" t="s">
        <v>3866</v>
      </c>
      <c r="D652" s="6" t="s">
        <v>3867</v>
      </c>
      <c r="E652" s="3" t="s">
        <v>54</v>
      </c>
      <c r="F652" s="7">
        <v>41604.0</v>
      </c>
      <c r="G652" s="3" t="s">
        <v>128</v>
      </c>
    </row>
    <row r="653" ht="15.75" customHeight="1">
      <c r="A653" s="6" t="s">
        <v>5232</v>
      </c>
      <c r="B653" s="6" t="s">
        <v>5233</v>
      </c>
      <c r="C653" s="6" t="s">
        <v>5235</v>
      </c>
      <c r="D653" s="6" t="s">
        <v>5237</v>
      </c>
      <c r="E653" s="3" t="s">
        <v>54</v>
      </c>
      <c r="F653" s="7">
        <v>41304.0</v>
      </c>
      <c r="G653" s="3" t="s">
        <v>128</v>
      </c>
    </row>
    <row r="654" ht="15.75" customHeight="1">
      <c r="A654" s="6" t="s">
        <v>5241</v>
      </c>
      <c r="B654" s="6" t="s">
        <v>2069</v>
      </c>
      <c r="C654" s="6" t="s">
        <v>5243</v>
      </c>
      <c r="D654" s="6" t="s">
        <v>5244</v>
      </c>
      <c r="E654" s="3" t="s">
        <v>54</v>
      </c>
      <c r="F654" s="7">
        <v>44664.0</v>
      </c>
      <c r="G654" s="3" t="s">
        <v>78</v>
      </c>
    </row>
    <row r="655" ht="15.75" customHeight="1">
      <c r="A655" s="6" t="s">
        <v>5246</v>
      </c>
      <c r="B655" s="6" t="s">
        <v>3007</v>
      </c>
      <c r="C655" s="6" t="s">
        <v>3017</v>
      </c>
      <c r="D655" s="6" t="s">
        <v>3018</v>
      </c>
      <c r="E655" s="3" t="s">
        <v>54</v>
      </c>
      <c r="F655" s="7">
        <v>44373.0</v>
      </c>
      <c r="G655" s="3" t="s">
        <v>94</v>
      </c>
    </row>
    <row r="656" ht="15.75" customHeight="1">
      <c r="A656" s="6" t="s">
        <v>5252</v>
      </c>
      <c r="B656" s="6" t="s">
        <v>2066</v>
      </c>
      <c r="C656" s="6" t="s">
        <v>5253</v>
      </c>
      <c r="D656" s="6" t="s">
        <v>5254</v>
      </c>
      <c r="E656" s="3" t="s">
        <v>54</v>
      </c>
      <c r="F656" s="7">
        <v>45662.0</v>
      </c>
      <c r="G656" s="3" t="s">
        <v>78</v>
      </c>
    </row>
    <row r="657" ht="15.75" customHeight="1">
      <c r="A657" s="6" t="s">
        <v>5256</v>
      </c>
      <c r="B657" s="6" t="s">
        <v>4422</v>
      </c>
      <c r="C657" s="6" t="s">
        <v>5257</v>
      </c>
      <c r="D657" s="6" t="s">
        <v>5258</v>
      </c>
      <c r="E657" s="3" t="s">
        <v>54</v>
      </c>
      <c r="F657" s="7">
        <v>40502.0</v>
      </c>
      <c r="G657" s="3" t="s">
        <v>94</v>
      </c>
    </row>
    <row r="658" ht="15.75" customHeight="1">
      <c r="A658" s="6" t="s">
        <v>5262</v>
      </c>
      <c r="B658" s="6" t="s">
        <v>2193</v>
      </c>
      <c r="C658" s="6" t="s">
        <v>2524</v>
      </c>
      <c r="D658" s="3"/>
      <c r="E658" s="3" t="s">
        <v>54</v>
      </c>
      <c r="F658" s="7">
        <v>40994.0</v>
      </c>
      <c r="G658" s="3" t="s">
        <v>78</v>
      </c>
    </row>
    <row r="659" ht="15.75" customHeight="1">
      <c r="A659" s="6" t="s">
        <v>5264</v>
      </c>
      <c r="B659" s="6" t="s">
        <v>5265</v>
      </c>
      <c r="C659" s="6" t="s">
        <v>5266</v>
      </c>
      <c r="D659" s="3"/>
      <c r="E659" s="3" t="s">
        <v>54</v>
      </c>
      <c r="F659" s="7">
        <v>44284.0</v>
      </c>
      <c r="G659" s="3" t="s">
        <v>78</v>
      </c>
    </row>
    <row r="660" ht="15.75" customHeight="1">
      <c r="A660" s="6" t="s">
        <v>5268</v>
      </c>
      <c r="B660" s="6" t="s">
        <v>3606</v>
      </c>
      <c r="C660" s="3"/>
      <c r="D660" s="6" t="s">
        <v>4725</v>
      </c>
      <c r="E660" s="3" t="s">
        <v>54</v>
      </c>
      <c r="F660" s="7">
        <v>44253.0</v>
      </c>
      <c r="G660" s="3" t="s">
        <v>152</v>
      </c>
    </row>
    <row r="661" ht="15.75" customHeight="1">
      <c r="A661" s="6" t="s">
        <v>5273</v>
      </c>
      <c r="B661" s="6" t="s">
        <v>1542</v>
      </c>
      <c r="C661" s="6" t="s">
        <v>2259</v>
      </c>
      <c r="D661" s="6" t="s">
        <v>2261</v>
      </c>
      <c r="E661" s="3" t="s">
        <v>54</v>
      </c>
      <c r="F661" s="7">
        <v>45771.0</v>
      </c>
      <c r="G661" s="3" t="s">
        <v>94</v>
      </c>
    </row>
    <row r="662" ht="15.75" customHeight="1">
      <c r="A662" s="6" t="s">
        <v>5279</v>
      </c>
      <c r="B662" s="6" t="s">
        <v>2093</v>
      </c>
      <c r="C662" s="6" t="s">
        <v>5280</v>
      </c>
      <c r="D662" s="6" t="s">
        <v>5281</v>
      </c>
      <c r="E662" s="3" t="s">
        <v>54</v>
      </c>
      <c r="F662" s="7">
        <v>42790.0</v>
      </c>
      <c r="G662" s="3" t="s">
        <v>110</v>
      </c>
    </row>
    <row r="663" ht="15.75" customHeight="1">
      <c r="A663" s="6" t="s">
        <v>5283</v>
      </c>
      <c r="B663" s="6" t="s">
        <v>1534</v>
      </c>
      <c r="C663" s="6" t="s">
        <v>5284</v>
      </c>
      <c r="D663" s="6" t="s">
        <v>5287</v>
      </c>
      <c r="E663" s="3" t="s">
        <v>54</v>
      </c>
      <c r="F663" s="7">
        <v>45244.0</v>
      </c>
      <c r="G663" s="3" t="s">
        <v>110</v>
      </c>
    </row>
    <row r="664" ht="15.75" customHeight="1">
      <c r="A664" s="6" t="s">
        <v>5292</v>
      </c>
      <c r="B664" s="6" t="s">
        <v>5293</v>
      </c>
      <c r="C664" s="6" t="s">
        <v>5294</v>
      </c>
      <c r="D664" s="6" t="s">
        <v>5295</v>
      </c>
      <c r="E664" s="3" t="s">
        <v>54</v>
      </c>
      <c r="F664" s="7">
        <v>42392.0</v>
      </c>
      <c r="G664" s="3" t="s">
        <v>110</v>
      </c>
    </row>
    <row r="665" ht="15.75" customHeight="1">
      <c r="A665" s="6" t="s">
        <v>5296</v>
      </c>
      <c r="B665" s="6" t="s">
        <v>1444</v>
      </c>
      <c r="C665" s="6" t="s">
        <v>5297</v>
      </c>
      <c r="D665" s="6" t="s">
        <v>5298</v>
      </c>
      <c r="E665" s="3" t="s">
        <v>54</v>
      </c>
      <c r="F665" s="7">
        <v>40621.0</v>
      </c>
      <c r="G665" s="3" t="s">
        <v>94</v>
      </c>
    </row>
    <row r="666" ht="15.75" customHeight="1">
      <c r="A666" s="6" t="s">
        <v>5301</v>
      </c>
      <c r="B666" s="6" t="s">
        <v>3974</v>
      </c>
      <c r="C666" s="6" t="s">
        <v>5302</v>
      </c>
      <c r="D666" s="6" t="s">
        <v>5304</v>
      </c>
      <c r="E666" s="3" t="s">
        <v>54</v>
      </c>
      <c r="F666" s="7">
        <v>41220.0</v>
      </c>
      <c r="G666" s="3" t="s">
        <v>94</v>
      </c>
    </row>
    <row r="667" ht="15.75" customHeight="1">
      <c r="A667" s="6" t="s">
        <v>5307</v>
      </c>
      <c r="B667" s="6" t="s">
        <v>1014</v>
      </c>
      <c r="C667" s="6" t="s">
        <v>5308</v>
      </c>
      <c r="D667" s="6" t="s">
        <v>5309</v>
      </c>
      <c r="E667" s="3" t="s">
        <v>54</v>
      </c>
      <c r="F667" s="7">
        <v>44607.0</v>
      </c>
      <c r="G667" s="3" t="s">
        <v>110</v>
      </c>
    </row>
    <row r="668" ht="15.75" customHeight="1">
      <c r="A668" s="6" t="s">
        <v>5311</v>
      </c>
      <c r="B668" s="6" t="s">
        <v>2038</v>
      </c>
      <c r="C668" s="6" t="s">
        <v>5313</v>
      </c>
      <c r="D668" s="6" t="s">
        <v>5314</v>
      </c>
      <c r="E668" s="3" t="s">
        <v>54</v>
      </c>
      <c r="F668" s="7">
        <v>43491.0</v>
      </c>
      <c r="G668" s="3" t="s">
        <v>78</v>
      </c>
    </row>
    <row r="669" ht="15.75" customHeight="1">
      <c r="A669" s="6" t="s">
        <v>5318</v>
      </c>
      <c r="B669" s="6" t="s">
        <v>2607</v>
      </c>
      <c r="C669" s="6" t="s">
        <v>5320</v>
      </c>
      <c r="D669" s="6" t="s">
        <v>5322</v>
      </c>
      <c r="E669" s="3" t="s">
        <v>38</v>
      </c>
      <c r="F669" s="3"/>
      <c r="G669" s="3" t="s">
        <v>128</v>
      </c>
    </row>
    <row r="670" ht="15.75" customHeight="1">
      <c r="A670" s="6" t="s">
        <v>5325</v>
      </c>
      <c r="B670" s="6" t="s">
        <v>5328</v>
      </c>
      <c r="C670" s="3"/>
      <c r="D670" s="6" t="s">
        <v>5329</v>
      </c>
      <c r="E670" s="3" t="s">
        <v>38</v>
      </c>
      <c r="F670" s="3"/>
      <c r="G670" s="3" t="s">
        <v>110</v>
      </c>
    </row>
    <row r="671" ht="15.75" customHeight="1">
      <c r="A671" s="6" t="s">
        <v>5331</v>
      </c>
      <c r="B671" s="6" t="s">
        <v>4021</v>
      </c>
      <c r="C671" s="6" t="s">
        <v>5333</v>
      </c>
      <c r="D671" s="6" t="s">
        <v>5335</v>
      </c>
      <c r="E671" s="3" t="s">
        <v>54</v>
      </c>
      <c r="F671" s="7">
        <v>41442.0</v>
      </c>
      <c r="G671" s="3" t="s">
        <v>128</v>
      </c>
    </row>
    <row r="672" ht="15.75" customHeight="1">
      <c r="A672" s="6" t="s">
        <v>5339</v>
      </c>
      <c r="B672" s="6" t="s">
        <v>5034</v>
      </c>
      <c r="C672" s="6" t="s">
        <v>3917</v>
      </c>
      <c r="D672" s="6" t="s">
        <v>3918</v>
      </c>
      <c r="E672" s="3" t="s">
        <v>54</v>
      </c>
      <c r="F672" s="7">
        <v>45964.0</v>
      </c>
      <c r="G672" s="3" t="s">
        <v>152</v>
      </c>
    </row>
    <row r="673" ht="15.75" customHeight="1">
      <c r="A673" s="6" t="s">
        <v>5343</v>
      </c>
      <c r="B673" s="6" t="s">
        <v>3001</v>
      </c>
      <c r="C673" s="6" t="s">
        <v>5345</v>
      </c>
      <c r="D673" s="3"/>
      <c r="E673" s="3" t="s">
        <v>54</v>
      </c>
      <c r="F673" s="7">
        <v>44249.0</v>
      </c>
      <c r="G673" s="3" t="s">
        <v>78</v>
      </c>
    </row>
    <row r="674" ht="15.75" customHeight="1">
      <c r="A674" s="6" t="s">
        <v>5346</v>
      </c>
      <c r="B674" s="6" t="s">
        <v>5347</v>
      </c>
      <c r="C674" s="6" t="s">
        <v>5348</v>
      </c>
      <c r="D674" s="6" t="s">
        <v>5349</v>
      </c>
      <c r="E674" s="3" t="s">
        <v>54</v>
      </c>
      <c r="F674" s="7">
        <v>40578.0</v>
      </c>
      <c r="G674" s="3" t="s">
        <v>110</v>
      </c>
    </row>
    <row r="675" ht="15.75" customHeight="1">
      <c r="A675" s="6" t="s">
        <v>5350</v>
      </c>
      <c r="B675" s="6" t="s">
        <v>5351</v>
      </c>
      <c r="C675" s="3"/>
      <c r="D675" s="6" t="s">
        <v>5352</v>
      </c>
      <c r="E675" s="3" t="s">
        <v>47</v>
      </c>
      <c r="F675" s="7">
        <v>40316.0</v>
      </c>
      <c r="G675" s="3" t="s">
        <v>152</v>
      </c>
    </row>
    <row r="676" ht="15.75" customHeight="1">
      <c r="A676" s="6" t="s">
        <v>5353</v>
      </c>
      <c r="B676" s="6" t="s">
        <v>5354</v>
      </c>
      <c r="C676" s="3"/>
      <c r="D676" s="6" t="s">
        <v>5355</v>
      </c>
      <c r="E676" s="3" t="s">
        <v>54</v>
      </c>
      <c r="F676" s="7">
        <v>43685.0</v>
      </c>
      <c r="G676" s="3" t="s">
        <v>152</v>
      </c>
    </row>
    <row r="677" ht="15.75" customHeight="1">
      <c r="A677" s="6" t="s">
        <v>5356</v>
      </c>
      <c r="B677" s="6" t="s">
        <v>1697</v>
      </c>
      <c r="C677" s="6" t="s">
        <v>5357</v>
      </c>
      <c r="D677" s="6" t="s">
        <v>5358</v>
      </c>
      <c r="E677" s="3" t="s">
        <v>54</v>
      </c>
      <c r="F677" s="7">
        <v>42540.0</v>
      </c>
      <c r="G677" s="3" t="s">
        <v>110</v>
      </c>
    </row>
    <row r="678" ht="15.75" customHeight="1">
      <c r="A678" s="6" t="s">
        <v>5359</v>
      </c>
      <c r="B678" s="6" t="s">
        <v>2577</v>
      </c>
      <c r="C678" s="6" t="s">
        <v>5360</v>
      </c>
      <c r="D678" s="6" t="s">
        <v>5361</v>
      </c>
      <c r="E678" s="3" t="s">
        <v>54</v>
      </c>
      <c r="F678" s="7">
        <v>45319.0</v>
      </c>
      <c r="G678" s="3" t="s">
        <v>94</v>
      </c>
    </row>
    <row r="679" ht="15.75" customHeight="1">
      <c r="A679" s="6" t="s">
        <v>5362</v>
      </c>
      <c r="B679" s="6" t="s">
        <v>1756</v>
      </c>
      <c r="C679" s="6" t="s">
        <v>5363</v>
      </c>
      <c r="D679" s="6" t="s">
        <v>5364</v>
      </c>
      <c r="E679" s="3" t="s">
        <v>47</v>
      </c>
      <c r="F679" s="7">
        <v>45267.0</v>
      </c>
      <c r="G679" s="3" t="s">
        <v>110</v>
      </c>
    </row>
    <row r="680" ht="15.75" customHeight="1">
      <c r="A680" s="6" t="s">
        <v>5365</v>
      </c>
      <c r="B680" s="6" t="s">
        <v>5366</v>
      </c>
      <c r="C680" s="6" t="s">
        <v>5367</v>
      </c>
      <c r="D680" s="6" t="s">
        <v>5368</v>
      </c>
      <c r="E680" s="3" t="s">
        <v>54</v>
      </c>
      <c r="F680" s="7">
        <v>40555.0</v>
      </c>
      <c r="G680" s="3" t="s">
        <v>78</v>
      </c>
    </row>
    <row r="681" ht="15.75" customHeight="1">
      <c r="A681" s="6" t="s">
        <v>5369</v>
      </c>
      <c r="B681" s="6" t="s">
        <v>5370</v>
      </c>
      <c r="C681" s="6" t="s">
        <v>5371</v>
      </c>
      <c r="D681" s="3"/>
      <c r="E681" s="3" t="s">
        <v>54</v>
      </c>
      <c r="F681" s="7">
        <v>44294.0</v>
      </c>
      <c r="G681" s="3" t="s">
        <v>152</v>
      </c>
    </row>
    <row r="682" ht="15.75" customHeight="1">
      <c r="A682" s="6" t="s">
        <v>5372</v>
      </c>
      <c r="B682" s="6" t="s">
        <v>5373</v>
      </c>
      <c r="C682" s="6" t="s">
        <v>5374</v>
      </c>
      <c r="D682" s="6" t="s">
        <v>5375</v>
      </c>
      <c r="E682" s="3" t="s">
        <v>54</v>
      </c>
      <c r="F682" s="7">
        <v>43426.0</v>
      </c>
      <c r="G682" s="3" t="s">
        <v>94</v>
      </c>
    </row>
    <row r="683" ht="15.75" customHeight="1">
      <c r="A683" s="6" t="s">
        <v>5376</v>
      </c>
      <c r="B683" s="6" t="s">
        <v>3349</v>
      </c>
      <c r="C683" s="6" t="s">
        <v>5377</v>
      </c>
      <c r="D683" s="6" t="s">
        <v>5378</v>
      </c>
      <c r="E683" s="3" t="s">
        <v>38</v>
      </c>
      <c r="F683" s="3"/>
      <c r="G683" s="3" t="s">
        <v>128</v>
      </c>
    </row>
    <row r="684" ht="15.75" customHeight="1">
      <c r="A684" s="6" t="s">
        <v>5379</v>
      </c>
      <c r="B684" s="6" t="s">
        <v>868</v>
      </c>
      <c r="C684" s="6" t="s">
        <v>5380</v>
      </c>
      <c r="D684" s="6" t="s">
        <v>5381</v>
      </c>
      <c r="E684" s="3" t="s">
        <v>54</v>
      </c>
      <c r="F684" s="7">
        <v>44486.0</v>
      </c>
      <c r="G684" s="3" t="s">
        <v>110</v>
      </c>
    </row>
    <row r="685" ht="15.75" customHeight="1">
      <c r="A685" s="6" t="s">
        <v>5382</v>
      </c>
      <c r="B685" s="6" t="s">
        <v>1679</v>
      </c>
      <c r="C685" s="3"/>
      <c r="D685" s="6" t="s">
        <v>3460</v>
      </c>
      <c r="E685" s="3" t="s">
        <v>54</v>
      </c>
      <c r="F685" s="7">
        <v>40426.0</v>
      </c>
      <c r="G685" s="3" t="s">
        <v>78</v>
      </c>
    </row>
    <row r="686" ht="15.75" customHeight="1">
      <c r="A686" s="6" t="s">
        <v>5383</v>
      </c>
      <c r="B686" s="6" t="s">
        <v>3451</v>
      </c>
      <c r="C686" s="6" t="s">
        <v>5385</v>
      </c>
      <c r="D686" s="6" t="s">
        <v>5386</v>
      </c>
      <c r="E686" s="3" t="s">
        <v>54</v>
      </c>
      <c r="F686" s="7">
        <v>42323.0</v>
      </c>
      <c r="G686" s="3" t="s">
        <v>128</v>
      </c>
    </row>
    <row r="687" ht="15.75" customHeight="1">
      <c r="A687" s="6" t="s">
        <v>5389</v>
      </c>
      <c r="B687" s="6" t="s">
        <v>4671</v>
      </c>
      <c r="C687" s="6" t="s">
        <v>432</v>
      </c>
      <c r="D687" s="6" t="s">
        <v>433</v>
      </c>
      <c r="E687" s="3" t="s">
        <v>54</v>
      </c>
      <c r="F687" s="7">
        <v>42439.0</v>
      </c>
      <c r="G687" s="3" t="s">
        <v>152</v>
      </c>
    </row>
    <row r="688" ht="15.75" customHeight="1">
      <c r="A688" s="6" t="s">
        <v>5392</v>
      </c>
      <c r="B688" s="6" t="s">
        <v>1334</v>
      </c>
      <c r="C688" s="6" t="s">
        <v>5393</v>
      </c>
      <c r="D688" s="3"/>
      <c r="E688" s="3" t="s">
        <v>54</v>
      </c>
      <c r="F688" s="7">
        <v>42147.0</v>
      </c>
      <c r="G688" s="3" t="s">
        <v>78</v>
      </c>
    </row>
    <row r="689" ht="15.75" customHeight="1">
      <c r="A689" s="6" t="s">
        <v>5395</v>
      </c>
      <c r="B689" s="6" t="s">
        <v>4480</v>
      </c>
      <c r="C689" s="6" t="s">
        <v>5397</v>
      </c>
      <c r="D689" s="6" t="s">
        <v>5398</v>
      </c>
      <c r="E689" s="3" t="s">
        <v>54</v>
      </c>
      <c r="F689" s="7">
        <v>43298.0</v>
      </c>
      <c r="G689" s="3" t="s">
        <v>94</v>
      </c>
    </row>
    <row r="690" ht="15.75" customHeight="1">
      <c r="A690" s="6" t="s">
        <v>5402</v>
      </c>
      <c r="B690" s="6" t="s">
        <v>1221</v>
      </c>
      <c r="C690" s="6" t="s">
        <v>4255</v>
      </c>
      <c r="D690" s="6" t="s">
        <v>4259</v>
      </c>
      <c r="E690" s="3" t="s">
        <v>54</v>
      </c>
      <c r="F690" s="7">
        <v>41445.0</v>
      </c>
      <c r="G690" s="3" t="s">
        <v>128</v>
      </c>
    </row>
    <row r="691" ht="15.75" customHeight="1">
      <c r="A691" s="6" t="s">
        <v>5403</v>
      </c>
      <c r="B691" s="6" t="s">
        <v>1915</v>
      </c>
      <c r="C691" s="6" t="s">
        <v>1921</v>
      </c>
      <c r="D691" s="6" t="s">
        <v>1922</v>
      </c>
      <c r="E691" s="3" t="s">
        <v>54</v>
      </c>
      <c r="F691" s="7">
        <v>43012.0</v>
      </c>
      <c r="G691" s="3" t="s">
        <v>152</v>
      </c>
    </row>
    <row r="692" ht="15.75" customHeight="1">
      <c r="A692" s="6" t="s">
        <v>5411</v>
      </c>
      <c r="B692" s="6" t="s">
        <v>5413</v>
      </c>
      <c r="C692" s="6" t="s">
        <v>5415</v>
      </c>
      <c r="D692" s="6" t="s">
        <v>5416</v>
      </c>
      <c r="E692" s="3" t="s">
        <v>54</v>
      </c>
      <c r="F692" s="7">
        <v>45324.0</v>
      </c>
      <c r="G692" s="3" t="s">
        <v>78</v>
      </c>
    </row>
    <row r="693" ht="15.75" customHeight="1">
      <c r="A693" s="6" t="s">
        <v>5417</v>
      </c>
      <c r="B693" s="6" t="s">
        <v>3246</v>
      </c>
      <c r="C693" s="6" t="s">
        <v>5419</v>
      </c>
      <c r="D693" s="6" t="s">
        <v>5420</v>
      </c>
      <c r="E693" s="3" t="s">
        <v>54</v>
      </c>
      <c r="F693" s="7">
        <v>43123.0</v>
      </c>
      <c r="G693" s="3" t="s">
        <v>110</v>
      </c>
    </row>
    <row r="694" ht="15.75" customHeight="1">
      <c r="A694" s="6" t="s">
        <v>5425</v>
      </c>
      <c r="B694" s="6" t="s">
        <v>2681</v>
      </c>
      <c r="C694" s="6" t="s">
        <v>5426</v>
      </c>
      <c r="D694" s="6" t="s">
        <v>5427</v>
      </c>
      <c r="E694" s="3" t="s">
        <v>54</v>
      </c>
      <c r="F694" s="7">
        <v>41923.0</v>
      </c>
      <c r="G694" s="3" t="s">
        <v>152</v>
      </c>
    </row>
    <row r="695" ht="15.75" customHeight="1">
      <c r="A695" s="6" t="s">
        <v>5428</v>
      </c>
      <c r="B695" s="6" t="s">
        <v>2110</v>
      </c>
      <c r="C695" s="6" t="s">
        <v>5429</v>
      </c>
      <c r="D695" s="6" t="s">
        <v>5431</v>
      </c>
      <c r="E695" s="3" t="s">
        <v>54</v>
      </c>
      <c r="F695" s="7">
        <v>43759.0</v>
      </c>
      <c r="G695" s="3" t="s">
        <v>110</v>
      </c>
    </row>
    <row r="696" ht="15.75" customHeight="1">
      <c r="A696" s="6" t="s">
        <v>5434</v>
      </c>
      <c r="B696" s="6" t="s">
        <v>4799</v>
      </c>
      <c r="C696" s="6" t="s">
        <v>4807</v>
      </c>
      <c r="D696" s="6" t="s">
        <v>4808</v>
      </c>
      <c r="E696" s="3" t="s">
        <v>54</v>
      </c>
      <c r="F696" s="7">
        <v>43580.0</v>
      </c>
      <c r="G696" s="3" t="s">
        <v>128</v>
      </c>
    </row>
    <row r="697" ht="15.75" customHeight="1">
      <c r="A697" s="6" t="s">
        <v>5437</v>
      </c>
      <c r="B697" s="6" t="s">
        <v>5134</v>
      </c>
      <c r="C697" s="6" t="s">
        <v>5439</v>
      </c>
      <c r="D697" s="6" t="s">
        <v>5440</v>
      </c>
      <c r="E697" s="3" t="s">
        <v>54</v>
      </c>
      <c r="F697" s="7">
        <v>42739.0</v>
      </c>
      <c r="G697" s="3" t="s">
        <v>78</v>
      </c>
    </row>
    <row r="698" ht="15.75" customHeight="1">
      <c r="A698" s="6" t="s">
        <v>5441</v>
      </c>
      <c r="B698" s="6" t="s">
        <v>3483</v>
      </c>
      <c r="C698" s="6" t="s">
        <v>5442</v>
      </c>
      <c r="D698" s="6" t="s">
        <v>5444</v>
      </c>
      <c r="E698" s="3" t="s">
        <v>47</v>
      </c>
      <c r="F698" s="7">
        <v>44889.0</v>
      </c>
      <c r="G698" s="3" t="s">
        <v>110</v>
      </c>
    </row>
    <row r="699" ht="15.75" customHeight="1">
      <c r="A699" s="6" t="s">
        <v>5447</v>
      </c>
      <c r="B699" s="6" t="s">
        <v>5449</v>
      </c>
      <c r="C699" s="3"/>
      <c r="D699" s="6" t="s">
        <v>5452</v>
      </c>
      <c r="E699" s="3" t="s">
        <v>54</v>
      </c>
      <c r="F699" s="7">
        <v>45402.0</v>
      </c>
      <c r="G699" s="3" t="s">
        <v>94</v>
      </c>
    </row>
    <row r="700" ht="15.75" customHeight="1">
      <c r="A700" s="6" t="s">
        <v>5454</v>
      </c>
      <c r="B700" s="6" t="s">
        <v>710</v>
      </c>
      <c r="C700" s="6" t="s">
        <v>722</v>
      </c>
      <c r="D700" s="3"/>
      <c r="E700" s="3" t="s">
        <v>54</v>
      </c>
      <c r="F700" s="7">
        <v>41704.0</v>
      </c>
      <c r="G700" s="3" t="s">
        <v>94</v>
      </c>
    </row>
    <row r="701" ht="15.75" customHeight="1">
      <c r="A701" s="6" t="s">
        <v>5456</v>
      </c>
      <c r="B701" s="6" t="s">
        <v>2426</v>
      </c>
      <c r="C701" s="3"/>
      <c r="D701" s="6" t="s">
        <v>3351</v>
      </c>
      <c r="E701" s="3" t="s">
        <v>54</v>
      </c>
      <c r="F701" s="7">
        <v>45314.0</v>
      </c>
      <c r="G701" s="3" t="s">
        <v>128</v>
      </c>
    </row>
    <row r="702" ht="15.75" customHeight="1">
      <c r="A702" s="6" t="s">
        <v>5462</v>
      </c>
      <c r="B702" s="6" t="s">
        <v>2310</v>
      </c>
      <c r="C702" s="6" t="s">
        <v>2318</v>
      </c>
      <c r="D702" s="6" t="s">
        <v>2320</v>
      </c>
      <c r="E702" s="3" t="s">
        <v>54</v>
      </c>
      <c r="F702" s="7">
        <v>45799.0</v>
      </c>
      <c r="G702" s="3" t="s">
        <v>128</v>
      </c>
    </row>
    <row r="703" ht="15.75" customHeight="1">
      <c r="A703" s="6" t="s">
        <v>5463</v>
      </c>
      <c r="B703" s="6" t="s">
        <v>5464</v>
      </c>
      <c r="C703" s="6" t="s">
        <v>5465</v>
      </c>
      <c r="D703" s="6" t="s">
        <v>5467</v>
      </c>
      <c r="E703" s="3" t="s">
        <v>54</v>
      </c>
      <c r="F703" s="7">
        <v>41141.0</v>
      </c>
      <c r="G703" s="3" t="s">
        <v>94</v>
      </c>
    </row>
    <row r="704" ht="15.75" customHeight="1">
      <c r="A704" s="6" t="s">
        <v>5469</v>
      </c>
      <c r="B704" s="6" t="s">
        <v>5470</v>
      </c>
      <c r="C704" s="6" t="s">
        <v>5471</v>
      </c>
      <c r="D704" s="6" t="s">
        <v>5472</v>
      </c>
      <c r="E704" s="3" t="s">
        <v>54</v>
      </c>
      <c r="F704" s="7">
        <v>44039.0</v>
      </c>
      <c r="G704" s="3" t="s">
        <v>152</v>
      </c>
    </row>
    <row r="705" ht="15.75" customHeight="1">
      <c r="A705" s="6" t="s">
        <v>5476</v>
      </c>
      <c r="B705" s="6" t="s">
        <v>1414</v>
      </c>
      <c r="C705" s="6" t="s">
        <v>5478</v>
      </c>
      <c r="D705" s="6" t="s">
        <v>5479</v>
      </c>
      <c r="E705" s="3" t="s">
        <v>54</v>
      </c>
      <c r="F705" s="7">
        <v>40247.0</v>
      </c>
      <c r="G705" s="3" t="s">
        <v>78</v>
      </c>
    </row>
    <row r="706" ht="15.75" customHeight="1">
      <c r="A706" s="6" t="s">
        <v>5480</v>
      </c>
      <c r="B706" s="6" t="s">
        <v>2176</v>
      </c>
      <c r="C706" s="6" t="s">
        <v>5481</v>
      </c>
      <c r="D706" s="6" t="s">
        <v>5482</v>
      </c>
      <c r="E706" s="3" t="s">
        <v>38</v>
      </c>
      <c r="F706" s="3"/>
      <c r="G706" s="3" t="s">
        <v>152</v>
      </c>
    </row>
    <row r="707" ht="15.75" customHeight="1">
      <c r="A707" s="6" t="s">
        <v>5483</v>
      </c>
      <c r="B707" s="6" t="s">
        <v>2074</v>
      </c>
      <c r="C707" s="3"/>
      <c r="D707" s="6" t="s">
        <v>3388</v>
      </c>
      <c r="E707" s="3" t="s">
        <v>54</v>
      </c>
      <c r="F707" s="7">
        <v>44410.0</v>
      </c>
      <c r="G707" s="3" t="s">
        <v>152</v>
      </c>
    </row>
    <row r="708" ht="15.75" customHeight="1">
      <c r="A708" s="6" t="s">
        <v>5486</v>
      </c>
      <c r="B708" s="6" t="s">
        <v>5488</v>
      </c>
      <c r="C708" s="6" t="s">
        <v>5490</v>
      </c>
      <c r="D708" s="3"/>
      <c r="E708" s="3" t="s">
        <v>54</v>
      </c>
      <c r="F708" s="7">
        <v>44700.0</v>
      </c>
      <c r="G708" s="3" t="s">
        <v>128</v>
      </c>
    </row>
    <row r="709" ht="15.75" customHeight="1">
      <c r="A709" s="6" t="s">
        <v>5495</v>
      </c>
      <c r="B709" s="6" t="s">
        <v>5496</v>
      </c>
      <c r="C709" s="6" t="s">
        <v>5497</v>
      </c>
      <c r="D709" s="3"/>
      <c r="E709" s="3" t="s">
        <v>54</v>
      </c>
      <c r="F709" s="7">
        <v>43560.0</v>
      </c>
      <c r="G709" s="3" t="s">
        <v>78</v>
      </c>
    </row>
    <row r="710" ht="15.75" customHeight="1">
      <c r="A710" s="6" t="s">
        <v>5498</v>
      </c>
      <c r="B710" s="6" t="s">
        <v>4850</v>
      </c>
      <c r="C710" s="6" t="s">
        <v>672</v>
      </c>
      <c r="D710" s="6" t="s">
        <v>673</v>
      </c>
      <c r="E710" s="3" t="s">
        <v>54</v>
      </c>
      <c r="F710" s="7">
        <v>44332.0</v>
      </c>
      <c r="G710" s="3" t="s">
        <v>94</v>
      </c>
    </row>
    <row r="711" ht="15.75" customHeight="1">
      <c r="A711" s="6" t="s">
        <v>5504</v>
      </c>
      <c r="B711" s="6" t="s">
        <v>3264</v>
      </c>
      <c r="C711" s="6" t="s">
        <v>5505</v>
      </c>
      <c r="D711" s="6" t="s">
        <v>5506</v>
      </c>
      <c r="E711" s="3" t="s">
        <v>38</v>
      </c>
      <c r="F711" s="3"/>
      <c r="G711" s="3" t="s">
        <v>128</v>
      </c>
    </row>
    <row r="712" ht="15.75" customHeight="1">
      <c r="A712" s="6" t="s">
        <v>5507</v>
      </c>
      <c r="B712" s="6" t="s">
        <v>3965</v>
      </c>
      <c r="C712" s="6" t="s">
        <v>5509</v>
      </c>
      <c r="D712" s="6" t="s">
        <v>5510</v>
      </c>
      <c r="E712" s="3" t="s">
        <v>54</v>
      </c>
      <c r="F712" s="7">
        <v>40445.0</v>
      </c>
      <c r="G712" s="3" t="s">
        <v>152</v>
      </c>
    </row>
    <row r="713" ht="15.75" customHeight="1">
      <c r="A713" s="6" t="s">
        <v>5512</v>
      </c>
      <c r="B713" s="6" t="s">
        <v>5076</v>
      </c>
      <c r="C713" s="6" t="s">
        <v>5086</v>
      </c>
      <c r="D713" s="3"/>
      <c r="E713" s="3" t="s">
        <v>54</v>
      </c>
      <c r="F713" s="7">
        <v>44540.0</v>
      </c>
      <c r="G713" s="3" t="s">
        <v>94</v>
      </c>
    </row>
    <row r="714" ht="15.75" customHeight="1">
      <c r="A714" s="6" t="s">
        <v>5517</v>
      </c>
      <c r="B714" s="6" t="s">
        <v>5518</v>
      </c>
      <c r="C714" s="6" t="s">
        <v>5519</v>
      </c>
      <c r="D714" s="6" t="s">
        <v>5520</v>
      </c>
      <c r="E714" s="3" t="s">
        <v>54</v>
      </c>
      <c r="F714" s="7">
        <v>42582.0</v>
      </c>
      <c r="G714" s="3" t="s">
        <v>128</v>
      </c>
    </row>
    <row r="715" ht="15.75" customHeight="1">
      <c r="A715" s="6" t="s">
        <v>5521</v>
      </c>
      <c r="B715" s="6" t="s">
        <v>2685</v>
      </c>
      <c r="C715" s="6" t="s">
        <v>5523</v>
      </c>
      <c r="D715" s="6" t="s">
        <v>5524</v>
      </c>
      <c r="E715" s="3" t="s">
        <v>54</v>
      </c>
      <c r="F715" s="7">
        <v>42386.0</v>
      </c>
      <c r="G715" s="3" t="s">
        <v>110</v>
      </c>
    </row>
    <row r="716" ht="15.75" customHeight="1">
      <c r="A716" s="6" t="s">
        <v>5530</v>
      </c>
      <c r="B716" s="6" t="s">
        <v>5531</v>
      </c>
      <c r="C716" s="3"/>
      <c r="D716" s="3"/>
      <c r="E716" s="3" t="s">
        <v>54</v>
      </c>
      <c r="F716" s="7">
        <v>45060.0</v>
      </c>
      <c r="G716" s="3" t="s">
        <v>110</v>
      </c>
    </row>
    <row r="717" ht="15.75" customHeight="1">
      <c r="A717" s="6" t="s">
        <v>5534</v>
      </c>
      <c r="B717" s="6" t="s">
        <v>2864</v>
      </c>
      <c r="C717" s="6" t="s">
        <v>5535</v>
      </c>
      <c r="D717" s="6" t="s">
        <v>5536</v>
      </c>
      <c r="E717" s="3" t="s">
        <v>54</v>
      </c>
      <c r="F717" s="7">
        <v>45271.0</v>
      </c>
      <c r="G717" s="3" t="s">
        <v>152</v>
      </c>
    </row>
    <row r="718" ht="15.75" customHeight="1">
      <c r="A718" s="6" t="s">
        <v>5538</v>
      </c>
      <c r="B718" s="6" t="s">
        <v>5101</v>
      </c>
      <c r="C718" s="6" t="s">
        <v>5110</v>
      </c>
      <c r="D718" s="6" t="s">
        <v>5112</v>
      </c>
      <c r="E718" s="3" t="s">
        <v>54</v>
      </c>
      <c r="F718" s="7">
        <v>44098.0</v>
      </c>
      <c r="G718" s="3" t="s">
        <v>152</v>
      </c>
    </row>
    <row r="719" ht="15.75" customHeight="1">
      <c r="A719" s="6" t="s">
        <v>5543</v>
      </c>
      <c r="B719" s="6" t="s">
        <v>1149</v>
      </c>
      <c r="C719" s="6" t="s">
        <v>1169</v>
      </c>
      <c r="D719" s="6" t="s">
        <v>1171</v>
      </c>
      <c r="E719" s="3" t="s">
        <v>38</v>
      </c>
      <c r="F719" s="3"/>
      <c r="G719" s="3" t="s">
        <v>94</v>
      </c>
    </row>
    <row r="720" ht="15.75" customHeight="1">
      <c r="A720" s="6" t="s">
        <v>5545</v>
      </c>
      <c r="B720" s="6" t="s">
        <v>1476</v>
      </c>
      <c r="C720" s="6" t="s">
        <v>3900</v>
      </c>
      <c r="D720" s="6" t="s">
        <v>3902</v>
      </c>
      <c r="E720" s="3" t="s">
        <v>54</v>
      </c>
      <c r="F720" s="7">
        <v>41937.0</v>
      </c>
      <c r="G720" s="3" t="s">
        <v>94</v>
      </c>
    </row>
    <row r="721" ht="15.75" customHeight="1">
      <c r="A721" s="6" t="s">
        <v>5547</v>
      </c>
      <c r="B721" s="6" t="s">
        <v>2626</v>
      </c>
      <c r="C721" s="6" t="s">
        <v>5550</v>
      </c>
      <c r="D721" s="6" t="s">
        <v>5552</v>
      </c>
      <c r="E721" s="3" t="s">
        <v>47</v>
      </c>
      <c r="F721" s="7">
        <v>44416.0</v>
      </c>
      <c r="G721" s="3" t="s">
        <v>128</v>
      </c>
    </row>
    <row r="722" ht="15.75" customHeight="1">
      <c r="A722" s="6" t="s">
        <v>5553</v>
      </c>
      <c r="B722" s="6" t="s">
        <v>4515</v>
      </c>
      <c r="C722" s="6" t="s">
        <v>5554</v>
      </c>
      <c r="D722" s="6" t="s">
        <v>5555</v>
      </c>
      <c r="E722" s="3" t="s">
        <v>38</v>
      </c>
      <c r="F722" s="3"/>
      <c r="G722" s="3" t="s">
        <v>110</v>
      </c>
    </row>
    <row r="723" ht="15.75" customHeight="1">
      <c r="A723" s="6" t="s">
        <v>5556</v>
      </c>
      <c r="B723" s="6" t="s">
        <v>4439</v>
      </c>
      <c r="C723" s="6" t="s">
        <v>4448</v>
      </c>
      <c r="D723" s="6" t="s">
        <v>4451</v>
      </c>
      <c r="E723" s="3" t="s">
        <v>54</v>
      </c>
      <c r="F723" s="7">
        <v>45636.0</v>
      </c>
      <c r="G723" s="3" t="s">
        <v>152</v>
      </c>
    </row>
    <row r="724" ht="15.75" customHeight="1">
      <c r="A724" s="6" t="s">
        <v>5559</v>
      </c>
      <c r="B724" s="6" t="s">
        <v>5560</v>
      </c>
      <c r="C724" s="6" t="s">
        <v>5561</v>
      </c>
      <c r="D724" s="3"/>
      <c r="E724" s="3" t="s">
        <v>54</v>
      </c>
      <c r="F724" s="7">
        <v>43564.0</v>
      </c>
      <c r="G724" s="3" t="s">
        <v>128</v>
      </c>
    </row>
    <row r="725" ht="15.75" customHeight="1">
      <c r="A725" s="6" t="s">
        <v>5565</v>
      </c>
      <c r="B725" s="6" t="s">
        <v>1352</v>
      </c>
      <c r="C725" s="6" t="s">
        <v>5250</v>
      </c>
      <c r="D725" s="6" t="s">
        <v>5251</v>
      </c>
      <c r="E725" s="3" t="s">
        <v>54</v>
      </c>
      <c r="F725" s="7">
        <v>41673.0</v>
      </c>
      <c r="G725" s="3" t="s">
        <v>128</v>
      </c>
    </row>
    <row r="726" ht="15.75" customHeight="1">
      <c r="A726" s="6" t="s">
        <v>5567</v>
      </c>
      <c r="B726" s="6" t="s">
        <v>3288</v>
      </c>
      <c r="C726" s="6" t="s">
        <v>3294</v>
      </c>
      <c r="D726" s="6" t="s">
        <v>3297</v>
      </c>
      <c r="E726" s="3" t="s">
        <v>54</v>
      </c>
      <c r="F726" s="7">
        <v>41093.0</v>
      </c>
      <c r="G726" s="3" t="s">
        <v>94</v>
      </c>
    </row>
    <row r="727" ht="15.75" customHeight="1">
      <c r="A727" s="6" t="s">
        <v>5568</v>
      </c>
      <c r="B727" s="6" t="s">
        <v>772</v>
      </c>
      <c r="C727" s="6" t="s">
        <v>5569</v>
      </c>
      <c r="D727" s="6" t="s">
        <v>5571</v>
      </c>
      <c r="E727" s="3" t="s">
        <v>54</v>
      </c>
      <c r="F727" s="7">
        <v>44774.0</v>
      </c>
      <c r="G727" s="3" t="s">
        <v>128</v>
      </c>
    </row>
    <row r="728" ht="15.75" customHeight="1">
      <c r="A728" s="6" t="s">
        <v>5575</v>
      </c>
      <c r="B728" s="6" t="s">
        <v>4970</v>
      </c>
      <c r="C728" s="6" t="s">
        <v>4979</v>
      </c>
      <c r="D728" s="6" t="s">
        <v>4980</v>
      </c>
      <c r="E728" s="3" t="s">
        <v>38</v>
      </c>
      <c r="F728" s="3"/>
      <c r="G728" s="3" t="s">
        <v>78</v>
      </c>
    </row>
    <row r="729" ht="15.75" customHeight="1">
      <c r="A729" s="6" t="s">
        <v>5576</v>
      </c>
      <c r="B729" s="6" t="s">
        <v>752</v>
      </c>
      <c r="C729" s="6" t="s">
        <v>5577</v>
      </c>
      <c r="D729" s="6" t="s">
        <v>5579</v>
      </c>
      <c r="E729" s="3" t="s">
        <v>54</v>
      </c>
      <c r="F729" s="7">
        <v>43085.0</v>
      </c>
      <c r="G729" s="3" t="s">
        <v>110</v>
      </c>
    </row>
    <row r="730" ht="15.75" customHeight="1">
      <c r="A730" s="6" t="s">
        <v>5582</v>
      </c>
      <c r="B730" s="6" t="s">
        <v>3445</v>
      </c>
      <c r="C730" s="6" t="s">
        <v>5585</v>
      </c>
      <c r="D730" s="6" t="s">
        <v>5586</v>
      </c>
      <c r="E730" s="3" t="s">
        <v>54</v>
      </c>
      <c r="F730" s="7">
        <v>40583.0</v>
      </c>
      <c r="G730" s="3" t="s">
        <v>128</v>
      </c>
    </row>
    <row r="731" ht="15.75" customHeight="1">
      <c r="A731" s="6" t="s">
        <v>5590</v>
      </c>
      <c r="B731" s="6" t="s">
        <v>2397</v>
      </c>
      <c r="C731" s="6" t="s">
        <v>791</v>
      </c>
      <c r="D731" s="6" t="s">
        <v>793</v>
      </c>
      <c r="E731" s="3" t="s">
        <v>54</v>
      </c>
      <c r="F731" s="7">
        <v>40932.0</v>
      </c>
      <c r="G731" s="3" t="s">
        <v>78</v>
      </c>
    </row>
    <row r="732" ht="15.75" customHeight="1">
      <c r="A732" s="6" t="s">
        <v>5591</v>
      </c>
      <c r="B732" s="6" t="s">
        <v>5593</v>
      </c>
      <c r="C732" s="6" t="s">
        <v>5594</v>
      </c>
      <c r="D732" s="3"/>
      <c r="E732" s="3" t="s">
        <v>47</v>
      </c>
      <c r="F732" s="7">
        <v>40930.0</v>
      </c>
      <c r="G732" s="3" t="s">
        <v>94</v>
      </c>
    </row>
    <row r="733" ht="15.75" customHeight="1">
      <c r="A733" s="6" t="s">
        <v>5599</v>
      </c>
      <c r="B733" s="6" t="s">
        <v>2091</v>
      </c>
      <c r="C733" s="6" t="s">
        <v>5600</v>
      </c>
      <c r="D733" s="6" t="s">
        <v>5601</v>
      </c>
      <c r="E733" s="3" t="s">
        <v>54</v>
      </c>
      <c r="F733" s="7">
        <v>43613.0</v>
      </c>
      <c r="G733" s="3" t="s">
        <v>110</v>
      </c>
    </row>
    <row r="734" ht="15.75" customHeight="1">
      <c r="A734" s="6" t="s">
        <v>5602</v>
      </c>
      <c r="B734" s="6" t="s">
        <v>1463</v>
      </c>
      <c r="C734" s="6" t="s">
        <v>1475</v>
      </c>
      <c r="D734" s="6" t="s">
        <v>1477</v>
      </c>
      <c r="E734" s="3" t="s">
        <v>54</v>
      </c>
      <c r="F734" s="7">
        <v>43553.0</v>
      </c>
      <c r="G734" s="3" t="s">
        <v>78</v>
      </c>
    </row>
    <row r="735" ht="15.75" customHeight="1">
      <c r="A735" s="6" t="s">
        <v>5605</v>
      </c>
      <c r="B735" s="6" t="s">
        <v>1806</v>
      </c>
      <c r="C735" s="6" t="s">
        <v>3146</v>
      </c>
      <c r="D735" s="6" t="s">
        <v>3148</v>
      </c>
      <c r="E735" s="3" t="s">
        <v>54</v>
      </c>
      <c r="F735" s="7">
        <v>40204.0</v>
      </c>
      <c r="G735" s="3" t="s">
        <v>128</v>
      </c>
    </row>
    <row r="736" ht="15.75" customHeight="1">
      <c r="A736" s="6" t="s">
        <v>5609</v>
      </c>
      <c r="B736" s="6" t="s">
        <v>1576</v>
      </c>
      <c r="C736" s="3"/>
      <c r="D736" s="6" t="s">
        <v>5610</v>
      </c>
      <c r="E736" s="3" t="s">
        <v>54</v>
      </c>
      <c r="F736" s="7">
        <v>44285.0</v>
      </c>
      <c r="G736" s="3" t="s">
        <v>128</v>
      </c>
    </row>
    <row r="737" ht="15.75" customHeight="1">
      <c r="A737" s="6" t="s">
        <v>5611</v>
      </c>
      <c r="B737" s="6" t="s">
        <v>4959</v>
      </c>
      <c r="C737" s="6" t="s">
        <v>5612</v>
      </c>
      <c r="D737" s="3"/>
      <c r="E737" s="3" t="s">
        <v>54</v>
      </c>
      <c r="F737" s="7">
        <v>41699.0</v>
      </c>
      <c r="G737" s="3" t="s">
        <v>110</v>
      </c>
    </row>
    <row r="738" ht="15.75" customHeight="1">
      <c r="A738" s="6" t="s">
        <v>5615</v>
      </c>
      <c r="B738" s="6" t="s">
        <v>5616</v>
      </c>
      <c r="C738" s="6" t="s">
        <v>5618</v>
      </c>
      <c r="D738" s="6" t="s">
        <v>5620</v>
      </c>
      <c r="E738" s="3" t="s">
        <v>54</v>
      </c>
      <c r="F738" s="7">
        <v>41841.0</v>
      </c>
      <c r="G738" s="3" t="s">
        <v>152</v>
      </c>
    </row>
    <row r="739" ht="15.75" customHeight="1">
      <c r="A739" s="6" t="s">
        <v>5624</v>
      </c>
      <c r="B739" s="6" t="s">
        <v>3429</v>
      </c>
      <c r="C739" s="6" t="s">
        <v>3440</v>
      </c>
      <c r="D739" s="6" t="s">
        <v>3441</v>
      </c>
      <c r="E739" s="3" t="s">
        <v>54</v>
      </c>
      <c r="F739" s="7">
        <v>44488.0</v>
      </c>
      <c r="G739" s="3" t="s">
        <v>110</v>
      </c>
    </row>
    <row r="740" ht="15.75" customHeight="1">
      <c r="A740" s="6" t="s">
        <v>5626</v>
      </c>
      <c r="B740" s="6" t="s">
        <v>5627</v>
      </c>
      <c r="C740" s="6" t="s">
        <v>5629</v>
      </c>
      <c r="D740" s="6" t="s">
        <v>5630</v>
      </c>
      <c r="E740" s="3" t="s">
        <v>47</v>
      </c>
      <c r="F740" s="7">
        <v>42357.0</v>
      </c>
      <c r="G740" s="3" t="s">
        <v>110</v>
      </c>
    </row>
    <row r="741" ht="15.75" customHeight="1">
      <c r="A741" s="6" t="s">
        <v>5635</v>
      </c>
      <c r="B741" s="6" t="s">
        <v>1632</v>
      </c>
      <c r="C741" s="3"/>
      <c r="D741" s="6" t="s">
        <v>1645</v>
      </c>
      <c r="E741" s="3" t="s">
        <v>54</v>
      </c>
      <c r="F741" s="7">
        <v>42954.0</v>
      </c>
      <c r="G741" s="3" t="s">
        <v>128</v>
      </c>
    </row>
    <row r="742" ht="15.75" customHeight="1">
      <c r="A742" s="6" t="s">
        <v>5636</v>
      </c>
      <c r="B742" s="6" t="s">
        <v>4107</v>
      </c>
      <c r="C742" s="6" t="s">
        <v>5638</v>
      </c>
      <c r="D742" s="6" t="s">
        <v>5639</v>
      </c>
      <c r="E742" s="3" t="s">
        <v>54</v>
      </c>
      <c r="F742" s="7">
        <v>44964.0</v>
      </c>
      <c r="G742" s="3" t="s">
        <v>128</v>
      </c>
    </row>
    <row r="743" ht="15.75" customHeight="1">
      <c r="A743" s="6" t="s">
        <v>5641</v>
      </c>
      <c r="B743" s="6" t="s">
        <v>1559</v>
      </c>
      <c r="C743" s="6" t="s">
        <v>5642</v>
      </c>
      <c r="D743" s="6" t="s">
        <v>5644</v>
      </c>
      <c r="E743" s="3" t="s">
        <v>54</v>
      </c>
      <c r="F743" s="7">
        <v>42188.0</v>
      </c>
      <c r="G743" s="3" t="s">
        <v>94</v>
      </c>
    </row>
    <row r="744" ht="15.75" customHeight="1">
      <c r="A744" s="6" t="s">
        <v>5648</v>
      </c>
      <c r="B744" s="6" t="s">
        <v>4528</v>
      </c>
      <c r="C744" s="3"/>
      <c r="D744" s="6" t="s">
        <v>5096</v>
      </c>
      <c r="E744" s="3" t="s">
        <v>47</v>
      </c>
      <c r="F744" s="7">
        <v>43538.0</v>
      </c>
      <c r="G744" s="3" t="s">
        <v>78</v>
      </c>
    </row>
    <row r="745" ht="15.75" customHeight="1">
      <c r="A745" s="6" t="s">
        <v>5649</v>
      </c>
      <c r="B745" s="6" t="s">
        <v>4883</v>
      </c>
      <c r="C745" s="6" t="s">
        <v>4890</v>
      </c>
      <c r="D745" s="6" t="s">
        <v>4892</v>
      </c>
      <c r="E745" s="3" t="s">
        <v>54</v>
      </c>
      <c r="F745" s="7">
        <v>41707.0</v>
      </c>
      <c r="G745" s="3" t="s">
        <v>94</v>
      </c>
    </row>
    <row r="746" ht="15.75" customHeight="1">
      <c r="A746" s="6" t="s">
        <v>5655</v>
      </c>
      <c r="B746" s="6" t="s">
        <v>3333</v>
      </c>
      <c r="C746" s="6" t="s">
        <v>4082</v>
      </c>
      <c r="D746" s="6" t="s">
        <v>4083</v>
      </c>
      <c r="E746" s="3" t="s">
        <v>47</v>
      </c>
      <c r="F746" s="7">
        <v>41747.0</v>
      </c>
      <c r="G746" s="3" t="s">
        <v>152</v>
      </c>
    </row>
    <row r="747" ht="15.75" customHeight="1">
      <c r="A747" s="6" t="s">
        <v>5657</v>
      </c>
      <c r="B747" s="6" t="s">
        <v>5658</v>
      </c>
      <c r="C747" s="6" t="s">
        <v>5659</v>
      </c>
      <c r="D747" s="6" t="s">
        <v>5660</v>
      </c>
      <c r="E747" s="3" t="s">
        <v>54</v>
      </c>
      <c r="F747" s="7">
        <v>40786.0</v>
      </c>
      <c r="G747" s="3" t="s">
        <v>128</v>
      </c>
    </row>
    <row r="748" ht="15.75" customHeight="1">
      <c r="A748" s="6" t="s">
        <v>5662</v>
      </c>
      <c r="B748" s="6" t="s">
        <v>4009</v>
      </c>
      <c r="C748" s="6" t="s">
        <v>5663</v>
      </c>
      <c r="D748" s="6" t="s">
        <v>5664</v>
      </c>
      <c r="E748" s="3" t="s">
        <v>54</v>
      </c>
      <c r="F748" s="7">
        <v>40432.0</v>
      </c>
      <c r="G748" s="3" t="s">
        <v>94</v>
      </c>
    </row>
    <row r="749" ht="15.75" customHeight="1">
      <c r="A749" s="6" t="s">
        <v>5669</v>
      </c>
      <c r="B749" s="6" t="s">
        <v>4316</v>
      </c>
      <c r="C749" s="6" t="s">
        <v>4329</v>
      </c>
      <c r="D749" s="6" t="s">
        <v>4330</v>
      </c>
      <c r="E749" s="3" t="s">
        <v>54</v>
      </c>
      <c r="F749" s="7">
        <v>40360.0</v>
      </c>
      <c r="G749" s="3" t="s">
        <v>94</v>
      </c>
    </row>
    <row r="750" ht="15.75" customHeight="1">
      <c r="A750" s="6" t="s">
        <v>5670</v>
      </c>
      <c r="B750" s="6" t="s">
        <v>5671</v>
      </c>
      <c r="C750" s="6" t="s">
        <v>5672</v>
      </c>
      <c r="D750" s="6" t="s">
        <v>5673</v>
      </c>
      <c r="E750" s="3" t="s">
        <v>54</v>
      </c>
      <c r="F750" s="7">
        <v>43255.0</v>
      </c>
      <c r="G750" s="3" t="s">
        <v>78</v>
      </c>
    </row>
    <row r="751" ht="15.75" customHeight="1">
      <c r="A751" s="6" t="s">
        <v>5674</v>
      </c>
      <c r="B751" s="6" t="s">
        <v>1117</v>
      </c>
      <c r="C751" s="6" t="s">
        <v>5677</v>
      </c>
      <c r="D751" s="6" t="s">
        <v>5678</v>
      </c>
      <c r="E751" s="3" t="s">
        <v>47</v>
      </c>
      <c r="F751" s="7">
        <v>41267.0</v>
      </c>
      <c r="G751" s="3" t="s">
        <v>152</v>
      </c>
    </row>
    <row r="752" ht="15.75" customHeight="1">
      <c r="A752" s="6" t="s">
        <v>5680</v>
      </c>
      <c r="B752" s="6" t="s">
        <v>1597</v>
      </c>
      <c r="C752" s="3"/>
      <c r="D752" s="6" t="s">
        <v>2295</v>
      </c>
      <c r="E752" s="3" t="s">
        <v>54</v>
      </c>
      <c r="F752" s="7">
        <v>44036.0</v>
      </c>
      <c r="G752" s="3" t="s">
        <v>78</v>
      </c>
    </row>
    <row r="753" ht="15.75" customHeight="1">
      <c r="A753" s="6" t="s">
        <v>5684</v>
      </c>
      <c r="B753" s="6" t="s">
        <v>2950</v>
      </c>
      <c r="C753" s="6" t="s">
        <v>5688</v>
      </c>
      <c r="D753" s="6" t="s">
        <v>5690</v>
      </c>
      <c r="E753" s="3" t="s">
        <v>54</v>
      </c>
      <c r="F753" s="7">
        <v>41089.0</v>
      </c>
      <c r="G753" s="3" t="s">
        <v>94</v>
      </c>
    </row>
    <row r="754" ht="15.75" customHeight="1">
      <c r="A754" s="6" t="s">
        <v>5691</v>
      </c>
      <c r="B754" s="6" t="s">
        <v>5526</v>
      </c>
      <c r="C754" s="6" t="s">
        <v>5692</v>
      </c>
      <c r="D754" s="6" t="s">
        <v>5693</v>
      </c>
      <c r="E754" s="3" t="s">
        <v>54</v>
      </c>
      <c r="F754" s="7">
        <v>42723.0</v>
      </c>
      <c r="G754" s="3" t="s">
        <v>110</v>
      </c>
    </row>
    <row r="755" ht="15.75" customHeight="1">
      <c r="A755" s="6" t="s">
        <v>5696</v>
      </c>
      <c r="B755" s="6" t="s">
        <v>1295</v>
      </c>
      <c r="C755" s="6" t="s">
        <v>4912</v>
      </c>
      <c r="D755" s="6" t="s">
        <v>4913</v>
      </c>
      <c r="E755" s="3" t="s">
        <v>54</v>
      </c>
      <c r="F755" s="7">
        <v>44144.0</v>
      </c>
      <c r="G755" s="3" t="s">
        <v>78</v>
      </c>
    </row>
    <row r="756" ht="15.75" customHeight="1">
      <c r="A756" s="6" t="s">
        <v>5700</v>
      </c>
      <c r="B756" s="6" t="s">
        <v>4190</v>
      </c>
      <c r="C756" s="6" t="s">
        <v>5702</v>
      </c>
      <c r="D756" s="6" t="s">
        <v>5703</v>
      </c>
      <c r="E756" s="3" t="s">
        <v>54</v>
      </c>
      <c r="F756" s="7">
        <v>45350.0</v>
      </c>
      <c r="G756" s="3" t="s">
        <v>128</v>
      </c>
    </row>
    <row r="757" ht="15.75" customHeight="1">
      <c r="A757" s="6" t="s">
        <v>5705</v>
      </c>
      <c r="B757" s="6" t="s">
        <v>1600</v>
      </c>
      <c r="C757" s="6" t="s">
        <v>1790</v>
      </c>
      <c r="D757" s="6" t="s">
        <v>1791</v>
      </c>
      <c r="E757" s="3" t="s">
        <v>47</v>
      </c>
      <c r="F757" s="7">
        <v>45274.0</v>
      </c>
      <c r="G757" s="3" t="s">
        <v>128</v>
      </c>
    </row>
    <row r="758" ht="15.75" customHeight="1">
      <c r="A758" s="6" t="s">
        <v>5710</v>
      </c>
      <c r="B758" s="6" t="s">
        <v>3894</v>
      </c>
      <c r="C758" s="6" t="s">
        <v>5711</v>
      </c>
      <c r="D758" s="6" t="s">
        <v>5712</v>
      </c>
      <c r="E758" s="3" t="s">
        <v>54</v>
      </c>
      <c r="F758" s="7">
        <v>42680.0</v>
      </c>
      <c r="G758" s="3" t="s">
        <v>152</v>
      </c>
    </row>
    <row r="759" ht="15.75" customHeight="1">
      <c r="A759" s="6" t="s">
        <v>5713</v>
      </c>
      <c r="B759" s="6" t="s">
        <v>5193</v>
      </c>
      <c r="C759" s="6" t="s">
        <v>5715</v>
      </c>
      <c r="D759" s="6" t="s">
        <v>5716</v>
      </c>
      <c r="E759" s="3" t="s">
        <v>54</v>
      </c>
      <c r="F759" s="7">
        <v>45679.0</v>
      </c>
      <c r="G759" s="3" t="s">
        <v>94</v>
      </c>
    </row>
    <row r="760" ht="15.75" customHeight="1">
      <c r="A760" s="6" t="s">
        <v>5718</v>
      </c>
      <c r="B760" s="6" t="s">
        <v>1461</v>
      </c>
      <c r="C760" s="6" t="s">
        <v>5722</v>
      </c>
      <c r="D760" s="6" t="s">
        <v>5723</v>
      </c>
      <c r="E760" s="3" t="s">
        <v>54</v>
      </c>
      <c r="F760" s="7">
        <v>41085.0</v>
      </c>
      <c r="G760" s="3" t="s">
        <v>128</v>
      </c>
    </row>
    <row r="761" ht="15.75" customHeight="1">
      <c r="A761" s="6" t="s">
        <v>5725</v>
      </c>
      <c r="B761" s="6" t="s">
        <v>3057</v>
      </c>
      <c r="C761" s="6" t="s">
        <v>5726</v>
      </c>
      <c r="D761" s="6" t="s">
        <v>5727</v>
      </c>
      <c r="E761" s="3" t="s">
        <v>54</v>
      </c>
      <c r="F761" s="7">
        <v>44479.0</v>
      </c>
      <c r="G761" s="3" t="s">
        <v>152</v>
      </c>
    </row>
    <row r="762" ht="15.75" customHeight="1">
      <c r="A762" s="6" t="s">
        <v>5728</v>
      </c>
      <c r="B762" s="6" t="s">
        <v>2354</v>
      </c>
      <c r="C762" s="6" t="s">
        <v>5730</v>
      </c>
      <c r="D762" s="6" t="s">
        <v>5732</v>
      </c>
      <c r="E762" s="3" t="s">
        <v>54</v>
      </c>
      <c r="F762" s="7">
        <v>44305.0</v>
      </c>
      <c r="G762" s="3" t="s">
        <v>152</v>
      </c>
    </row>
    <row r="763" ht="15.75" customHeight="1">
      <c r="A763" s="6" t="s">
        <v>5736</v>
      </c>
      <c r="B763" s="6" t="s">
        <v>2767</v>
      </c>
      <c r="C763" s="6" t="s">
        <v>5737</v>
      </c>
      <c r="D763" s="6" t="s">
        <v>5738</v>
      </c>
      <c r="E763" s="3" t="s">
        <v>54</v>
      </c>
      <c r="F763" s="7">
        <v>45363.0</v>
      </c>
      <c r="G763" s="3" t="s">
        <v>78</v>
      </c>
    </row>
    <row r="764" ht="15.75" customHeight="1">
      <c r="A764" s="6" t="s">
        <v>5740</v>
      </c>
      <c r="B764" s="6" t="s">
        <v>1606</v>
      </c>
      <c r="C764" s="6" t="s">
        <v>5741</v>
      </c>
      <c r="D764" s="6" t="s">
        <v>5742</v>
      </c>
      <c r="E764" s="3" t="s">
        <v>38</v>
      </c>
      <c r="F764" s="3"/>
      <c r="G764" s="3" t="s">
        <v>152</v>
      </c>
    </row>
    <row r="765" ht="15.75" customHeight="1">
      <c r="A765" s="6" t="s">
        <v>5745</v>
      </c>
      <c r="B765" s="6" t="s">
        <v>5746</v>
      </c>
      <c r="C765" s="6" t="s">
        <v>5750</v>
      </c>
      <c r="D765" s="6" t="s">
        <v>5752</v>
      </c>
      <c r="E765" s="3" t="s">
        <v>54</v>
      </c>
      <c r="F765" s="7">
        <v>41040.0</v>
      </c>
      <c r="G765" s="3" t="s">
        <v>152</v>
      </c>
    </row>
    <row r="766" ht="15.75" customHeight="1">
      <c r="A766" s="6" t="s">
        <v>5755</v>
      </c>
      <c r="B766" s="6" t="s">
        <v>1515</v>
      </c>
      <c r="C766" s="6" t="s">
        <v>5756</v>
      </c>
      <c r="D766" s="6" t="s">
        <v>5757</v>
      </c>
      <c r="E766" s="3" t="s">
        <v>54</v>
      </c>
      <c r="F766" s="7">
        <v>42689.0</v>
      </c>
      <c r="G766" s="3" t="s">
        <v>110</v>
      </c>
    </row>
    <row r="767" ht="15.75" customHeight="1">
      <c r="A767" s="6" t="s">
        <v>5761</v>
      </c>
      <c r="B767" s="6" t="s">
        <v>3363</v>
      </c>
      <c r="C767" s="6" t="s">
        <v>5762</v>
      </c>
      <c r="D767" s="6" t="s">
        <v>5763</v>
      </c>
      <c r="E767" s="3" t="s">
        <v>54</v>
      </c>
      <c r="F767" s="7">
        <v>43993.0</v>
      </c>
      <c r="G767" s="3" t="s">
        <v>94</v>
      </c>
    </row>
    <row r="768" ht="15.75" customHeight="1">
      <c r="A768" s="6" t="s">
        <v>5767</v>
      </c>
      <c r="B768" s="6" t="s">
        <v>5769</v>
      </c>
      <c r="C768" s="6" t="s">
        <v>5770</v>
      </c>
      <c r="D768" s="6" t="s">
        <v>5772</v>
      </c>
      <c r="E768" s="3" t="s">
        <v>54</v>
      </c>
      <c r="F768" s="7">
        <v>40555.0</v>
      </c>
      <c r="G768" s="3" t="s">
        <v>152</v>
      </c>
    </row>
    <row r="769" ht="15.75" customHeight="1">
      <c r="A769" s="6" t="s">
        <v>5773</v>
      </c>
      <c r="B769" s="6" t="s">
        <v>1244</v>
      </c>
      <c r="C769" s="6" t="s">
        <v>5492</v>
      </c>
      <c r="D769" s="6" t="s">
        <v>5494</v>
      </c>
      <c r="E769" s="3" t="s">
        <v>54</v>
      </c>
      <c r="F769" s="7">
        <v>41995.0</v>
      </c>
      <c r="G769" s="3" t="s">
        <v>94</v>
      </c>
    </row>
    <row r="770" ht="15.75" customHeight="1">
      <c r="A770" s="6" t="s">
        <v>5776</v>
      </c>
      <c r="B770" s="6" t="s">
        <v>1006</v>
      </c>
      <c r="C770" s="6" t="s">
        <v>4990</v>
      </c>
      <c r="D770" s="6" t="s">
        <v>4991</v>
      </c>
      <c r="E770" s="3" t="s">
        <v>54</v>
      </c>
      <c r="F770" s="7">
        <v>41571.0</v>
      </c>
      <c r="G770" s="3" t="s">
        <v>152</v>
      </c>
    </row>
    <row r="771" ht="15.75" customHeight="1">
      <c r="A771" s="6" t="s">
        <v>5779</v>
      </c>
      <c r="B771" s="6" t="s">
        <v>5443</v>
      </c>
      <c r="C771" s="3"/>
      <c r="D771" s="6" t="s">
        <v>5453</v>
      </c>
      <c r="E771" s="3" t="s">
        <v>54</v>
      </c>
      <c r="F771" s="7">
        <v>41455.0</v>
      </c>
      <c r="G771" s="3" t="s">
        <v>128</v>
      </c>
    </row>
    <row r="772" ht="15.75" customHeight="1">
      <c r="A772" s="6" t="s">
        <v>5782</v>
      </c>
      <c r="B772" s="6" t="s">
        <v>5783</v>
      </c>
      <c r="C772" s="6" t="s">
        <v>5784</v>
      </c>
      <c r="D772" s="6" t="s">
        <v>5785</v>
      </c>
      <c r="E772" s="3" t="s">
        <v>54</v>
      </c>
      <c r="F772" s="7">
        <v>43831.0</v>
      </c>
      <c r="G772" s="3" t="s">
        <v>110</v>
      </c>
    </row>
    <row r="773" ht="15.75" customHeight="1">
      <c r="A773" s="6" t="s">
        <v>5789</v>
      </c>
      <c r="B773" s="6" t="s">
        <v>2018</v>
      </c>
      <c r="C773" s="3"/>
      <c r="D773" s="6" t="s">
        <v>5791</v>
      </c>
      <c r="E773" s="3" t="s">
        <v>54</v>
      </c>
      <c r="F773" s="7">
        <v>42654.0</v>
      </c>
      <c r="G773" s="3" t="s">
        <v>94</v>
      </c>
    </row>
    <row r="774" ht="15.75" customHeight="1">
      <c r="A774" s="6" t="s">
        <v>5792</v>
      </c>
      <c r="B774" s="6" t="s">
        <v>5793</v>
      </c>
      <c r="C774" s="6" t="s">
        <v>5794</v>
      </c>
      <c r="D774" s="6" t="s">
        <v>5795</v>
      </c>
      <c r="E774" s="3" t="s">
        <v>38</v>
      </c>
      <c r="F774" s="3"/>
      <c r="G774" s="3" t="s">
        <v>110</v>
      </c>
    </row>
    <row r="775" ht="15.75" customHeight="1">
      <c r="A775" s="6" t="s">
        <v>5799</v>
      </c>
      <c r="B775" s="6" t="s">
        <v>1064</v>
      </c>
      <c r="C775" s="6" t="s">
        <v>5800</v>
      </c>
      <c r="D775" s="3"/>
      <c r="E775" s="3" t="s">
        <v>54</v>
      </c>
      <c r="F775" s="7">
        <v>44118.0</v>
      </c>
      <c r="G775" s="3" t="s">
        <v>152</v>
      </c>
    </row>
    <row r="776" ht="15.75" customHeight="1">
      <c r="A776" s="6" t="s">
        <v>5805</v>
      </c>
      <c r="B776" s="6" t="s">
        <v>5807</v>
      </c>
      <c r="C776" s="3"/>
      <c r="D776" s="6" t="s">
        <v>5809</v>
      </c>
      <c r="E776" s="3" t="s">
        <v>54</v>
      </c>
      <c r="F776" s="7">
        <v>42949.0</v>
      </c>
      <c r="G776" s="3" t="s">
        <v>128</v>
      </c>
    </row>
    <row r="777" ht="15.75" customHeight="1">
      <c r="A777" s="6" t="s">
        <v>5810</v>
      </c>
      <c r="B777" s="6" t="s">
        <v>2517</v>
      </c>
      <c r="C777" s="6" t="s">
        <v>5811</v>
      </c>
      <c r="D777" s="6" t="s">
        <v>5812</v>
      </c>
      <c r="E777" s="3" t="s">
        <v>54</v>
      </c>
      <c r="F777" s="7">
        <v>40859.0</v>
      </c>
      <c r="G777" s="3" t="s">
        <v>128</v>
      </c>
    </row>
    <row r="778" ht="15.75" customHeight="1">
      <c r="A778" s="6" t="s">
        <v>5814</v>
      </c>
      <c r="B778" s="6" t="s">
        <v>2476</v>
      </c>
      <c r="C778" s="3"/>
      <c r="D778" s="6" t="s">
        <v>2488</v>
      </c>
      <c r="E778" s="3" t="s">
        <v>47</v>
      </c>
      <c r="F778" s="7">
        <v>43229.0</v>
      </c>
      <c r="G778" s="3" t="s">
        <v>94</v>
      </c>
    </row>
    <row r="779" ht="15.75" customHeight="1">
      <c r="A779" s="6" t="s">
        <v>5818</v>
      </c>
      <c r="B779" s="6" t="s">
        <v>4218</v>
      </c>
      <c r="C779" s="6" t="s">
        <v>5819</v>
      </c>
      <c r="D779" s="3"/>
      <c r="E779" s="3" t="s">
        <v>54</v>
      </c>
      <c r="F779" s="7">
        <v>45299.0</v>
      </c>
      <c r="G779" s="3" t="s">
        <v>128</v>
      </c>
    </row>
    <row r="780" ht="15.75" customHeight="1">
      <c r="A780" s="6" t="s">
        <v>5820</v>
      </c>
      <c r="B780" s="6" t="s">
        <v>1479</v>
      </c>
      <c r="C780" s="6" t="s">
        <v>5822</v>
      </c>
      <c r="D780" s="6" t="s">
        <v>5823</v>
      </c>
      <c r="E780" s="3" t="s">
        <v>54</v>
      </c>
      <c r="F780" s="7">
        <v>44970.0</v>
      </c>
      <c r="G780" s="3" t="s">
        <v>152</v>
      </c>
    </row>
    <row r="781" ht="15.75" customHeight="1">
      <c r="A781" s="6" t="s">
        <v>5824</v>
      </c>
      <c r="B781" s="6" t="s">
        <v>5826</v>
      </c>
      <c r="C781" s="6" t="s">
        <v>5827</v>
      </c>
      <c r="D781" s="6" t="s">
        <v>5828</v>
      </c>
      <c r="E781" s="3" t="s">
        <v>54</v>
      </c>
      <c r="F781" s="7">
        <v>41522.0</v>
      </c>
      <c r="G781" s="3" t="s">
        <v>78</v>
      </c>
    </row>
    <row r="782" ht="15.75" customHeight="1">
      <c r="A782" s="6" t="s">
        <v>5830</v>
      </c>
      <c r="B782" s="6" t="s">
        <v>2508</v>
      </c>
      <c r="C782" s="3"/>
      <c r="D782" s="6" t="s">
        <v>5834</v>
      </c>
      <c r="E782" s="3" t="s">
        <v>38</v>
      </c>
      <c r="F782" s="3"/>
      <c r="G782" s="3" t="s">
        <v>152</v>
      </c>
    </row>
    <row r="783" ht="15.75" customHeight="1">
      <c r="A783" s="6" t="s">
        <v>5835</v>
      </c>
      <c r="B783" s="6" t="s">
        <v>1378</v>
      </c>
      <c r="C783" s="6" t="s">
        <v>5836</v>
      </c>
      <c r="D783" s="6" t="s">
        <v>5837</v>
      </c>
      <c r="E783" s="3" t="s">
        <v>54</v>
      </c>
      <c r="F783" s="7">
        <v>43326.0</v>
      </c>
      <c r="G783" s="3" t="s">
        <v>152</v>
      </c>
    </row>
    <row r="784" ht="15.75" customHeight="1">
      <c r="A784" s="6" t="s">
        <v>5839</v>
      </c>
      <c r="B784" s="6" t="s">
        <v>2323</v>
      </c>
      <c r="C784" s="3"/>
      <c r="D784" s="6" t="s">
        <v>847</v>
      </c>
      <c r="E784" s="3" t="s">
        <v>54</v>
      </c>
      <c r="F784" s="7">
        <v>41596.0</v>
      </c>
      <c r="G784" s="3" t="s">
        <v>94</v>
      </c>
    </row>
    <row r="785" ht="15.75" customHeight="1">
      <c r="A785" s="6" t="s">
        <v>5842</v>
      </c>
      <c r="B785" s="6" t="s">
        <v>1131</v>
      </c>
      <c r="C785" s="6" t="s">
        <v>5845</v>
      </c>
      <c r="D785" s="3"/>
      <c r="E785" s="3" t="s">
        <v>54</v>
      </c>
      <c r="F785" s="7">
        <v>43221.0</v>
      </c>
      <c r="G785" s="3" t="s">
        <v>128</v>
      </c>
    </row>
    <row r="786" ht="15.75" customHeight="1">
      <c r="A786" s="6" t="s">
        <v>5847</v>
      </c>
      <c r="B786" s="6" t="s">
        <v>2899</v>
      </c>
      <c r="C786" s="6" t="s">
        <v>2908</v>
      </c>
      <c r="D786" s="6" t="s">
        <v>2911</v>
      </c>
      <c r="E786" s="3" t="s">
        <v>54</v>
      </c>
      <c r="F786" s="7">
        <v>44976.0</v>
      </c>
      <c r="G786" s="3" t="s">
        <v>94</v>
      </c>
    </row>
    <row r="787" ht="15.75" customHeight="1">
      <c r="A787" s="6" t="s">
        <v>5849</v>
      </c>
      <c r="B787" s="6" t="s">
        <v>403</v>
      </c>
      <c r="C787" s="6" t="s">
        <v>415</v>
      </c>
      <c r="D787" s="6" t="s">
        <v>418</v>
      </c>
      <c r="E787" s="3" t="s">
        <v>54</v>
      </c>
      <c r="F787" s="7">
        <v>42345.0</v>
      </c>
      <c r="G787" s="3" t="s">
        <v>110</v>
      </c>
    </row>
    <row r="788" ht="15.75" customHeight="1">
      <c r="A788" s="6" t="s">
        <v>5854</v>
      </c>
      <c r="B788" s="6" t="s">
        <v>3270</v>
      </c>
      <c r="C788" s="6" t="s">
        <v>3282</v>
      </c>
      <c r="D788" s="6" t="s">
        <v>3284</v>
      </c>
      <c r="E788" s="3" t="s">
        <v>54</v>
      </c>
      <c r="F788" s="7">
        <v>40336.0</v>
      </c>
      <c r="G788" s="3" t="s">
        <v>128</v>
      </c>
    </row>
    <row r="789" ht="15.75" customHeight="1">
      <c r="A789" s="6" t="s">
        <v>5857</v>
      </c>
      <c r="B789" s="6" t="s">
        <v>779</v>
      </c>
      <c r="C789" s="6" t="s">
        <v>5858</v>
      </c>
      <c r="D789" s="6" t="s">
        <v>5860</v>
      </c>
      <c r="E789" s="3" t="s">
        <v>54</v>
      </c>
      <c r="F789" s="7">
        <v>44650.0</v>
      </c>
      <c r="G789" s="3" t="s">
        <v>128</v>
      </c>
    </row>
    <row r="790" ht="15.75" customHeight="1">
      <c r="A790" s="6" t="s">
        <v>5864</v>
      </c>
      <c r="B790" s="6" t="s">
        <v>4326</v>
      </c>
      <c r="C790" s="6" t="s">
        <v>5866</v>
      </c>
      <c r="D790" s="6" t="s">
        <v>5867</v>
      </c>
      <c r="E790" s="3" t="s">
        <v>38</v>
      </c>
      <c r="F790" s="3"/>
      <c r="G790" s="3" t="s">
        <v>128</v>
      </c>
    </row>
    <row r="791" ht="15.75" customHeight="1">
      <c r="A791" s="6" t="s">
        <v>5868</v>
      </c>
      <c r="B791" s="6" t="s">
        <v>4861</v>
      </c>
      <c r="C791" s="6" t="s">
        <v>5410</v>
      </c>
      <c r="D791" s="6" t="s">
        <v>5412</v>
      </c>
      <c r="E791" s="3" t="s">
        <v>47</v>
      </c>
      <c r="F791" s="7">
        <v>45533.0</v>
      </c>
      <c r="G791" s="3" t="s">
        <v>94</v>
      </c>
    </row>
    <row r="792" ht="15.75" customHeight="1">
      <c r="A792" s="6" t="s">
        <v>5871</v>
      </c>
      <c r="B792" s="6" t="s">
        <v>2536</v>
      </c>
      <c r="C792" s="6" t="s">
        <v>5290</v>
      </c>
      <c r="D792" s="6" t="s">
        <v>5291</v>
      </c>
      <c r="E792" s="3" t="s">
        <v>54</v>
      </c>
      <c r="F792" s="7">
        <v>40620.0</v>
      </c>
      <c r="G792" s="3" t="s">
        <v>94</v>
      </c>
    </row>
    <row r="793" ht="15.75" customHeight="1">
      <c r="A793" s="6" t="s">
        <v>5873</v>
      </c>
      <c r="B793" s="6" t="s">
        <v>2262</v>
      </c>
      <c r="C793" s="6" t="s">
        <v>5875</v>
      </c>
      <c r="D793" s="6" t="s">
        <v>5876</v>
      </c>
      <c r="E793" s="3" t="s">
        <v>54</v>
      </c>
      <c r="F793" s="7">
        <v>40989.0</v>
      </c>
      <c r="G793" s="3" t="s">
        <v>128</v>
      </c>
    </row>
    <row r="794" ht="15.75" customHeight="1">
      <c r="A794" s="6" t="s">
        <v>5882</v>
      </c>
      <c r="B794" s="6" t="s">
        <v>4849</v>
      </c>
      <c r="C794" s="6" t="s">
        <v>4087</v>
      </c>
      <c r="D794" s="6" t="s">
        <v>4089</v>
      </c>
      <c r="E794" s="3" t="s">
        <v>54</v>
      </c>
      <c r="F794" s="7">
        <v>42004.0</v>
      </c>
      <c r="G794" s="3" t="s">
        <v>110</v>
      </c>
    </row>
    <row r="795" ht="15.75" customHeight="1">
      <c r="A795" s="6" t="s">
        <v>5884</v>
      </c>
      <c r="B795" s="6" t="s">
        <v>783</v>
      </c>
      <c r="C795" s="6" t="s">
        <v>5885</v>
      </c>
      <c r="D795" s="6" t="s">
        <v>5887</v>
      </c>
      <c r="E795" s="3" t="s">
        <v>54</v>
      </c>
      <c r="F795" s="7">
        <v>42437.0</v>
      </c>
      <c r="G795" s="3" t="s">
        <v>110</v>
      </c>
    </row>
    <row r="796" ht="15.75" customHeight="1">
      <c r="A796" s="6" t="s">
        <v>5889</v>
      </c>
      <c r="B796" s="6" t="s">
        <v>5891</v>
      </c>
      <c r="C796" s="6" t="s">
        <v>5893</v>
      </c>
      <c r="D796" s="6" t="s">
        <v>5894</v>
      </c>
      <c r="E796" s="3" t="s">
        <v>47</v>
      </c>
      <c r="F796" s="7">
        <v>43243.0</v>
      </c>
      <c r="G796" s="3" t="s">
        <v>78</v>
      </c>
    </row>
    <row r="797" ht="15.75" customHeight="1">
      <c r="A797" s="6" t="s">
        <v>5896</v>
      </c>
      <c r="B797" s="6" t="s">
        <v>792</v>
      </c>
      <c r="C797" s="6" t="s">
        <v>919</v>
      </c>
      <c r="D797" s="6" t="s">
        <v>920</v>
      </c>
      <c r="E797" s="3" t="s">
        <v>54</v>
      </c>
      <c r="F797" s="7">
        <v>42077.0</v>
      </c>
      <c r="G797" s="3" t="s">
        <v>128</v>
      </c>
    </row>
    <row r="798" ht="15.75" customHeight="1">
      <c r="A798" s="6" t="s">
        <v>5897</v>
      </c>
      <c r="B798" s="6" t="s">
        <v>5899</v>
      </c>
      <c r="C798" s="6" t="s">
        <v>5900</v>
      </c>
      <c r="D798" s="6" t="s">
        <v>5901</v>
      </c>
      <c r="E798" s="3" t="s">
        <v>54</v>
      </c>
      <c r="F798" s="7">
        <v>42953.0</v>
      </c>
      <c r="G798" s="3" t="s">
        <v>152</v>
      </c>
    </row>
    <row r="799" ht="15.75" customHeight="1">
      <c r="A799" s="6" t="s">
        <v>5905</v>
      </c>
      <c r="B799" s="6" t="s">
        <v>3821</v>
      </c>
      <c r="C799" s="3"/>
      <c r="D799" s="6" t="s">
        <v>5908</v>
      </c>
      <c r="E799" s="3" t="s">
        <v>54</v>
      </c>
      <c r="F799" s="7">
        <v>43377.0</v>
      </c>
      <c r="G799" s="3" t="s">
        <v>152</v>
      </c>
    </row>
    <row r="800" ht="15.75" customHeight="1">
      <c r="A800" s="6" t="s">
        <v>5910</v>
      </c>
      <c r="B800" s="6" t="s">
        <v>3465</v>
      </c>
      <c r="C800" s="6" t="s">
        <v>5911</v>
      </c>
      <c r="D800" s="6" t="s">
        <v>5912</v>
      </c>
      <c r="E800" s="3" t="s">
        <v>54</v>
      </c>
      <c r="F800" s="7">
        <v>43222.0</v>
      </c>
      <c r="G800" s="3" t="s">
        <v>128</v>
      </c>
    </row>
    <row r="801" ht="15.75" customHeight="1">
      <c r="A801" s="6" t="s">
        <v>5914</v>
      </c>
      <c r="B801" s="6" t="s">
        <v>3742</v>
      </c>
      <c r="C801" s="6" t="s">
        <v>3551</v>
      </c>
      <c r="D801" s="6" t="s">
        <v>3555</v>
      </c>
      <c r="E801" s="3" t="s">
        <v>54</v>
      </c>
      <c r="F801" s="7">
        <v>43072.0</v>
      </c>
      <c r="G801" s="3" t="s">
        <v>128</v>
      </c>
    </row>
    <row r="802" ht="15.75" customHeight="1">
      <c r="A802" s="6" t="s">
        <v>5919</v>
      </c>
      <c r="B802" s="6" t="s">
        <v>5920</v>
      </c>
      <c r="C802" s="6" t="s">
        <v>5921</v>
      </c>
      <c r="D802" s="6" t="s">
        <v>5922</v>
      </c>
      <c r="E802" s="3" t="s">
        <v>38</v>
      </c>
      <c r="F802" s="3"/>
      <c r="G802" s="3" t="s">
        <v>94</v>
      </c>
    </row>
    <row r="803" ht="15.75" customHeight="1">
      <c r="A803" s="6" t="s">
        <v>5923</v>
      </c>
      <c r="B803" s="6" t="s">
        <v>5924</v>
      </c>
      <c r="C803" s="6" t="s">
        <v>5762</v>
      </c>
      <c r="D803" s="6" t="s">
        <v>5763</v>
      </c>
      <c r="E803" s="3" t="s">
        <v>38</v>
      </c>
      <c r="F803" s="3"/>
      <c r="G803" s="3" t="s">
        <v>78</v>
      </c>
    </row>
    <row r="804" ht="15.75" customHeight="1">
      <c r="A804" s="6" t="s">
        <v>5925</v>
      </c>
      <c r="B804" s="6" t="s">
        <v>3134</v>
      </c>
      <c r="C804" s="6" t="s">
        <v>5927</v>
      </c>
      <c r="D804" s="6" t="s">
        <v>5928</v>
      </c>
      <c r="E804" s="3" t="s">
        <v>54</v>
      </c>
      <c r="F804" s="7">
        <v>40806.0</v>
      </c>
      <c r="G804" s="3" t="s">
        <v>78</v>
      </c>
    </row>
    <row r="805" ht="15.75" customHeight="1">
      <c r="A805" s="6" t="s">
        <v>5930</v>
      </c>
      <c r="B805" s="6" t="s">
        <v>1575</v>
      </c>
      <c r="C805" s="3"/>
      <c r="D805" s="6" t="s">
        <v>2613</v>
      </c>
      <c r="E805" s="3" t="s">
        <v>54</v>
      </c>
      <c r="F805" s="7">
        <v>41110.0</v>
      </c>
      <c r="G805" s="3" t="s">
        <v>128</v>
      </c>
    </row>
    <row r="806" ht="15.75" customHeight="1">
      <c r="A806" s="6" t="s">
        <v>5935</v>
      </c>
      <c r="B806" s="6" t="s">
        <v>4302</v>
      </c>
      <c r="C806" s="6" t="s">
        <v>5937</v>
      </c>
      <c r="D806" s="6" t="s">
        <v>5938</v>
      </c>
      <c r="E806" s="3" t="s">
        <v>54</v>
      </c>
      <c r="F806" s="7">
        <v>44141.0</v>
      </c>
      <c r="G806" s="3" t="s">
        <v>94</v>
      </c>
    </row>
    <row r="807" ht="15.75" customHeight="1">
      <c r="A807" s="6" t="s">
        <v>5940</v>
      </c>
      <c r="B807" s="6" t="s">
        <v>2335</v>
      </c>
      <c r="C807" s="6" t="s">
        <v>5941</v>
      </c>
      <c r="D807" s="6" t="s">
        <v>5942</v>
      </c>
      <c r="E807" s="3" t="s">
        <v>38</v>
      </c>
      <c r="F807" s="3"/>
      <c r="G807" s="3" t="s">
        <v>94</v>
      </c>
    </row>
    <row r="808" ht="15.75" customHeight="1">
      <c r="A808" s="6" t="s">
        <v>5944</v>
      </c>
      <c r="B808" s="6" t="s">
        <v>1195</v>
      </c>
      <c r="C808" s="6" t="s">
        <v>5948</v>
      </c>
      <c r="D808" s="6" t="s">
        <v>5949</v>
      </c>
      <c r="E808" s="3" t="s">
        <v>54</v>
      </c>
      <c r="F808" s="7">
        <v>45839.0</v>
      </c>
      <c r="G808" s="3" t="s">
        <v>110</v>
      </c>
    </row>
    <row r="809" ht="15.75" customHeight="1">
      <c r="A809" s="6" t="s">
        <v>5950</v>
      </c>
      <c r="B809" s="6" t="s">
        <v>4792</v>
      </c>
      <c r="C809" s="6" t="s">
        <v>5951</v>
      </c>
      <c r="D809" s="6" t="s">
        <v>5952</v>
      </c>
      <c r="E809" s="3" t="s">
        <v>54</v>
      </c>
      <c r="F809" s="7">
        <v>40988.0</v>
      </c>
      <c r="G809" s="3" t="s">
        <v>78</v>
      </c>
    </row>
    <row r="810" ht="15.75" customHeight="1">
      <c r="A810" s="6" t="s">
        <v>5954</v>
      </c>
      <c r="B810" s="6" t="s">
        <v>3486</v>
      </c>
      <c r="C810" s="6" t="s">
        <v>4414</v>
      </c>
      <c r="D810" s="6" t="s">
        <v>4416</v>
      </c>
      <c r="E810" s="3" t="s">
        <v>54</v>
      </c>
      <c r="F810" s="7">
        <v>42778.0</v>
      </c>
      <c r="G810" s="3" t="s">
        <v>78</v>
      </c>
    </row>
    <row r="811" ht="15.75" customHeight="1">
      <c r="A811" s="6" t="s">
        <v>5956</v>
      </c>
      <c r="B811" s="6" t="s">
        <v>5957</v>
      </c>
      <c r="C811" s="6" t="s">
        <v>4858</v>
      </c>
      <c r="D811" s="6" t="s">
        <v>4859</v>
      </c>
      <c r="E811" s="3" t="s">
        <v>54</v>
      </c>
      <c r="F811" s="7">
        <v>42559.0</v>
      </c>
      <c r="G811" s="3" t="s">
        <v>152</v>
      </c>
    </row>
    <row r="812" ht="15.75" customHeight="1">
      <c r="A812" s="6" t="s">
        <v>5961</v>
      </c>
      <c r="B812" s="6" t="s">
        <v>4524</v>
      </c>
      <c r="C812" s="6" t="s">
        <v>5963</v>
      </c>
      <c r="D812" s="6" t="s">
        <v>5964</v>
      </c>
      <c r="E812" s="3" t="s">
        <v>54</v>
      </c>
      <c r="F812" s="7">
        <v>42910.0</v>
      </c>
      <c r="G812" s="3" t="s">
        <v>128</v>
      </c>
    </row>
    <row r="813" ht="15.75" customHeight="1">
      <c r="A813" s="6" t="s">
        <v>5965</v>
      </c>
      <c r="B813" s="6" t="s">
        <v>5966</v>
      </c>
      <c r="C813" s="6" t="s">
        <v>5967</v>
      </c>
      <c r="D813" s="6" t="s">
        <v>5968</v>
      </c>
      <c r="E813" s="3" t="s">
        <v>54</v>
      </c>
      <c r="F813" s="7">
        <v>42842.0</v>
      </c>
      <c r="G813" s="3" t="s">
        <v>152</v>
      </c>
    </row>
    <row r="814" ht="15.75" customHeight="1">
      <c r="A814" s="6" t="s">
        <v>5969</v>
      </c>
      <c r="B814" s="6" t="s">
        <v>5971</v>
      </c>
      <c r="C814" s="6" t="s">
        <v>5972</v>
      </c>
      <c r="D814" s="6" t="s">
        <v>5974</v>
      </c>
      <c r="E814" s="3" t="s">
        <v>54</v>
      </c>
      <c r="F814" s="7">
        <v>40290.0</v>
      </c>
      <c r="G814" s="3" t="s">
        <v>110</v>
      </c>
    </row>
    <row r="815" ht="15.75" customHeight="1">
      <c r="A815" s="6" t="s">
        <v>5976</v>
      </c>
      <c r="B815" s="6" t="s">
        <v>2044</v>
      </c>
      <c r="C815" s="6" t="s">
        <v>5979</v>
      </c>
      <c r="D815" s="6" t="s">
        <v>5980</v>
      </c>
      <c r="E815" s="3" t="s">
        <v>54</v>
      </c>
      <c r="F815" s="7">
        <v>40304.0</v>
      </c>
      <c r="G815" s="3" t="s">
        <v>152</v>
      </c>
    </row>
    <row r="816" ht="15.75" customHeight="1">
      <c r="A816" s="6" t="s">
        <v>5981</v>
      </c>
      <c r="B816" s="6" t="s">
        <v>3582</v>
      </c>
      <c r="C816" s="6" t="s">
        <v>3593</v>
      </c>
      <c r="D816" s="6" t="s">
        <v>3594</v>
      </c>
      <c r="E816" s="3" t="s">
        <v>54</v>
      </c>
      <c r="F816" s="7">
        <v>41055.0</v>
      </c>
      <c r="G816" s="3" t="s">
        <v>152</v>
      </c>
    </row>
    <row r="817" ht="15.75" customHeight="1">
      <c r="A817" s="6" t="s">
        <v>5982</v>
      </c>
      <c r="B817" s="6" t="s">
        <v>1202</v>
      </c>
      <c r="C817" s="6" t="s">
        <v>1213</v>
      </c>
      <c r="D817" s="6" t="s">
        <v>1215</v>
      </c>
      <c r="E817" s="3" t="s">
        <v>54</v>
      </c>
      <c r="F817" s="7">
        <v>45335.0</v>
      </c>
      <c r="G817" s="3" t="s">
        <v>78</v>
      </c>
    </row>
    <row r="818" ht="15.75" customHeight="1">
      <c r="A818" s="6" t="s">
        <v>5986</v>
      </c>
      <c r="B818" s="6" t="s">
        <v>1964</v>
      </c>
      <c r="C818" s="6" t="s">
        <v>4066</v>
      </c>
      <c r="D818" s="6" t="s">
        <v>4068</v>
      </c>
      <c r="E818" s="3" t="s">
        <v>54</v>
      </c>
      <c r="F818" s="7">
        <v>45173.0</v>
      </c>
      <c r="G818" s="3" t="s">
        <v>110</v>
      </c>
    </row>
    <row r="819" ht="15.75" customHeight="1">
      <c r="A819" s="6" t="s">
        <v>5989</v>
      </c>
      <c r="B819" s="6" t="s">
        <v>2087</v>
      </c>
      <c r="C819" s="6" t="s">
        <v>4489</v>
      </c>
      <c r="D819" s="6" t="s">
        <v>4491</v>
      </c>
      <c r="E819" s="3" t="s">
        <v>54</v>
      </c>
      <c r="F819" s="7">
        <v>45875.0</v>
      </c>
      <c r="G819" s="3" t="s">
        <v>94</v>
      </c>
    </row>
    <row r="820" ht="15.75" customHeight="1">
      <c r="A820" s="6" t="s">
        <v>5990</v>
      </c>
      <c r="B820" s="6" t="s">
        <v>5991</v>
      </c>
      <c r="C820" s="3"/>
      <c r="D820" s="6" t="s">
        <v>5993</v>
      </c>
      <c r="E820" s="3" t="s">
        <v>54</v>
      </c>
      <c r="F820" s="7">
        <v>44733.0</v>
      </c>
      <c r="G820" s="3" t="s">
        <v>128</v>
      </c>
    </row>
    <row r="821" ht="15.75" customHeight="1">
      <c r="A821" s="6" t="s">
        <v>5996</v>
      </c>
      <c r="B821" s="6" t="s">
        <v>5796</v>
      </c>
      <c r="C821" s="6" t="s">
        <v>5804</v>
      </c>
      <c r="D821" s="6" t="s">
        <v>5806</v>
      </c>
      <c r="E821" s="3" t="s">
        <v>47</v>
      </c>
      <c r="F821" s="7">
        <v>45614.0</v>
      </c>
      <c r="G821" s="3" t="s">
        <v>78</v>
      </c>
    </row>
    <row r="822" ht="15.75" customHeight="1">
      <c r="A822" s="6" t="s">
        <v>5998</v>
      </c>
      <c r="B822" s="6" t="s">
        <v>2134</v>
      </c>
      <c r="C822" s="6" t="s">
        <v>5999</v>
      </c>
      <c r="D822" s="6" t="s">
        <v>6001</v>
      </c>
      <c r="E822" s="3" t="s">
        <v>54</v>
      </c>
      <c r="F822" s="7">
        <v>40805.0</v>
      </c>
      <c r="G822" s="3" t="s">
        <v>78</v>
      </c>
    </row>
    <row r="823" ht="15.75" customHeight="1">
      <c r="A823" s="6" t="s">
        <v>6003</v>
      </c>
      <c r="B823" s="6" t="s">
        <v>6004</v>
      </c>
      <c r="C823" s="6" t="s">
        <v>318</v>
      </c>
      <c r="D823" s="6" t="s">
        <v>319</v>
      </c>
      <c r="E823" s="3" t="s">
        <v>38</v>
      </c>
      <c r="F823" s="3"/>
      <c r="G823" s="3" t="s">
        <v>152</v>
      </c>
    </row>
    <row r="824" ht="15.75" customHeight="1">
      <c r="A824" s="6" t="s">
        <v>6008</v>
      </c>
      <c r="B824" s="6" t="s">
        <v>6009</v>
      </c>
      <c r="C824" s="6" t="s">
        <v>6010</v>
      </c>
      <c r="D824" s="6" t="s">
        <v>6011</v>
      </c>
      <c r="E824" s="3" t="s">
        <v>47</v>
      </c>
      <c r="F824" s="7">
        <v>41165.0</v>
      </c>
      <c r="G824" s="3" t="s">
        <v>78</v>
      </c>
    </row>
    <row r="825" ht="15.75" customHeight="1">
      <c r="A825" s="6" t="s">
        <v>6012</v>
      </c>
      <c r="B825" s="6" t="s">
        <v>890</v>
      </c>
      <c r="C825" s="6" t="s">
        <v>207</v>
      </c>
      <c r="D825" s="6" t="s">
        <v>210</v>
      </c>
      <c r="E825" s="3" t="s">
        <v>54</v>
      </c>
      <c r="F825" s="7">
        <v>43011.0</v>
      </c>
      <c r="G825" s="3" t="s">
        <v>78</v>
      </c>
    </row>
    <row r="826" ht="15.75" customHeight="1">
      <c r="A826" s="6" t="s">
        <v>6015</v>
      </c>
      <c r="B826" s="6" t="s">
        <v>6016</v>
      </c>
      <c r="C826" s="6" t="s">
        <v>6017</v>
      </c>
      <c r="D826" s="3"/>
      <c r="E826" s="3" t="s">
        <v>54</v>
      </c>
      <c r="F826" s="7">
        <v>44891.0</v>
      </c>
      <c r="G826" s="3" t="s">
        <v>78</v>
      </c>
    </row>
    <row r="827" ht="15.75" customHeight="1">
      <c r="A827" s="6" t="s">
        <v>6021</v>
      </c>
      <c r="B827" s="6" t="s">
        <v>6022</v>
      </c>
      <c r="C827" s="6" t="s">
        <v>2843</v>
      </c>
      <c r="D827" s="6" t="s">
        <v>2845</v>
      </c>
      <c r="E827" s="3" t="s">
        <v>54</v>
      </c>
      <c r="F827" s="7">
        <v>44658.0</v>
      </c>
      <c r="G827" s="3" t="s">
        <v>110</v>
      </c>
    </row>
    <row r="828" ht="15.75" customHeight="1">
      <c r="A828" s="6" t="s">
        <v>6025</v>
      </c>
      <c r="B828" s="6" t="s">
        <v>2236</v>
      </c>
      <c r="C828" s="6" t="s">
        <v>6026</v>
      </c>
      <c r="D828" s="6" t="s">
        <v>6027</v>
      </c>
      <c r="E828" s="3" t="s">
        <v>54</v>
      </c>
      <c r="F828" s="7">
        <v>43664.0</v>
      </c>
      <c r="G828" s="3" t="s">
        <v>94</v>
      </c>
    </row>
    <row r="829" ht="15.75" customHeight="1">
      <c r="A829" s="6" t="s">
        <v>6029</v>
      </c>
      <c r="B829" s="6" t="s">
        <v>2691</v>
      </c>
      <c r="C829" s="6" t="s">
        <v>5768</v>
      </c>
      <c r="D829" s="3"/>
      <c r="E829" s="3" t="s">
        <v>54</v>
      </c>
      <c r="F829" s="7">
        <v>44739.0</v>
      </c>
      <c r="G829" s="3" t="s">
        <v>94</v>
      </c>
    </row>
    <row r="830" ht="15.75" customHeight="1">
      <c r="A830" s="6" t="s">
        <v>6033</v>
      </c>
      <c r="B830" s="6" t="s">
        <v>4733</v>
      </c>
      <c r="C830" s="6" t="s">
        <v>6034</v>
      </c>
      <c r="D830" s="3"/>
      <c r="E830" s="3" t="s">
        <v>54</v>
      </c>
      <c r="F830" s="7">
        <v>43176.0</v>
      </c>
      <c r="G830" s="3" t="s">
        <v>152</v>
      </c>
    </row>
    <row r="831" ht="15.75" customHeight="1">
      <c r="A831" s="6" t="s">
        <v>6036</v>
      </c>
      <c r="B831" s="6" t="s">
        <v>4536</v>
      </c>
      <c r="C831" s="6" t="s">
        <v>6037</v>
      </c>
      <c r="D831" s="3"/>
      <c r="E831" s="3" t="s">
        <v>54</v>
      </c>
      <c r="F831" s="7">
        <v>40673.0</v>
      </c>
      <c r="G831" s="3" t="s">
        <v>110</v>
      </c>
    </row>
    <row r="832" ht="15.75" customHeight="1">
      <c r="A832" s="6" t="s">
        <v>6039</v>
      </c>
      <c r="B832" s="6" t="s">
        <v>2107</v>
      </c>
      <c r="C832" s="6" t="s">
        <v>6043</v>
      </c>
      <c r="D832" s="6" t="s">
        <v>6044</v>
      </c>
      <c r="E832" s="3" t="s">
        <v>47</v>
      </c>
      <c r="F832" s="7">
        <v>42541.0</v>
      </c>
      <c r="G832" s="3" t="s">
        <v>110</v>
      </c>
    </row>
    <row r="833" ht="15.75" customHeight="1">
      <c r="A833" s="6" t="s">
        <v>6045</v>
      </c>
      <c r="B833" s="6" t="s">
        <v>6046</v>
      </c>
      <c r="C833" s="3"/>
      <c r="D833" s="6" t="s">
        <v>6047</v>
      </c>
      <c r="E833" s="3" t="s">
        <v>47</v>
      </c>
      <c r="F833" s="7">
        <v>43447.0</v>
      </c>
      <c r="G833" s="3" t="s">
        <v>152</v>
      </c>
    </row>
    <row r="834" ht="15.75" customHeight="1">
      <c r="A834" s="6" t="s">
        <v>6049</v>
      </c>
      <c r="B834" s="6" t="s">
        <v>3614</v>
      </c>
      <c r="C834" s="6" t="s">
        <v>6051</v>
      </c>
      <c r="D834" s="6" t="s">
        <v>6052</v>
      </c>
      <c r="E834" s="3" t="s">
        <v>54</v>
      </c>
      <c r="F834" s="7">
        <v>40911.0</v>
      </c>
      <c r="G834" s="3" t="s">
        <v>152</v>
      </c>
    </row>
    <row r="835" ht="15.75" customHeight="1">
      <c r="A835" s="6" t="s">
        <v>6056</v>
      </c>
      <c r="B835" s="6" t="s">
        <v>2131</v>
      </c>
      <c r="C835" s="6" t="s">
        <v>6057</v>
      </c>
      <c r="D835" s="6" t="s">
        <v>6058</v>
      </c>
      <c r="E835" s="3" t="s">
        <v>54</v>
      </c>
      <c r="F835" s="7">
        <v>40925.0</v>
      </c>
      <c r="G835" s="3" t="s">
        <v>78</v>
      </c>
    </row>
    <row r="836" ht="15.75" customHeight="1">
      <c r="A836" s="6" t="s">
        <v>6060</v>
      </c>
      <c r="B836" s="6" t="s">
        <v>2709</v>
      </c>
      <c r="C836" s="6" t="s">
        <v>6061</v>
      </c>
      <c r="D836" s="6" t="s">
        <v>6062</v>
      </c>
      <c r="E836" s="3" t="s">
        <v>54</v>
      </c>
      <c r="F836" s="7">
        <v>44194.0</v>
      </c>
      <c r="G836" s="3" t="s">
        <v>78</v>
      </c>
    </row>
    <row r="837" ht="15.75" customHeight="1">
      <c r="A837" s="6" t="s">
        <v>6063</v>
      </c>
      <c r="B837" s="6" t="s">
        <v>3242</v>
      </c>
      <c r="C837" s="6" t="s">
        <v>6065</v>
      </c>
      <c r="D837" s="3"/>
      <c r="E837" s="3" t="s">
        <v>54</v>
      </c>
      <c r="F837" s="7">
        <v>44367.0</v>
      </c>
      <c r="G837" s="3" t="s">
        <v>152</v>
      </c>
    </row>
    <row r="838" ht="15.75" customHeight="1">
      <c r="A838" s="6" t="s">
        <v>6068</v>
      </c>
      <c r="B838" s="6" t="s">
        <v>1097</v>
      </c>
      <c r="C838" s="6" t="s">
        <v>6069</v>
      </c>
      <c r="D838" s="6" t="s">
        <v>6070</v>
      </c>
      <c r="E838" s="3" t="s">
        <v>54</v>
      </c>
      <c r="F838" s="7">
        <v>41135.0</v>
      </c>
      <c r="G838" s="3" t="s">
        <v>152</v>
      </c>
    </row>
    <row r="839" ht="15.75" customHeight="1">
      <c r="A839" s="6" t="s">
        <v>6071</v>
      </c>
      <c r="B839" s="6" t="s">
        <v>1968</v>
      </c>
      <c r="C839" s="6" t="s">
        <v>6073</v>
      </c>
      <c r="D839" s="6" t="s">
        <v>6078</v>
      </c>
      <c r="E839" s="3" t="s">
        <v>38</v>
      </c>
      <c r="F839" s="3"/>
      <c r="G839" s="3" t="s">
        <v>78</v>
      </c>
    </row>
    <row r="840" ht="15.75" customHeight="1">
      <c r="A840" s="6" t="s">
        <v>6079</v>
      </c>
      <c r="B840" s="6" t="s">
        <v>5432</v>
      </c>
      <c r="C840" s="6" t="s">
        <v>6080</v>
      </c>
      <c r="D840" s="6" t="s">
        <v>6081</v>
      </c>
      <c r="E840" s="3" t="s">
        <v>54</v>
      </c>
      <c r="F840" s="7">
        <v>43931.0</v>
      </c>
      <c r="G840" s="3" t="s">
        <v>78</v>
      </c>
    </row>
    <row r="841" ht="15.75" customHeight="1">
      <c r="A841" s="6" t="s">
        <v>6085</v>
      </c>
      <c r="B841" s="6" t="s">
        <v>2873</v>
      </c>
      <c r="C841" s="6" t="s">
        <v>6086</v>
      </c>
      <c r="D841" s="6" t="s">
        <v>6088</v>
      </c>
      <c r="E841" s="3" t="s">
        <v>54</v>
      </c>
      <c r="F841" s="7">
        <v>42558.0</v>
      </c>
      <c r="G841" s="3" t="s">
        <v>94</v>
      </c>
    </row>
    <row r="842" ht="15.75" customHeight="1">
      <c r="A842" s="6" t="s">
        <v>6090</v>
      </c>
      <c r="B842" s="6" t="s">
        <v>3416</v>
      </c>
      <c r="C842" s="6" t="s">
        <v>6092</v>
      </c>
      <c r="D842" s="6" t="s">
        <v>6093</v>
      </c>
      <c r="E842" s="3" t="s">
        <v>54</v>
      </c>
      <c r="F842" s="7">
        <v>41823.0</v>
      </c>
      <c r="G842" s="3" t="s">
        <v>94</v>
      </c>
    </row>
    <row r="843" ht="15.75" customHeight="1">
      <c r="A843" s="6" t="s">
        <v>6094</v>
      </c>
      <c r="B843" s="6" t="s">
        <v>6095</v>
      </c>
      <c r="C843" s="6" t="s">
        <v>6097</v>
      </c>
      <c r="D843" s="6" t="s">
        <v>6099</v>
      </c>
      <c r="E843" s="3" t="s">
        <v>54</v>
      </c>
      <c r="F843" s="7">
        <v>44768.0</v>
      </c>
      <c r="G843" s="3" t="s">
        <v>152</v>
      </c>
    </row>
    <row r="844" ht="15.75" customHeight="1">
      <c r="A844" s="6" t="s">
        <v>6102</v>
      </c>
      <c r="B844" s="6" t="s">
        <v>1833</v>
      </c>
      <c r="C844" s="6" t="s">
        <v>1843</v>
      </c>
      <c r="D844" s="6" t="s">
        <v>1845</v>
      </c>
      <c r="E844" s="3" t="s">
        <v>54</v>
      </c>
      <c r="F844" s="7">
        <v>45675.0</v>
      </c>
      <c r="G844" s="3" t="s">
        <v>152</v>
      </c>
    </row>
    <row r="845" ht="15.75" customHeight="1">
      <c r="A845" s="6" t="s">
        <v>6105</v>
      </c>
      <c r="B845" s="6" t="s">
        <v>6106</v>
      </c>
      <c r="C845" s="6" t="s">
        <v>5951</v>
      </c>
      <c r="D845" s="6" t="s">
        <v>5952</v>
      </c>
      <c r="E845" s="3" t="s">
        <v>54</v>
      </c>
      <c r="F845" s="7">
        <v>43962.0</v>
      </c>
      <c r="G845" s="3" t="s">
        <v>94</v>
      </c>
    </row>
    <row r="846" ht="15.75" customHeight="1">
      <c r="A846" s="6" t="s">
        <v>6108</v>
      </c>
      <c r="B846" s="6" t="s">
        <v>1947</v>
      </c>
      <c r="C846" s="6" t="s">
        <v>1959</v>
      </c>
      <c r="D846" s="6" t="s">
        <v>1961</v>
      </c>
      <c r="E846" s="3" t="s">
        <v>38</v>
      </c>
      <c r="F846" s="3"/>
      <c r="G846" s="3" t="s">
        <v>152</v>
      </c>
    </row>
    <row r="847" ht="15.75" customHeight="1">
      <c r="A847" s="6" t="s">
        <v>6113</v>
      </c>
      <c r="B847" s="6" t="s">
        <v>6114</v>
      </c>
      <c r="C847" s="6" t="s">
        <v>6115</v>
      </c>
      <c r="D847" s="6" t="s">
        <v>6116</v>
      </c>
      <c r="E847" s="3" t="s">
        <v>38</v>
      </c>
      <c r="F847" s="3"/>
      <c r="G847" s="3" t="s">
        <v>78</v>
      </c>
    </row>
    <row r="848" ht="15.75" customHeight="1">
      <c r="A848" s="6" t="s">
        <v>6117</v>
      </c>
      <c r="B848" s="6" t="s">
        <v>3732</v>
      </c>
      <c r="C848" s="6" t="s">
        <v>3741</v>
      </c>
      <c r="D848" s="6" t="s">
        <v>3743</v>
      </c>
      <c r="E848" s="3" t="s">
        <v>54</v>
      </c>
      <c r="F848" s="7">
        <v>41050.0</v>
      </c>
      <c r="G848" s="3" t="s">
        <v>152</v>
      </c>
    </row>
    <row r="849" ht="15.75" customHeight="1">
      <c r="A849" s="6" t="s">
        <v>6120</v>
      </c>
      <c r="B849" s="6" t="s">
        <v>1629</v>
      </c>
      <c r="C849" s="6" t="s">
        <v>6122</v>
      </c>
      <c r="D849" s="3"/>
      <c r="E849" s="3" t="s">
        <v>47</v>
      </c>
      <c r="F849" s="7">
        <v>43026.0</v>
      </c>
      <c r="G849" s="3" t="s">
        <v>94</v>
      </c>
    </row>
    <row r="850" ht="15.75" customHeight="1">
      <c r="A850" s="6" t="s">
        <v>6126</v>
      </c>
      <c r="B850" s="6" t="s">
        <v>2160</v>
      </c>
      <c r="C850" s="6" t="s">
        <v>2171</v>
      </c>
      <c r="D850" s="6" t="s">
        <v>2175</v>
      </c>
      <c r="E850" s="3" t="s">
        <v>54</v>
      </c>
      <c r="F850" s="7">
        <v>42398.0</v>
      </c>
      <c r="G850" s="3" t="s">
        <v>94</v>
      </c>
    </row>
    <row r="851" ht="15.75" customHeight="1">
      <c r="A851" s="6" t="s">
        <v>6127</v>
      </c>
      <c r="B851" s="6" t="s">
        <v>4232</v>
      </c>
      <c r="C851" s="6" t="s">
        <v>6129</v>
      </c>
      <c r="D851" s="6" t="s">
        <v>6130</v>
      </c>
      <c r="E851" s="3" t="s">
        <v>54</v>
      </c>
      <c r="F851" s="7">
        <v>43825.0</v>
      </c>
      <c r="G851" s="3" t="s">
        <v>152</v>
      </c>
    </row>
    <row r="852" ht="15.75" customHeight="1">
      <c r="A852" s="6" t="s">
        <v>6133</v>
      </c>
      <c r="B852" s="6" t="s">
        <v>5759</v>
      </c>
      <c r="C852" s="6" t="s">
        <v>5768</v>
      </c>
      <c r="D852" s="3"/>
      <c r="E852" s="3" t="s">
        <v>54</v>
      </c>
      <c r="F852" s="7">
        <v>41728.0</v>
      </c>
      <c r="G852" s="3" t="s">
        <v>94</v>
      </c>
    </row>
    <row r="853" ht="15.75" customHeight="1">
      <c r="A853" s="6" t="s">
        <v>6134</v>
      </c>
      <c r="B853" s="6" t="s">
        <v>5533</v>
      </c>
      <c r="C853" s="6" t="s">
        <v>6135</v>
      </c>
      <c r="D853" s="6" t="s">
        <v>6136</v>
      </c>
      <c r="E853" s="3" t="s">
        <v>54</v>
      </c>
      <c r="F853" s="7">
        <v>42599.0</v>
      </c>
      <c r="G853" s="3" t="s">
        <v>78</v>
      </c>
    </row>
    <row r="854" ht="15.75" customHeight="1">
      <c r="A854" s="6" t="s">
        <v>6138</v>
      </c>
      <c r="B854" s="6" t="s">
        <v>3070</v>
      </c>
      <c r="C854" s="6" t="s">
        <v>6139</v>
      </c>
      <c r="D854" s="6" t="s">
        <v>6140</v>
      </c>
      <c r="E854" s="3" t="s">
        <v>47</v>
      </c>
      <c r="F854" s="7">
        <v>40599.0</v>
      </c>
      <c r="G854" s="3" t="s">
        <v>128</v>
      </c>
    </row>
    <row r="855" ht="15.75" customHeight="1">
      <c r="A855" s="6" t="s">
        <v>6144</v>
      </c>
      <c r="B855" s="6" t="s">
        <v>6145</v>
      </c>
      <c r="C855" s="6" t="s">
        <v>6146</v>
      </c>
      <c r="D855" s="3"/>
      <c r="E855" s="3" t="s">
        <v>54</v>
      </c>
      <c r="F855" s="7">
        <v>45906.0</v>
      </c>
      <c r="G855" s="3" t="s">
        <v>78</v>
      </c>
    </row>
    <row r="856" ht="15.75" customHeight="1">
      <c r="A856" s="6" t="s">
        <v>6147</v>
      </c>
      <c r="B856" s="6" t="s">
        <v>3587</v>
      </c>
      <c r="C856" s="6" t="s">
        <v>6148</v>
      </c>
      <c r="D856" s="6" t="s">
        <v>6149</v>
      </c>
      <c r="E856" s="3" t="s">
        <v>54</v>
      </c>
      <c r="F856" s="7">
        <v>44793.0</v>
      </c>
      <c r="G856" s="3" t="s">
        <v>94</v>
      </c>
    </row>
    <row r="857" ht="15.75" customHeight="1">
      <c r="A857" s="6" t="s">
        <v>6150</v>
      </c>
      <c r="B857" s="6" t="s">
        <v>1916</v>
      </c>
      <c r="C857" s="6" t="s">
        <v>6151</v>
      </c>
      <c r="D857" s="6" t="s">
        <v>6152</v>
      </c>
      <c r="E857" s="3" t="s">
        <v>54</v>
      </c>
      <c r="F857" s="7">
        <v>44830.0</v>
      </c>
      <c r="G857" s="3" t="s">
        <v>94</v>
      </c>
    </row>
    <row r="858" ht="15.75" customHeight="1">
      <c r="A858" s="6" t="s">
        <v>6155</v>
      </c>
      <c r="B858" s="6" t="s">
        <v>3993</v>
      </c>
      <c r="C858" s="6" t="s">
        <v>6156</v>
      </c>
      <c r="D858" s="6" t="s">
        <v>6157</v>
      </c>
      <c r="E858" s="3" t="s">
        <v>54</v>
      </c>
      <c r="F858" s="7">
        <v>41556.0</v>
      </c>
      <c r="G858" s="3" t="s">
        <v>128</v>
      </c>
    </row>
    <row r="859" ht="15.75" customHeight="1">
      <c r="A859" s="6" t="s">
        <v>6161</v>
      </c>
      <c r="B859" s="6" t="s">
        <v>2620</v>
      </c>
      <c r="C859" s="6" t="s">
        <v>6162</v>
      </c>
      <c r="D859" s="6" t="s">
        <v>6163</v>
      </c>
      <c r="E859" s="3" t="s">
        <v>54</v>
      </c>
      <c r="F859" s="7">
        <v>44682.0</v>
      </c>
      <c r="G859" s="3" t="s">
        <v>94</v>
      </c>
    </row>
    <row r="860" ht="15.75" customHeight="1">
      <c r="A860" s="6" t="s">
        <v>6164</v>
      </c>
      <c r="B860" s="6" t="s">
        <v>1924</v>
      </c>
      <c r="C860" s="6" t="s">
        <v>6167</v>
      </c>
      <c r="D860" s="6" t="s">
        <v>6168</v>
      </c>
      <c r="E860" s="3" t="s">
        <v>54</v>
      </c>
      <c r="F860" s="7">
        <v>43823.0</v>
      </c>
      <c r="G860" s="3" t="s">
        <v>78</v>
      </c>
    </row>
    <row r="861" ht="15.75" customHeight="1">
      <c r="A861" s="6" t="s">
        <v>6170</v>
      </c>
      <c r="B861" s="6" t="s">
        <v>6171</v>
      </c>
      <c r="C861" s="6" t="s">
        <v>1889</v>
      </c>
      <c r="D861" s="6" t="s">
        <v>1892</v>
      </c>
      <c r="E861" s="3" t="s">
        <v>38</v>
      </c>
      <c r="F861" s="3"/>
      <c r="G861" s="3" t="s">
        <v>128</v>
      </c>
    </row>
    <row r="862" ht="15.75" customHeight="1">
      <c r="A862" s="6" t="s">
        <v>6178</v>
      </c>
      <c r="B862" s="6" t="s">
        <v>3207</v>
      </c>
      <c r="C862" s="6" t="s">
        <v>5934</v>
      </c>
      <c r="D862" s="6" t="s">
        <v>5936</v>
      </c>
      <c r="E862" s="3" t="s">
        <v>54</v>
      </c>
      <c r="F862" s="7">
        <v>43971.0</v>
      </c>
      <c r="G862" s="3" t="s">
        <v>110</v>
      </c>
    </row>
    <row r="863" ht="15.75" customHeight="1">
      <c r="A863" s="6" t="s">
        <v>6181</v>
      </c>
      <c r="B863" s="6" t="s">
        <v>1911</v>
      </c>
      <c r="C863" s="6" t="s">
        <v>6183</v>
      </c>
      <c r="D863" s="6" t="s">
        <v>6184</v>
      </c>
      <c r="E863" s="3" t="s">
        <v>38</v>
      </c>
      <c r="F863" s="3"/>
      <c r="G863" s="3" t="s">
        <v>128</v>
      </c>
    </row>
    <row r="864" ht="15.75" customHeight="1">
      <c r="A864" s="6" t="s">
        <v>6187</v>
      </c>
      <c r="B864" s="6" t="s">
        <v>2167</v>
      </c>
      <c r="C864" s="6" t="s">
        <v>6189</v>
      </c>
      <c r="D864" s="6" t="s">
        <v>6190</v>
      </c>
      <c r="E864" s="3" t="s">
        <v>54</v>
      </c>
      <c r="F864" s="7">
        <v>44908.0</v>
      </c>
      <c r="G864" s="3" t="s">
        <v>94</v>
      </c>
    </row>
    <row r="865" ht="15.75" customHeight="1">
      <c r="A865" s="6" t="s">
        <v>6191</v>
      </c>
      <c r="B865" s="6" t="s">
        <v>5743</v>
      </c>
      <c r="C865" s="6" t="s">
        <v>5753</v>
      </c>
      <c r="D865" s="6" t="s">
        <v>5754</v>
      </c>
      <c r="E865" s="3" t="s">
        <v>47</v>
      </c>
      <c r="F865" s="7">
        <v>42149.0</v>
      </c>
      <c r="G865" s="3" t="s">
        <v>110</v>
      </c>
    </row>
    <row r="866" ht="15.75" customHeight="1">
      <c r="A866" s="6" t="s">
        <v>6195</v>
      </c>
      <c r="B866" s="6" t="s">
        <v>6196</v>
      </c>
      <c r="C866" s="6" t="s">
        <v>6199</v>
      </c>
      <c r="D866" s="6" t="s">
        <v>6201</v>
      </c>
      <c r="E866" s="3" t="s">
        <v>54</v>
      </c>
      <c r="F866" s="7">
        <v>44050.0</v>
      </c>
      <c r="G866" s="3" t="s">
        <v>110</v>
      </c>
    </row>
    <row r="867" ht="15.75" customHeight="1">
      <c r="A867" s="6" t="s">
        <v>6204</v>
      </c>
      <c r="B867" s="6" t="s">
        <v>6206</v>
      </c>
      <c r="C867" s="6" t="s">
        <v>6207</v>
      </c>
      <c r="D867" s="6" t="s">
        <v>6208</v>
      </c>
      <c r="E867" s="3" t="s">
        <v>47</v>
      </c>
      <c r="F867" s="7">
        <v>45823.0</v>
      </c>
      <c r="G867" s="3" t="s">
        <v>152</v>
      </c>
    </row>
    <row r="868" ht="15.75" customHeight="1">
      <c r="A868" s="6" t="s">
        <v>6209</v>
      </c>
      <c r="B868" s="6" t="s">
        <v>2583</v>
      </c>
      <c r="C868" s="6" t="s">
        <v>2928</v>
      </c>
      <c r="D868" s="6" t="s">
        <v>2932</v>
      </c>
      <c r="E868" s="3" t="s">
        <v>54</v>
      </c>
      <c r="F868" s="7">
        <v>44410.0</v>
      </c>
      <c r="G868" s="3" t="s">
        <v>128</v>
      </c>
    </row>
    <row r="869" ht="15.75" customHeight="1">
      <c r="A869" s="6" t="s">
        <v>6214</v>
      </c>
      <c r="B869" s="6" t="s">
        <v>6215</v>
      </c>
      <c r="C869" s="6" t="s">
        <v>6216</v>
      </c>
      <c r="D869" s="3"/>
      <c r="E869" s="3" t="s">
        <v>54</v>
      </c>
      <c r="F869" s="7">
        <v>44772.0</v>
      </c>
      <c r="G869" s="3" t="s">
        <v>152</v>
      </c>
    </row>
    <row r="870" ht="15.75" customHeight="1">
      <c r="A870" s="6" t="s">
        <v>6218</v>
      </c>
      <c r="B870" s="6" t="s">
        <v>6220</v>
      </c>
      <c r="C870" s="6" t="s">
        <v>6221</v>
      </c>
      <c r="D870" s="6" t="s">
        <v>6222</v>
      </c>
      <c r="E870" s="3" t="s">
        <v>54</v>
      </c>
      <c r="F870" s="7">
        <v>41009.0</v>
      </c>
      <c r="G870" s="3" t="s">
        <v>128</v>
      </c>
    </row>
    <row r="871" ht="15.75" customHeight="1">
      <c r="A871" s="6" t="s">
        <v>6227</v>
      </c>
      <c r="B871" s="6" t="s">
        <v>4098</v>
      </c>
      <c r="C871" s="6" t="s">
        <v>6228</v>
      </c>
      <c r="D871" s="6" t="s">
        <v>6229</v>
      </c>
      <c r="E871" s="3" t="s">
        <v>54</v>
      </c>
      <c r="F871" s="7">
        <v>44921.0</v>
      </c>
      <c r="G871" s="3" t="s">
        <v>78</v>
      </c>
    </row>
    <row r="872" ht="15.75" customHeight="1">
      <c r="A872" s="6" t="s">
        <v>6231</v>
      </c>
      <c r="B872" s="6" t="s">
        <v>3473</v>
      </c>
      <c r="C872" s="6" t="s">
        <v>3951</v>
      </c>
      <c r="D872" s="6" t="s">
        <v>3953</v>
      </c>
      <c r="E872" s="3" t="s">
        <v>54</v>
      </c>
      <c r="F872" s="7">
        <v>42624.0</v>
      </c>
      <c r="G872" s="3" t="s">
        <v>78</v>
      </c>
    </row>
    <row r="873" ht="15.75" customHeight="1">
      <c r="A873" s="6" t="s">
        <v>6234</v>
      </c>
      <c r="B873" s="6" t="s">
        <v>6235</v>
      </c>
      <c r="C873" s="6" t="s">
        <v>6237</v>
      </c>
      <c r="D873" s="6" t="s">
        <v>6240</v>
      </c>
      <c r="E873" s="3" t="s">
        <v>54</v>
      </c>
      <c r="F873" s="7">
        <v>40869.0</v>
      </c>
      <c r="G873" s="3" t="s">
        <v>128</v>
      </c>
    </row>
    <row r="874" ht="15.75" customHeight="1">
      <c r="A874" s="6" t="s">
        <v>6242</v>
      </c>
      <c r="B874" s="6" t="s">
        <v>3155</v>
      </c>
      <c r="C874" s="6" t="s">
        <v>3163</v>
      </c>
      <c r="D874" s="6" t="s">
        <v>3164</v>
      </c>
      <c r="E874" s="3" t="s">
        <v>54</v>
      </c>
      <c r="F874" s="7">
        <v>41769.0</v>
      </c>
      <c r="G874" s="3" t="s">
        <v>152</v>
      </c>
    </row>
    <row r="875" ht="15.75" customHeight="1">
      <c r="A875" s="6" t="s">
        <v>6244</v>
      </c>
      <c r="B875" s="6" t="s">
        <v>1351</v>
      </c>
      <c r="C875" s="6" t="s">
        <v>6246</v>
      </c>
      <c r="D875" s="6" t="s">
        <v>6247</v>
      </c>
      <c r="E875" s="3" t="s">
        <v>54</v>
      </c>
      <c r="F875" s="7">
        <v>40418.0</v>
      </c>
      <c r="G875" s="3" t="s">
        <v>110</v>
      </c>
    </row>
    <row r="876" ht="15.75" customHeight="1">
      <c r="A876" s="6" t="s">
        <v>6252</v>
      </c>
      <c r="B876" s="6" t="s">
        <v>2268</v>
      </c>
      <c r="C876" s="6" t="s">
        <v>2278</v>
      </c>
      <c r="D876" s="6" t="s">
        <v>2281</v>
      </c>
      <c r="E876" s="3" t="s">
        <v>54</v>
      </c>
      <c r="F876" s="7">
        <v>43844.0</v>
      </c>
      <c r="G876" s="3" t="s">
        <v>128</v>
      </c>
    </row>
    <row r="877" ht="15.75" customHeight="1">
      <c r="A877" s="6" t="s">
        <v>6255</v>
      </c>
      <c r="B877" s="6" t="s">
        <v>1990</v>
      </c>
      <c r="C877" s="6" t="s">
        <v>5317</v>
      </c>
      <c r="D877" s="6" t="s">
        <v>5319</v>
      </c>
      <c r="E877" s="3" t="s">
        <v>54</v>
      </c>
      <c r="F877" s="7">
        <v>44526.0</v>
      </c>
      <c r="G877" s="3" t="s">
        <v>152</v>
      </c>
    </row>
    <row r="878" ht="15.75" customHeight="1">
      <c r="A878" s="6" t="s">
        <v>6261</v>
      </c>
      <c r="B878" s="6" t="s">
        <v>3545</v>
      </c>
      <c r="C878" s="6" t="s">
        <v>3557</v>
      </c>
      <c r="D878" s="6" t="s">
        <v>3558</v>
      </c>
      <c r="E878" s="3" t="s">
        <v>54</v>
      </c>
      <c r="F878" s="7">
        <v>41928.0</v>
      </c>
      <c r="G878" s="3" t="s">
        <v>78</v>
      </c>
    </row>
    <row r="879" ht="15.75" customHeight="1">
      <c r="A879" s="6" t="s">
        <v>6265</v>
      </c>
      <c r="B879" s="6" t="s">
        <v>6267</v>
      </c>
      <c r="C879" s="6" t="s">
        <v>6269</v>
      </c>
      <c r="D879" s="6" t="s">
        <v>6270</v>
      </c>
      <c r="E879" s="3" t="s">
        <v>54</v>
      </c>
      <c r="F879" s="7">
        <v>44178.0</v>
      </c>
      <c r="G879" s="3" t="s">
        <v>152</v>
      </c>
    </row>
    <row r="880" ht="15.75" customHeight="1">
      <c r="A880" s="6" t="s">
        <v>6272</v>
      </c>
      <c r="B880" s="6" t="s">
        <v>3221</v>
      </c>
      <c r="C880" s="3"/>
      <c r="D880" s="6" t="s">
        <v>6273</v>
      </c>
      <c r="E880" s="3" t="s">
        <v>47</v>
      </c>
      <c r="F880" s="7">
        <v>43786.0</v>
      </c>
      <c r="G880" s="3" t="s">
        <v>128</v>
      </c>
    </row>
    <row r="881" ht="15.75" customHeight="1">
      <c r="A881" s="6" t="s">
        <v>6275</v>
      </c>
      <c r="B881" s="6" t="s">
        <v>2034</v>
      </c>
      <c r="C881" s="3"/>
      <c r="D881" s="6" t="s">
        <v>2050</v>
      </c>
      <c r="E881" s="3" t="s">
        <v>38</v>
      </c>
      <c r="F881" s="3"/>
      <c r="G881" s="3" t="s">
        <v>110</v>
      </c>
    </row>
    <row r="882" ht="15.75" customHeight="1">
      <c r="A882" s="6" t="s">
        <v>6280</v>
      </c>
      <c r="B882" s="6" t="s">
        <v>6282</v>
      </c>
      <c r="C882" s="3"/>
      <c r="D882" s="6" t="s">
        <v>6283</v>
      </c>
      <c r="E882" s="3" t="s">
        <v>54</v>
      </c>
      <c r="F882" s="7">
        <v>42637.0</v>
      </c>
      <c r="G882" s="3" t="s">
        <v>110</v>
      </c>
    </row>
    <row r="883" ht="15.75" customHeight="1">
      <c r="A883" s="6" t="s">
        <v>6284</v>
      </c>
      <c r="B883" s="6" t="s">
        <v>2580</v>
      </c>
      <c r="C883" s="6" t="s">
        <v>3243</v>
      </c>
      <c r="D883" s="6" t="s">
        <v>3244</v>
      </c>
      <c r="E883" s="3" t="s">
        <v>54</v>
      </c>
      <c r="F883" s="7">
        <v>40893.0</v>
      </c>
      <c r="G883" s="3" t="s">
        <v>94</v>
      </c>
    </row>
    <row r="884" ht="15.75" customHeight="1">
      <c r="A884" s="6" t="s">
        <v>6288</v>
      </c>
      <c r="B884" s="6" t="s">
        <v>6291</v>
      </c>
      <c r="C884" s="6" t="s">
        <v>6292</v>
      </c>
      <c r="D884" s="6" t="s">
        <v>6293</v>
      </c>
      <c r="E884" s="3" t="s">
        <v>54</v>
      </c>
      <c r="F884" s="7">
        <v>41957.0</v>
      </c>
      <c r="G884" s="3" t="s">
        <v>128</v>
      </c>
    </row>
    <row r="885" ht="15.75" customHeight="1">
      <c r="A885" s="6" t="s">
        <v>6296</v>
      </c>
      <c r="B885" s="6" t="s">
        <v>657</v>
      </c>
      <c r="C885" s="6" t="s">
        <v>668</v>
      </c>
      <c r="D885" s="6" t="s">
        <v>669</v>
      </c>
      <c r="E885" s="3" t="s">
        <v>54</v>
      </c>
      <c r="F885" s="7">
        <v>41938.0</v>
      </c>
      <c r="G885" s="3" t="s">
        <v>78</v>
      </c>
    </row>
    <row r="886" ht="15.75" customHeight="1">
      <c r="A886" s="6" t="s">
        <v>6301</v>
      </c>
      <c r="B886" s="6" t="s">
        <v>6083</v>
      </c>
      <c r="C886" s="6" t="s">
        <v>6189</v>
      </c>
      <c r="D886" s="6" t="s">
        <v>6190</v>
      </c>
      <c r="E886" s="3" t="s">
        <v>54</v>
      </c>
      <c r="F886" s="7">
        <v>42341.0</v>
      </c>
      <c r="G886" s="3" t="s">
        <v>128</v>
      </c>
    </row>
    <row r="887" ht="15.75" customHeight="1">
      <c r="A887" s="6" t="s">
        <v>6304</v>
      </c>
      <c r="B887" s="6" t="s">
        <v>57</v>
      </c>
      <c r="C887" s="6" t="s">
        <v>84</v>
      </c>
      <c r="D887" s="3"/>
      <c r="E887" s="3" t="s">
        <v>54</v>
      </c>
      <c r="F887" s="7">
        <v>42969.0</v>
      </c>
      <c r="G887" s="3" t="s">
        <v>94</v>
      </c>
    </row>
    <row r="888" ht="15.75" customHeight="1">
      <c r="A888" s="6" t="s">
        <v>6309</v>
      </c>
      <c r="B888" s="6" t="s">
        <v>2667</v>
      </c>
      <c r="C888" s="6" t="s">
        <v>2678</v>
      </c>
      <c r="D888" s="3"/>
      <c r="E888" s="3" t="s">
        <v>54</v>
      </c>
      <c r="F888" s="7">
        <v>45005.0</v>
      </c>
      <c r="G888" s="3" t="s">
        <v>94</v>
      </c>
    </row>
    <row r="889" ht="15.75" customHeight="1">
      <c r="A889" s="6" t="s">
        <v>6312</v>
      </c>
      <c r="B889" s="6" t="s">
        <v>6314</v>
      </c>
      <c r="C889" s="6" t="s">
        <v>6315</v>
      </c>
      <c r="D889" s="6" t="s">
        <v>6316</v>
      </c>
      <c r="E889" s="3" t="s">
        <v>54</v>
      </c>
      <c r="F889" s="7">
        <v>44390.0</v>
      </c>
      <c r="G889" s="3" t="s">
        <v>152</v>
      </c>
    </row>
    <row r="890" ht="15.75" customHeight="1">
      <c r="A890" s="6" t="s">
        <v>6317</v>
      </c>
      <c r="B890" s="6" t="s">
        <v>1362</v>
      </c>
      <c r="C890" s="6" t="s">
        <v>6318</v>
      </c>
      <c r="D890" s="6" t="s">
        <v>6319</v>
      </c>
      <c r="E890" s="3" t="s">
        <v>54</v>
      </c>
      <c r="F890" s="7">
        <v>42460.0</v>
      </c>
      <c r="G890" s="3" t="s">
        <v>128</v>
      </c>
    </row>
    <row r="891" ht="15.75" customHeight="1">
      <c r="A891" s="6" t="s">
        <v>6322</v>
      </c>
      <c r="B891" s="6" t="s">
        <v>6324</v>
      </c>
      <c r="C891" s="6" t="s">
        <v>6326</v>
      </c>
      <c r="D891" s="6" t="s">
        <v>6327</v>
      </c>
      <c r="E891" s="3" t="s">
        <v>38</v>
      </c>
      <c r="F891" s="3"/>
      <c r="G891" s="3" t="s">
        <v>128</v>
      </c>
    </row>
    <row r="892" ht="15.75" customHeight="1">
      <c r="A892" s="6" t="s">
        <v>6329</v>
      </c>
      <c r="B892" s="6" t="s">
        <v>2477</v>
      </c>
      <c r="C892" s="3"/>
      <c r="D892" s="6" t="s">
        <v>6330</v>
      </c>
      <c r="E892" s="3" t="s">
        <v>54</v>
      </c>
      <c r="F892" s="7">
        <v>44612.0</v>
      </c>
      <c r="G892" s="3" t="s">
        <v>94</v>
      </c>
    </row>
    <row r="893" ht="15.75" customHeight="1">
      <c r="A893" s="6" t="s">
        <v>6335</v>
      </c>
      <c r="B893" s="6" t="s">
        <v>4787</v>
      </c>
      <c r="C893" s="6" t="s">
        <v>6337</v>
      </c>
      <c r="D893" s="6" t="s">
        <v>6338</v>
      </c>
      <c r="E893" s="3" t="s">
        <v>38</v>
      </c>
      <c r="F893" s="3"/>
      <c r="G893" s="3" t="s">
        <v>110</v>
      </c>
    </row>
    <row r="894" ht="15.75" customHeight="1">
      <c r="A894" s="6" t="s">
        <v>6340</v>
      </c>
      <c r="B894" s="6" t="s">
        <v>4490</v>
      </c>
      <c r="C894" s="6" t="s">
        <v>6341</v>
      </c>
      <c r="D894" s="6" t="s">
        <v>6344</v>
      </c>
      <c r="E894" s="3" t="s">
        <v>54</v>
      </c>
      <c r="F894" s="7">
        <v>42695.0</v>
      </c>
      <c r="G894" s="3" t="s">
        <v>128</v>
      </c>
    </row>
    <row r="895" ht="15.75" customHeight="1">
      <c r="A895" s="6" t="s">
        <v>6349</v>
      </c>
      <c r="B895" s="6" t="s">
        <v>2284</v>
      </c>
      <c r="C895" s="6" t="s">
        <v>6350</v>
      </c>
      <c r="D895" s="6" t="s">
        <v>6351</v>
      </c>
      <c r="E895" s="3" t="s">
        <v>38</v>
      </c>
      <c r="F895" s="3"/>
      <c r="G895" s="3" t="s">
        <v>152</v>
      </c>
    </row>
    <row r="896" ht="15.75" customHeight="1">
      <c r="A896" s="6" t="s">
        <v>6355</v>
      </c>
      <c r="B896" s="6" t="s">
        <v>6357</v>
      </c>
      <c r="C896" s="6" t="s">
        <v>6358</v>
      </c>
      <c r="D896" s="6" t="s">
        <v>6360</v>
      </c>
      <c r="E896" s="3" t="s">
        <v>54</v>
      </c>
      <c r="F896" s="7">
        <v>44226.0</v>
      </c>
      <c r="G896" s="3" t="s">
        <v>152</v>
      </c>
    </row>
    <row r="897" ht="15.75" customHeight="1">
      <c r="A897" s="6" t="s">
        <v>6361</v>
      </c>
      <c r="B897" s="6" t="s">
        <v>4927</v>
      </c>
      <c r="C897" s="6" t="s">
        <v>6362</v>
      </c>
      <c r="D897" s="6" t="s">
        <v>6364</v>
      </c>
      <c r="E897" s="3" t="s">
        <v>54</v>
      </c>
      <c r="F897" s="7">
        <v>45700.0</v>
      </c>
      <c r="G897" s="3" t="s">
        <v>152</v>
      </c>
    </row>
    <row r="898" ht="15.75" customHeight="1">
      <c r="A898" s="6" t="s">
        <v>6366</v>
      </c>
      <c r="B898" s="6" t="s">
        <v>893</v>
      </c>
      <c r="C898" s="6" t="s">
        <v>4739</v>
      </c>
      <c r="D898" s="6" t="s">
        <v>4741</v>
      </c>
      <c r="E898" s="3" t="s">
        <v>54</v>
      </c>
      <c r="F898" s="7">
        <v>44720.0</v>
      </c>
      <c r="G898" s="3" t="s">
        <v>152</v>
      </c>
    </row>
    <row r="899" ht="15.75" customHeight="1">
      <c r="A899" s="6" t="s">
        <v>6371</v>
      </c>
      <c r="B899" s="6" t="s">
        <v>5856</v>
      </c>
      <c r="C899" s="6" t="s">
        <v>6372</v>
      </c>
      <c r="D899" s="6" t="s">
        <v>6373</v>
      </c>
      <c r="E899" s="3" t="s">
        <v>47</v>
      </c>
      <c r="F899" s="7">
        <v>42473.0</v>
      </c>
      <c r="G899" s="3" t="s">
        <v>152</v>
      </c>
    </row>
    <row r="900" ht="15.75" customHeight="1">
      <c r="A900" s="6" t="s">
        <v>6375</v>
      </c>
      <c r="B900" s="6" t="s">
        <v>6376</v>
      </c>
      <c r="C900" s="3"/>
      <c r="D900" s="6" t="s">
        <v>6378</v>
      </c>
      <c r="E900" s="3" t="s">
        <v>54</v>
      </c>
      <c r="F900" s="7">
        <v>42627.0</v>
      </c>
      <c r="G900" s="3" t="s">
        <v>78</v>
      </c>
    </row>
    <row r="901" ht="15.75" customHeight="1">
      <c r="A901" s="6" t="s">
        <v>6382</v>
      </c>
      <c r="B901" s="6" t="s">
        <v>212</v>
      </c>
      <c r="C901" s="6" t="s">
        <v>228</v>
      </c>
      <c r="D901" s="6" t="s">
        <v>230</v>
      </c>
      <c r="E901" s="3" t="s">
        <v>54</v>
      </c>
      <c r="F901" s="7">
        <v>41458.0</v>
      </c>
      <c r="G901" s="3" t="s">
        <v>94</v>
      </c>
    </row>
    <row r="902" ht="15.75" customHeight="1">
      <c r="A902" s="6" t="s">
        <v>6384</v>
      </c>
      <c r="B902" s="6" t="s">
        <v>2549</v>
      </c>
      <c r="C902" s="6" t="s">
        <v>2560</v>
      </c>
      <c r="D902" s="6" t="s">
        <v>2562</v>
      </c>
      <c r="E902" s="3" t="s">
        <v>54</v>
      </c>
      <c r="F902" s="7">
        <v>44580.0</v>
      </c>
      <c r="G902" s="3" t="s">
        <v>110</v>
      </c>
    </row>
    <row r="903" ht="15.75" customHeight="1">
      <c r="A903" s="6" t="s">
        <v>6390</v>
      </c>
      <c r="B903" s="6" t="s">
        <v>940</v>
      </c>
      <c r="C903" s="6" t="s">
        <v>6392</v>
      </c>
      <c r="D903" s="6" t="s">
        <v>6393</v>
      </c>
      <c r="E903" s="3" t="s">
        <v>54</v>
      </c>
      <c r="F903" s="7">
        <v>42920.0</v>
      </c>
      <c r="G903" s="3" t="s">
        <v>110</v>
      </c>
    </row>
    <row r="904" ht="15.75" customHeight="1">
      <c r="A904" s="6" t="s">
        <v>6395</v>
      </c>
      <c r="B904" s="6" t="s">
        <v>6396</v>
      </c>
      <c r="C904" s="6" t="s">
        <v>6397</v>
      </c>
      <c r="D904" s="6" t="s">
        <v>6398</v>
      </c>
      <c r="E904" s="3" t="s">
        <v>54</v>
      </c>
      <c r="F904" s="7">
        <v>43961.0</v>
      </c>
      <c r="G904" s="3" t="s">
        <v>78</v>
      </c>
    </row>
    <row r="905" ht="15.75" customHeight="1">
      <c r="A905" s="6" t="s">
        <v>6402</v>
      </c>
      <c r="B905" s="6" t="s">
        <v>993</v>
      </c>
      <c r="C905" s="6" t="s">
        <v>1370</v>
      </c>
      <c r="D905" s="6" t="s">
        <v>1373</v>
      </c>
      <c r="E905" s="3" t="s">
        <v>54</v>
      </c>
      <c r="F905" s="7">
        <v>43348.0</v>
      </c>
      <c r="G905" s="3" t="s">
        <v>152</v>
      </c>
    </row>
    <row r="906" ht="15.75" customHeight="1">
      <c r="A906" s="6" t="s">
        <v>6404</v>
      </c>
      <c r="B906" s="6" t="s">
        <v>6067</v>
      </c>
      <c r="C906" s="6" t="s">
        <v>6406</v>
      </c>
      <c r="D906" s="6" t="s">
        <v>6407</v>
      </c>
      <c r="E906" s="3" t="s">
        <v>54</v>
      </c>
      <c r="F906" s="7">
        <v>42623.0</v>
      </c>
      <c r="G906" s="3" t="s">
        <v>78</v>
      </c>
    </row>
    <row r="907" ht="15.75" customHeight="1">
      <c r="A907" s="6" t="s">
        <v>6412</v>
      </c>
      <c r="B907" s="6" t="s">
        <v>6414</v>
      </c>
      <c r="C907" s="6" t="s">
        <v>6415</v>
      </c>
      <c r="D907" s="6" t="s">
        <v>6417</v>
      </c>
      <c r="E907" s="3" t="s">
        <v>54</v>
      </c>
      <c r="F907" s="7">
        <v>40874.0</v>
      </c>
      <c r="G907" s="3" t="s">
        <v>110</v>
      </c>
    </row>
    <row r="908" ht="15.75" customHeight="1">
      <c r="A908" s="6" t="s">
        <v>6418</v>
      </c>
      <c r="B908" s="6" t="s">
        <v>2978</v>
      </c>
      <c r="C908" s="3"/>
      <c r="D908" s="3"/>
      <c r="E908" s="3" t="s">
        <v>54</v>
      </c>
      <c r="F908" s="7">
        <v>40862.0</v>
      </c>
      <c r="G908" s="3" t="s">
        <v>78</v>
      </c>
    </row>
    <row r="909" ht="15.75" customHeight="1">
      <c r="A909" s="6" t="s">
        <v>6421</v>
      </c>
      <c r="B909" s="6" t="s">
        <v>6422</v>
      </c>
      <c r="C909" s="6" t="s">
        <v>6424</v>
      </c>
      <c r="D909" s="6" t="s">
        <v>6426</v>
      </c>
      <c r="E909" s="3" t="s">
        <v>54</v>
      </c>
      <c r="F909" s="7">
        <v>41002.0</v>
      </c>
      <c r="G909" s="3" t="s">
        <v>110</v>
      </c>
    </row>
    <row r="910" ht="15.75" customHeight="1">
      <c r="A910" s="6" t="s">
        <v>6429</v>
      </c>
      <c r="B910" s="6" t="s">
        <v>759</v>
      </c>
      <c r="C910" s="6" t="s">
        <v>6430</v>
      </c>
      <c r="D910" s="6" t="s">
        <v>6431</v>
      </c>
      <c r="E910" s="3" t="s">
        <v>54</v>
      </c>
      <c r="F910" s="7">
        <v>41118.0</v>
      </c>
      <c r="G910" s="3" t="s">
        <v>128</v>
      </c>
    </row>
    <row r="911" ht="15.75" customHeight="1">
      <c r="A911" s="6" t="s">
        <v>6433</v>
      </c>
      <c r="B911" s="6" t="s">
        <v>1297</v>
      </c>
      <c r="C911" s="6" t="s">
        <v>6435</v>
      </c>
      <c r="D911" s="6" t="s">
        <v>6436</v>
      </c>
      <c r="E911" s="3" t="s">
        <v>54</v>
      </c>
      <c r="F911" s="7">
        <v>43533.0</v>
      </c>
      <c r="G911" s="3" t="s">
        <v>78</v>
      </c>
    </row>
    <row r="912" ht="15.75" customHeight="1">
      <c r="A912" s="6" t="s">
        <v>6440</v>
      </c>
      <c r="B912" s="6" t="s">
        <v>1147</v>
      </c>
      <c r="C912" s="6" t="s">
        <v>6442</v>
      </c>
      <c r="D912" s="6" t="s">
        <v>6443</v>
      </c>
      <c r="E912" s="3" t="s">
        <v>54</v>
      </c>
      <c r="F912" s="7">
        <v>41008.0</v>
      </c>
      <c r="G912" s="3" t="s">
        <v>152</v>
      </c>
    </row>
    <row r="913" ht="15.75" customHeight="1">
      <c r="A913" s="6" t="s">
        <v>6445</v>
      </c>
      <c r="B913" s="6" t="s">
        <v>4062</v>
      </c>
      <c r="C913" s="6" t="s">
        <v>6448</v>
      </c>
      <c r="D913" s="6" t="s">
        <v>6450</v>
      </c>
      <c r="E913" s="3" t="s">
        <v>47</v>
      </c>
      <c r="F913" s="7">
        <v>43454.0</v>
      </c>
      <c r="G913" s="3" t="s">
        <v>94</v>
      </c>
    </row>
    <row r="914" ht="15.75" customHeight="1">
      <c r="A914" s="6" t="s">
        <v>6452</v>
      </c>
      <c r="B914" s="6" t="s">
        <v>6453</v>
      </c>
      <c r="C914" s="6" t="s">
        <v>6454</v>
      </c>
      <c r="D914" s="6" t="s">
        <v>6455</v>
      </c>
      <c r="E914" s="3" t="s">
        <v>54</v>
      </c>
      <c r="F914" s="7">
        <v>41662.0</v>
      </c>
      <c r="G914" s="3" t="s">
        <v>78</v>
      </c>
    </row>
    <row r="915" ht="15.75" customHeight="1">
      <c r="A915" s="6" t="s">
        <v>6459</v>
      </c>
      <c r="B915" s="6" t="s">
        <v>6461</v>
      </c>
      <c r="C915" s="6" t="s">
        <v>6463</v>
      </c>
      <c r="D915" s="6" t="s">
        <v>6464</v>
      </c>
      <c r="E915" s="3" t="s">
        <v>54</v>
      </c>
      <c r="F915" s="7">
        <v>44020.0</v>
      </c>
      <c r="G915" s="3" t="s">
        <v>128</v>
      </c>
    </row>
    <row r="916" ht="15.75" customHeight="1">
      <c r="A916" s="6" t="s">
        <v>6465</v>
      </c>
      <c r="B916" s="6" t="s">
        <v>1371</v>
      </c>
      <c r="C916" s="3"/>
      <c r="D916" s="6" t="s">
        <v>6467</v>
      </c>
      <c r="E916" s="3" t="s">
        <v>54</v>
      </c>
      <c r="F916" s="7">
        <v>43289.0</v>
      </c>
      <c r="G916" s="3" t="s">
        <v>128</v>
      </c>
    </row>
    <row r="917" ht="15.75" customHeight="1">
      <c r="A917" s="6" t="s">
        <v>6473</v>
      </c>
      <c r="B917" s="6" t="s">
        <v>6475</v>
      </c>
      <c r="C917" s="6" t="s">
        <v>6476</v>
      </c>
      <c r="D917" s="6" t="s">
        <v>6477</v>
      </c>
      <c r="E917" s="3" t="s">
        <v>38</v>
      </c>
      <c r="F917" s="3"/>
      <c r="G917" s="3" t="s">
        <v>128</v>
      </c>
    </row>
    <row r="918" ht="15.75" customHeight="1">
      <c r="A918" s="6" t="s">
        <v>6480</v>
      </c>
      <c r="B918" s="6" t="s">
        <v>1648</v>
      </c>
      <c r="C918" s="6" t="s">
        <v>5686</v>
      </c>
      <c r="D918" s="6" t="s">
        <v>5689</v>
      </c>
      <c r="E918" s="3" t="s">
        <v>38</v>
      </c>
      <c r="F918" s="3"/>
      <c r="G918" s="3" t="s">
        <v>152</v>
      </c>
    </row>
    <row r="919" ht="15.75" customHeight="1">
      <c r="A919" s="6" t="s">
        <v>6488</v>
      </c>
      <c r="B919" s="6" t="s">
        <v>3424</v>
      </c>
      <c r="C919" s="6" t="s">
        <v>6490</v>
      </c>
      <c r="D919" s="6" t="s">
        <v>6491</v>
      </c>
      <c r="E919" s="3" t="s">
        <v>54</v>
      </c>
      <c r="F919" s="7">
        <v>42283.0</v>
      </c>
      <c r="G919" s="3" t="s">
        <v>94</v>
      </c>
    </row>
    <row r="920" ht="15.75" customHeight="1">
      <c r="A920" s="6" t="s">
        <v>6492</v>
      </c>
      <c r="B920" s="6" t="s">
        <v>423</v>
      </c>
      <c r="C920" s="6" t="s">
        <v>432</v>
      </c>
      <c r="D920" s="6" t="s">
        <v>433</v>
      </c>
      <c r="E920" s="3" t="s">
        <v>54</v>
      </c>
      <c r="F920" s="7">
        <v>42612.0</v>
      </c>
      <c r="G920" s="3" t="s">
        <v>110</v>
      </c>
    </row>
    <row r="921" ht="15.75" customHeight="1">
      <c r="A921" s="6" t="s">
        <v>6495</v>
      </c>
      <c r="B921" s="6" t="s">
        <v>4936</v>
      </c>
      <c r="C921" s="3"/>
      <c r="D921" s="6" t="s">
        <v>6103</v>
      </c>
      <c r="E921" s="3" t="s">
        <v>38</v>
      </c>
      <c r="F921" s="3"/>
      <c r="G921" s="3" t="s">
        <v>152</v>
      </c>
    </row>
    <row r="922" ht="15.75" customHeight="1">
      <c r="A922" s="6" t="s">
        <v>6501</v>
      </c>
      <c r="B922" s="6" t="s">
        <v>3277</v>
      </c>
      <c r="C922" s="6" t="s">
        <v>4049</v>
      </c>
      <c r="D922" s="6" t="s">
        <v>4051</v>
      </c>
      <c r="E922" s="3" t="s">
        <v>54</v>
      </c>
      <c r="F922" s="7">
        <v>42516.0</v>
      </c>
      <c r="G922" s="3" t="s">
        <v>152</v>
      </c>
    </row>
    <row r="923" ht="15.75" customHeight="1">
      <c r="A923" s="6" t="s">
        <v>6502</v>
      </c>
      <c r="B923" s="6" t="s">
        <v>2195</v>
      </c>
      <c r="C923" s="6" t="s">
        <v>3636</v>
      </c>
      <c r="D923" s="6" t="s">
        <v>3638</v>
      </c>
      <c r="E923" s="3" t="s">
        <v>38</v>
      </c>
      <c r="F923" s="3"/>
      <c r="G923" s="3" t="s">
        <v>128</v>
      </c>
    </row>
    <row r="924" ht="15.75" customHeight="1">
      <c r="A924" s="6" t="s">
        <v>6508</v>
      </c>
      <c r="B924" s="6" t="s">
        <v>5578</v>
      </c>
      <c r="C924" s="6" t="s">
        <v>5587</v>
      </c>
      <c r="D924" s="6" t="s">
        <v>5588</v>
      </c>
      <c r="E924" s="3" t="s">
        <v>54</v>
      </c>
      <c r="F924" s="7">
        <v>44205.0</v>
      </c>
      <c r="G924" s="3" t="s">
        <v>110</v>
      </c>
    </row>
    <row r="925" ht="15.75" customHeight="1">
      <c r="A925" s="6" t="s">
        <v>6510</v>
      </c>
      <c r="B925" s="6" t="s">
        <v>3252</v>
      </c>
      <c r="C925" s="6" t="s">
        <v>3796</v>
      </c>
      <c r="D925" s="6" t="s">
        <v>3797</v>
      </c>
      <c r="E925" s="3" t="s">
        <v>38</v>
      </c>
      <c r="F925" s="3"/>
      <c r="G925" s="3" t="s">
        <v>78</v>
      </c>
    </row>
    <row r="926" ht="15.75" customHeight="1">
      <c r="A926" s="6" t="s">
        <v>6517</v>
      </c>
      <c r="B926" s="6" t="s">
        <v>1159</v>
      </c>
      <c r="C926" s="6" t="s">
        <v>6518</v>
      </c>
      <c r="D926" s="6" t="s">
        <v>6519</v>
      </c>
      <c r="E926" s="3" t="s">
        <v>38</v>
      </c>
      <c r="F926" s="3"/>
      <c r="G926" s="3" t="s">
        <v>94</v>
      </c>
    </row>
    <row r="927" ht="15.75" customHeight="1">
      <c r="A927" s="6" t="s">
        <v>6521</v>
      </c>
      <c r="B927" s="6" t="s">
        <v>2210</v>
      </c>
      <c r="C927" s="6" t="s">
        <v>2224</v>
      </c>
      <c r="D927" s="6" t="s">
        <v>2226</v>
      </c>
      <c r="E927" s="3" t="s">
        <v>38</v>
      </c>
      <c r="F927" s="3"/>
      <c r="G927" s="3" t="s">
        <v>94</v>
      </c>
    </row>
    <row r="928" ht="15.75" customHeight="1">
      <c r="A928" s="6" t="s">
        <v>6524</v>
      </c>
      <c r="B928" s="6" t="s">
        <v>4334</v>
      </c>
      <c r="C928" s="6" t="s">
        <v>6525</v>
      </c>
      <c r="D928" s="6" t="s">
        <v>6527</v>
      </c>
      <c r="E928" s="3" t="s">
        <v>54</v>
      </c>
      <c r="F928" s="7">
        <v>44730.0</v>
      </c>
      <c r="G928" s="3" t="s">
        <v>78</v>
      </c>
    </row>
    <row r="929" ht="15.75" customHeight="1">
      <c r="A929" s="6" t="s">
        <v>6530</v>
      </c>
      <c r="B929" s="6" t="s">
        <v>758</v>
      </c>
      <c r="C929" s="6" t="s">
        <v>778</v>
      </c>
      <c r="D929" s="6" t="s">
        <v>780</v>
      </c>
      <c r="E929" s="3" t="s">
        <v>54</v>
      </c>
      <c r="F929" s="7">
        <v>40568.0</v>
      </c>
      <c r="G929" s="3" t="s">
        <v>110</v>
      </c>
    </row>
    <row r="930" ht="15.75" customHeight="1">
      <c r="A930" s="6" t="s">
        <v>6532</v>
      </c>
      <c r="B930" s="6" t="s">
        <v>558</v>
      </c>
      <c r="C930" s="6" t="s">
        <v>567</v>
      </c>
      <c r="D930" s="6" t="s">
        <v>569</v>
      </c>
      <c r="E930" s="3" t="s">
        <v>54</v>
      </c>
      <c r="F930" s="7">
        <v>40320.0</v>
      </c>
      <c r="G930" s="3" t="s">
        <v>78</v>
      </c>
    </row>
    <row r="931" ht="15.75" customHeight="1">
      <c r="A931" s="6" t="s">
        <v>6538</v>
      </c>
      <c r="B931" s="6" t="s">
        <v>6540</v>
      </c>
      <c r="C931" s="6" t="s">
        <v>6541</v>
      </c>
      <c r="D931" s="6" t="s">
        <v>6542</v>
      </c>
      <c r="E931" s="3" t="s">
        <v>54</v>
      </c>
      <c r="F931" s="7">
        <v>42538.0</v>
      </c>
      <c r="G931" s="3" t="s">
        <v>78</v>
      </c>
    </row>
    <row r="932" ht="15.75" customHeight="1">
      <c r="A932" s="6" t="s">
        <v>6544</v>
      </c>
      <c r="B932" s="6" t="s">
        <v>964</v>
      </c>
      <c r="C932" s="6" t="s">
        <v>6545</v>
      </c>
      <c r="D932" s="6" t="s">
        <v>6546</v>
      </c>
      <c r="E932" s="3" t="s">
        <v>54</v>
      </c>
      <c r="F932" s="7">
        <v>45295.0</v>
      </c>
      <c r="G932" s="3" t="s">
        <v>78</v>
      </c>
    </row>
    <row r="933" ht="15.75" customHeight="1">
      <c r="A933" s="6" t="s">
        <v>6547</v>
      </c>
      <c r="B933" s="6" t="s">
        <v>1755</v>
      </c>
      <c r="C933" s="6" t="s">
        <v>6550</v>
      </c>
      <c r="D933" s="6" t="s">
        <v>6551</v>
      </c>
      <c r="E933" s="3" t="s">
        <v>54</v>
      </c>
      <c r="F933" s="7">
        <v>41817.0</v>
      </c>
      <c r="G933" s="3" t="s">
        <v>94</v>
      </c>
    </row>
    <row r="934" ht="15.75" customHeight="1">
      <c r="A934" s="6" t="s">
        <v>6555</v>
      </c>
      <c r="B934" s="6" t="s">
        <v>2099</v>
      </c>
      <c r="C934" s="6" t="s">
        <v>6557</v>
      </c>
      <c r="D934" s="6" t="s">
        <v>6558</v>
      </c>
      <c r="E934" s="3" t="s">
        <v>38</v>
      </c>
      <c r="F934" s="3"/>
      <c r="G934" s="3" t="s">
        <v>128</v>
      </c>
    </row>
    <row r="935" ht="15.75" customHeight="1">
      <c r="A935" s="6" t="s">
        <v>6559</v>
      </c>
      <c r="B935" s="6" t="s">
        <v>3310</v>
      </c>
      <c r="C935" s="3"/>
      <c r="D935" s="3"/>
      <c r="E935" s="3" t="s">
        <v>54</v>
      </c>
      <c r="F935" s="7">
        <v>40928.0</v>
      </c>
      <c r="G935" s="3" t="s">
        <v>110</v>
      </c>
    </row>
    <row r="936" ht="15.75" customHeight="1">
      <c r="A936" s="6" t="s">
        <v>6562</v>
      </c>
      <c r="B936" s="6" t="s">
        <v>3438</v>
      </c>
      <c r="C936" s="6" t="s">
        <v>5239</v>
      </c>
      <c r="D936" s="6" t="s">
        <v>5240</v>
      </c>
      <c r="E936" s="3" t="s">
        <v>54</v>
      </c>
      <c r="F936" s="7">
        <v>45553.0</v>
      </c>
      <c r="G936" s="3" t="s">
        <v>128</v>
      </c>
    </row>
    <row r="937" ht="15.75" customHeight="1">
      <c r="A937" s="6" t="s">
        <v>6567</v>
      </c>
      <c r="B937" s="6" t="s">
        <v>1504</v>
      </c>
      <c r="C937" s="6" t="s">
        <v>5880</v>
      </c>
      <c r="D937" s="6" t="s">
        <v>5881</v>
      </c>
      <c r="E937" s="3" t="s">
        <v>38</v>
      </c>
      <c r="F937" s="3"/>
      <c r="G937" s="3" t="s">
        <v>78</v>
      </c>
    </row>
    <row r="938" ht="15.75" customHeight="1">
      <c r="A938" s="6" t="s">
        <v>6568</v>
      </c>
      <c r="B938" s="6" t="s">
        <v>1780</v>
      </c>
      <c r="C938" s="6" t="s">
        <v>6570</v>
      </c>
      <c r="D938" s="6" t="s">
        <v>6571</v>
      </c>
      <c r="E938" s="3" t="s">
        <v>54</v>
      </c>
      <c r="F938" s="7">
        <v>42738.0</v>
      </c>
      <c r="G938" s="3" t="s">
        <v>94</v>
      </c>
    </row>
    <row r="939" ht="15.75" customHeight="1">
      <c r="A939" s="6" t="s">
        <v>6574</v>
      </c>
      <c r="B939" s="6" t="s">
        <v>6576</v>
      </c>
      <c r="C939" s="6" t="s">
        <v>6577</v>
      </c>
      <c r="D939" s="6" t="s">
        <v>6578</v>
      </c>
      <c r="E939" s="3" t="s">
        <v>38</v>
      </c>
      <c r="F939" s="3"/>
      <c r="G939" s="3" t="s">
        <v>128</v>
      </c>
    </row>
    <row r="940" ht="15.75" customHeight="1">
      <c r="A940" s="6" t="s">
        <v>6580</v>
      </c>
      <c r="B940" s="6" t="s">
        <v>308</v>
      </c>
      <c r="C940" s="6" t="s">
        <v>320</v>
      </c>
      <c r="D940" s="6" t="s">
        <v>322</v>
      </c>
      <c r="E940" s="3" t="s">
        <v>54</v>
      </c>
      <c r="F940" s="7">
        <v>41749.0</v>
      </c>
      <c r="G940" s="3" t="s">
        <v>94</v>
      </c>
    </row>
    <row r="941" ht="15.75" customHeight="1">
      <c r="A941" s="6" t="s">
        <v>6582</v>
      </c>
      <c r="B941" s="6" t="s">
        <v>1076</v>
      </c>
      <c r="C941" s="6" t="s">
        <v>368</v>
      </c>
      <c r="D941" s="6" t="s">
        <v>370</v>
      </c>
      <c r="E941" s="3" t="s">
        <v>38</v>
      </c>
      <c r="F941" s="3"/>
      <c r="G941" s="3" t="s">
        <v>110</v>
      </c>
    </row>
    <row r="942" ht="15.75" customHeight="1">
      <c r="A942" s="6" t="s">
        <v>6589</v>
      </c>
      <c r="B942" s="6" t="s">
        <v>5225</v>
      </c>
      <c r="C942" s="6" t="s">
        <v>6590</v>
      </c>
      <c r="D942" s="6" t="s">
        <v>6591</v>
      </c>
      <c r="E942" s="3" t="s">
        <v>54</v>
      </c>
      <c r="F942" s="7">
        <v>41117.0</v>
      </c>
      <c r="G942" s="3" t="s">
        <v>110</v>
      </c>
    </row>
    <row r="943" ht="15.75" customHeight="1">
      <c r="A943" s="6" t="s">
        <v>6593</v>
      </c>
      <c r="B943" s="6" t="s">
        <v>3691</v>
      </c>
      <c r="C943" s="6" t="s">
        <v>6595</v>
      </c>
      <c r="D943" s="6" t="s">
        <v>6596</v>
      </c>
      <c r="E943" s="3" t="s">
        <v>54</v>
      </c>
      <c r="F943" s="7">
        <v>44188.0</v>
      </c>
      <c r="G943" s="3" t="s">
        <v>78</v>
      </c>
    </row>
    <row r="944" ht="15.75" customHeight="1">
      <c r="A944" s="6" t="s">
        <v>6600</v>
      </c>
      <c r="B944" s="6" t="s">
        <v>6601</v>
      </c>
      <c r="C944" s="6" t="s">
        <v>6603</v>
      </c>
      <c r="D944" s="6" t="s">
        <v>6604</v>
      </c>
      <c r="E944" s="3" t="s">
        <v>54</v>
      </c>
      <c r="F944" s="7">
        <v>42614.0</v>
      </c>
      <c r="G944" s="3" t="s">
        <v>94</v>
      </c>
    </row>
    <row r="945" ht="15.75" customHeight="1">
      <c r="A945" s="6" t="s">
        <v>6605</v>
      </c>
      <c r="B945" s="6" t="s">
        <v>1042</v>
      </c>
      <c r="C945" s="6" t="s">
        <v>2419</v>
      </c>
      <c r="D945" s="6" t="s">
        <v>2420</v>
      </c>
      <c r="E945" s="3" t="s">
        <v>54</v>
      </c>
      <c r="F945" s="7">
        <v>41226.0</v>
      </c>
      <c r="G945" s="3" t="s">
        <v>78</v>
      </c>
    </row>
    <row r="946" ht="15.75" customHeight="1">
      <c r="A946" s="6" t="s">
        <v>6609</v>
      </c>
      <c r="B946" s="6" t="s">
        <v>925</v>
      </c>
      <c r="C946" s="6" t="s">
        <v>936</v>
      </c>
      <c r="D946" s="6" t="s">
        <v>937</v>
      </c>
      <c r="E946" s="3" t="s">
        <v>38</v>
      </c>
      <c r="F946" s="3"/>
      <c r="G946" s="3" t="s">
        <v>128</v>
      </c>
    </row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1.0"/>
    <col customWidth="1" min="3" max="3" width="12.0"/>
    <col customWidth="1" min="4" max="6" width="11.0"/>
    <col customWidth="1" min="7" max="7" width="12.0"/>
    <col customWidth="1" min="8" max="8" width="11.0"/>
    <col customWidth="1" min="9" max="9" width="12.0"/>
    <col customWidth="1" min="10" max="10" width="11.0"/>
    <col customWidth="1" min="11" max="11" width="14.0"/>
    <col customWidth="1" min="12" max="26" width="8.71"/>
  </cols>
  <sheetData>
    <row r="1">
      <c r="A1" s="5" t="s">
        <v>535</v>
      </c>
      <c r="B1" s="5" t="s">
        <v>14</v>
      </c>
      <c r="C1" s="5" t="s">
        <v>9</v>
      </c>
      <c r="D1" s="5" t="s">
        <v>540</v>
      </c>
      <c r="E1" s="5" t="s">
        <v>542</v>
      </c>
      <c r="F1" s="5" t="s">
        <v>546</v>
      </c>
      <c r="G1" s="5" t="s">
        <v>548</v>
      </c>
      <c r="H1" s="5" t="s">
        <v>1</v>
      </c>
      <c r="I1" s="5" t="s">
        <v>550</v>
      </c>
      <c r="J1" s="5" t="s">
        <v>18</v>
      </c>
      <c r="K1" s="5" t="s">
        <v>552</v>
      </c>
    </row>
    <row r="2">
      <c r="A2" s="6" t="s">
        <v>555</v>
      </c>
      <c r="B2" s="6" t="s">
        <v>557</v>
      </c>
      <c r="C2" s="3" t="s">
        <v>13</v>
      </c>
      <c r="D2" s="3">
        <v>139928.0</v>
      </c>
      <c r="E2" s="8">
        <v>8.37</v>
      </c>
      <c r="F2" s="3">
        <v>24.0</v>
      </c>
      <c r="G2" s="7">
        <v>44333.0</v>
      </c>
      <c r="H2" s="3" t="s">
        <v>5</v>
      </c>
      <c r="I2" s="8">
        <v>0.0</v>
      </c>
      <c r="J2" s="6" t="s">
        <v>129</v>
      </c>
      <c r="K2" s="3" t="s">
        <v>568</v>
      </c>
    </row>
    <row r="3">
      <c r="A3" s="6" t="s">
        <v>570</v>
      </c>
      <c r="B3" s="6" t="s">
        <v>573</v>
      </c>
      <c r="C3" s="3" t="s">
        <v>10</v>
      </c>
      <c r="D3" s="3">
        <v>488294.0</v>
      </c>
      <c r="E3" s="8">
        <v>8.52</v>
      </c>
      <c r="F3" s="3">
        <v>12.0</v>
      </c>
      <c r="G3" s="7">
        <v>42420.0</v>
      </c>
      <c r="H3" s="3" t="s">
        <v>5</v>
      </c>
      <c r="I3" s="8">
        <v>0.0</v>
      </c>
      <c r="J3" s="6" t="s">
        <v>163</v>
      </c>
      <c r="K3" s="3" t="s">
        <v>568</v>
      </c>
    </row>
    <row r="4">
      <c r="A4" s="6" t="s">
        <v>585</v>
      </c>
      <c r="B4" s="6" t="s">
        <v>586</v>
      </c>
      <c r="C4" s="3" t="s">
        <v>15</v>
      </c>
      <c r="D4" s="3">
        <v>8997711.0</v>
      </c>
      <c r="E4" s="8">
        <v>13.22</v>
      </c>
      <c r="F4" s="3">
        <v>120.0</v>
      </c>
      <c r="G4" s="7">
        <v>44461.0</v>
      </c>
      <c r="H4" s="3" t="s">
        <v>4</v>
      </c>
      <c r="I4" s="8">
        <v>6795003.17</v>
      </c>
      <c r="J4" s="6" t="s">
        <v>109</v>
      </c>
      <c r="K4" s="3" t="s">
        <v>568</v>
      </c>
    </row>
    <row r="5">
      <c r="A5" s="6" t="s">
        <v>596</v>
      </c>
      <c r="B5" s="6" t="s">
        <v>599</v>
      </c>
      <c r="C5" s="3" t="s">
        <v>22</v>
      </c>
      <c r="D5" s="3">
        <v>842321.0</v>
      </c>
      <c r="E5" s="8">
        <v>7.76</v>
      </c>
      <c r="F5" s="3">
        <v>180.0</v>
      </c>
      <c r="G5" s="7">
        <v>45448.0</v>
      </c>
      <c r="H5" s="3" t="s">
        <v>5</v>
      </c>
      <c r="I5" s="8">
        <v>0.0</v>
      </c>
      <c r="J5" s="6" t="s">
        <v>262</v>
      </c>
      <c r="K5" s="3" t="s">
        <v>568</v>
      </c>
    </row>
    <row r="6">
      <c r="A6" s="6" t="s">
        <v>612</v>
      </c>
      <c r="B6" s="6" t="s">
        <v>614</v>
      </c>
      <c r="C6" s="3" t="s">
        <v>13</v>
      </c>
      <c r="D6" s="3">
        <v>220874.0</v>
      </c>
      <c r="E6" s="8">
        <v>10.96</v>
      </c>
      <c r="F6" s="3">
        <v>12.0</v>
      </c>
      <c r="G6" s="7">
        <v>41008.0</v>
      </c>
      <c r="H6" s="3" t="s">
        <v>5</v>
      </c>
      <c r="I6" s="8">
        <v>0.0</v>
      </c>
      <c r="J6" s="6" t="s">
        <v>401</v>
      </c>
      <c r="K6" s="3" t="s">
        <v>568</v>
      </c>
    </row>
    <row r="7">
      <c r="A7" s="6" t="s">
        <v>625</v>
      </c>
      <c r="B7" s="6" t="s">
        <v>628</v>
      </c>
      <c r="C7" s="3" t="s">
        <v>10</v>
      </c>
      <c r="D7" s="3">
        <v>325647.0</v>
      </c>
      <c r="E7" s="8">
        <v>12.36</v>
      </c>
      <c r="F7" s="3">
        <v>24.0</v>
      </c>
      <c r="G7" s="7">
        <v>41691.0</v>
      </c>
      <c r="H7" s="3" t="s">
        <v>4</v>
      </c>
      <c r="I7" s="8">
        <v>52167.34</v>
      </c>
      <c r="J7" s="6" t="s">
        <v>97</v>
      </c>
      <c r="K7" s="3" t="s">
        <v>568</v>
      </c>
    </row>
    <row r="8">
      <c r="A8" s="6" t="s">
        <v>640</v>
      </c>
      <c r="B8" s="6" t="s">
        <v>642</v>
      </c>
      <c r="C8" s="3" t="s">
        <v>13</v>
      </c>
      <c r="D8" s="3">
        <v>41340.0</v>
      </c>
      <c r="E8" s="8">
        <v>9.32</v>
      </c>
      <c r="F8" s="3">
        <v>84.0</v>
      </c>
      <c r="G8" s="7">
        <v>41075.0</v>
      </c>
      <c r="H8" s="3" t="s">
        <v>4</v>
      </c>
      <c r="I8" s="8">
        <v>19204.15</v>
      </c>
      <c r="J8" s="6" t="s">
        <v>385</v>
      </c>
      <c r="K8" s="3" t="s">
        <v>568</v>
      </c>
    </row>
    <row r="9">
      <c r="A9" s="6" t="s">
        <v>652</v>
      </c>
      <c r="B9" s="6" t="s">
        <v>655</v>
      </c>
      <c r="C9" s="3" t="s">
        <v>22</v>
      </c>
      <c r="D9" s="3">
        <v>286056.0</v>
      </c>
      <c r="E9" s="8">
        <v>8.48</v>
      </c>
      <c r="F9" s="3">
        <v>180.0</v>
      </c>
      <c r="G9" s="7">
        <v>43291.0</v>
      </c>
      <c r="H9" s="3" t="s">
        <v>4</v>
      </c>
      <c r="I9" s="8">
        <v>232282.13</v>
      </c>
      <c r="J9" s="6" t="s">
        <v>197</v>
      </c>
      <c r="K9" s="3" t="s">
        <v>568</v>
      </c>
    </row>
    <row r="10">
      <c r="A10" s="6" t="s">
        <v>665</v>
      </c>
      <c r="B10" s="6" t="s">
        <v>667</v>
      </c>
      <c r="C10" s="3" t="s">
        <v>13</v>
      </c>
      <c r="D10" s="3">
        <v>61378.0</v>
      </c>
      <c r="E10" s="8">
        <v>8.74</v>
      </c>
      <c r="F10" s="3">
        <v>24.0</v>
      </c>
      <c r="G10" s="7">
        <v>45432.0</v>
      </c>
      <c r="H10" s="3" t="s">
        <v>4</v>
      </c>
      <c r="I10" s="8">
        <v>40436.45</v>
      </c>
      <c r="J10" s="6" t="s">
        <v>385</v>
      </c>
      <c r="K10" s="3" t="s">
        <v>568</v>
      </c>
    </row>
    <row r="11">
      <c r="A11" s="6" t="s">
        <v>674</v>
      </c>
      <c r="B11" s="6" t="s">
        <v>676</v>
      </c>
      <c r="C11" s="3" t="s">
        <v>12</v>
      </c>
      <c r="D11" s="3">
        <v>787746.0</v>
      </c>
      <c r="E11" s="8">
        <v>14.59</v>
      </c>
      <c r="F11" s="3">
        <v>180.0</v>
      </c>
      <c r="G11" s="7">
        <v>42437.0</v>
      </c>
      <c r="H11" s="3" t="s">
        <v>4</v>
      </c>
      <c r="I11" s="8">
        <v>387221.85</v>
      </c>
      <c r="J11" s="6" t="s">
        <v>401</v>
      </c>
      <c r="K11" s="3" t="s">
        <v>568</v>
      </c>
    </row>
    <row r="12">
      <c r="A12" s="6" t="s">
        <v>687</v>
      </c>
      <c r="B12" s="6" t="s">
        <v>689</v>
      </c>
      <c r="C12" s="3" t="s">
        <v>12</v>
      </c>
      <c r="D12" s="3">
        <v>1684206.0</v>
      </c>
      <c r="E12" s="8">
        <v>7.96</v>
      </c>
      <c r="F12" s="3">
        <v>240.0</v>
      </c>
      <c r="G12" s="7">
        <v>43152.0</v>
      </c>
      <c r="H12" s="3" t="s">
        <v>5</v>
      </c>
      <c r="I12" s="8">
        <v>0.0</v>
      </c>
      <c r="J12" s="6" t="s">
        <v>262</v>
      </c>
      <c r="K12" s="3" t="s">
        <v>568</v>
      </c>
    </row>
    <row r="13">
      <c r="A13" s="6" t="s">
        <v>700</v>
      </c>
      <c r="B13" s="6" t="s">
        <v>702</v>
      </c>
      <c r="C13" s="3" t="s">
        <v>15</v>
      </c>
      <c r="D13" s="3">
        <v>6696819.0</v>
      </c>
      <c r="E13" s="8">
        <v>12.85</v>
      </c>
      <c r="F13" s="3">
        <v>60.0</v>
      </c>
      <c r="G13" s="7">
        <v>42387.0</v>
      </c>
      <c r="H13" s="3" t="s">
        <v>5</v>
      </c>
      <c r="I13" s="8">
        <v>0.0</v>
      </c>
      <c r="J13" s="6" t="s">
        <v>385</v>
      </c>
      <c r="K13" s="3" t="s">
        <v>568</v>
      </c>
    </row>
    <row r="14">
      <c r="A14" s="6" t="s">
        <v>715</v>
      </c>
      <c r="B14" s="6" t="s">
        <v>717</v>
      </c>
      <c r="C14" s="3" t="s">
        <v>13</v>
      </c>
      <c r="D14" s="3">
        <v>22594.0</v>
      </c>
      <c r="E14" s="8">
        <v>10.46</v>
      </c>
      <c r="F14" s="3">
        <v>84.0</v>
      </c>
      <c r="G14" s="7">
        <v>45439.0</v>
      </c>
      <c r="H14" s="3" t="s">
        <v>4</v>
      </c>
      <c r="I14" s="8">
        <v>17438.33</v>
      </c>
      <c r="J14" s="6" t="s">
        <v>311</v>
      </c>
      <c r="K14" s="3" t="s">
        <v>568</v>
      </c>
    </row>
    <row r="15">
      <c r="A15" s="6" t="s">
        <v>729</v>
      </c>
      <c r="B15" s="6" t="s">
        <v>731</v>
      </c>
      <c r="C15" s="3" t="s">
        <v>13</v>
      </c>
      <c r="D15" s="3">
        <v>50592.0</v>
      </c>
      <c r="E15" s="8">
        <v>15.41</v>
      </c>
      <c r="F15" s="3">
        <v>24.0</v>
      </c>
      <c r="G15" s="7">
        <v>44794.0</v>
      </c>
      <c r="H15" s="3" t="s">
        <v>4</v>
      </c>
      <c r="I15" s="8">
        <v>35713.16</v>
      </c>
      <c r="J15" s="6" t="s">
        <v>401</v>
      </c>
      <c r="K15" s="3" t="s">
        <v>568</v>
      </c>
    </row>
    <row r="16">
      <c r="A16" s="6" t="s">
        <v>750</v>
      </c>
      <c r="B16" s="6" t="s">
        <v>752</v>
      </c>
      <c r="C16" s="3" t="s">
        <v>13</v>
      </c>
      <c r="D16" s="3">
        <v>26864.0</v>
      </c>
      <c r="E16" s="8">
        <v>11.5</v>
      </c>
      <c r="F16" s="3">
        <v>60.0</v>
      </c>
      <c r="G16" s="7">
        <v>41533.0</v>
      </c>
      <c r="H16" s="3" t="s">
        <v>5</v>
      </c>
      <c r="I16" s="8">
        <v>0.0</v>
      </c>
      <c r="J16" s="6" t="s">
        <v>60</v>
      </c>
      <c r="K16" s="3" t="s">
        <v>568</v>
      </c>
    </row>
    <row r="17">
      <c r="A17" s="6" t="s">
        <v>768</v>
      </c>
      <c r="B17" s="6" t="s">
        <v>769</v>
      </c>
      <c r="C17" s="3" t="s">
        <v>11</v>
      </c>
      <c r="D17" s="3">
        <v>4827181.0</v>
      </c>
      <c r="E17" s="8">
        <v>12.25</v>
      </c>
      <c r="F17" s="3">
        <v>240.0</v>
      </c>
      <c r="G17" s="7">
        <v>42703.0</v>
      </c>
      <c r="H17" s="3" t="s">
        <v>5</v>
      </c>
      <c r="I17" s="8">
        <v>0.0</v>
      </c>
      <c r="J17" s="6" t="s">
        <v>197</v>
      </c>
      <c r="K17" s="3" t="s">
        <v>568</v>
      </c>
    </row>
    <row r="18">
      <c r="A18" s="6" t="s">
        <v>773</v>
      </c>
      <c r="B18" s="6" t="s">
        <v>774</v>
      </c>
      <c r="C18" s="3" t="s">
        <v>12</v>
      </c>
      <c r="D18" s="3">
        <v>681240.0</v>
      </c>
      <c r="E18" s="8">
        <v>10.64</v>
      </c>
      <c r="F18" s="3">
        <v>36.0</v>
      </c>
      <c r="G18" s="7">
        <v>42795.0</v>
      </c>
      <c r="H18" s="3" t="s">
        <v>4</v>
      </c>
      <c r="I18" s="8">
        <v>288115.02</v>
      </c>
      <c r="J18" s="6" t="s">
        <v>401</v>
      </c>
      <c r="K18" s="3" t="s">
        <v>568</v>
      </c>
    </row>
    <row r="19">
      <c r="A19" s="6" t="s">
        <v>781</v>
      </c>
      <c r="B19" s="6" t="s">
        <v>533</v>
      </c>
      <c r="C19" s="3" t="s">
        <v>13</v>
      </c>
      <c r="D19" s="3">
        <v>23970.0</v>
      </c>
      <c r="E19" s="8">
        <v>11.12</v>
      </c>
      <c r="F19" s="3">
        <v>36.0</v>
      </c>
      <c r="G19" s="7">
        <v>43876.0</v>
      </c>
      <c r="H19" s="3" t="s">
        <v>5</v>
      </c>
      <c r="I19" s="8">
        <v>0.0</v>
      </c>
      <c r="J19" s="6" t="s">
        <v>109</v>
      </c>
      <c r="K19" s="3" t="s">
        <v>568</v>
      </c>
    </row>
    <row r="20">
      <c r="A20" s="6" t="s">
        <v>790</v>
      </c>
      <c r="B20" s="6" t="s">
        <v>792</v>
      </c>
      <c r="C20" s="3" t="s">
        <v>15</v>
      </c>
      <c r="D20" s="3">
        <v>4910801.0</v>
      </c>
      <c r="E20" s="8">
        <v>7.56</v>
      </c>
      <c r="F20" s="3">
        <v>12.0</v>
      </c>
      <c r="G20" s="7">
        <v>40998.0</v>
      </c>
      <c r="H20" s="3" t="s">
        <v>4</v>
      </c>
      <c r="I20" s="8">
        <v>4418953.79</v>
      </c>
      <c r="J20" s="6" t="s">
        <v>323</v>
      </c>
      <c r="K20" s="3" t="s">
        <v>568</v>
      </c>
    </row>
    <row r="21" ht="15.75" customHeight="1">
      <c r="A21" s="6" t="s">
        <v>803</v>
      </c>
      <c r="B21" s="6" t="s">
        <v>805</v>
      </c>
      <c r="C21" s="3" t="s">
        <v>12</v>
      </c>
      <c r="D21" s="3">
        <v>1661841.0</v>
      </c>
      <c r="E21" s="8">
        <v>8.94</v>
      </c>
      <c r="F21" s="3">
        <v>36.0</v>
      </c>
      <c r="G21" s="7">
        <v>44556.0</v>
      </c>
      <c r="H21" s="3" t="s">
        <v>4</v>
      </c>
      <c r="I21" s="8">
        <v>758406.78</v>
      </c>
      <c r="J21" s="6" t="s">
        <v>245</v>
      </c>
      <c r="K21" s="3" t="s">
        <v>568</v>
      </c>
    </row>
    <row r="22" ht="15.75" customHeight="1">
      <c r="A22" s="6" t="s">
        <v>816</v>
      </c>
      <c r="B22" s="6" t="s">
        <v>818</v>
      </c>
      <c r="C22" s="3" t="s">
        <v>11</v>
      </c>
      <c r="D22" s="3">
        <v>2639920.0</v>
      </c>
      <c r="E22" s="8">
        <v>14.0</v>
      </c>
      <c r="F22" s="3">
        <v>24.0</v>
      </c>
      <c r="G22" s="7">
        <v>43410.0</v>
      </c>
      <c r="H22" s="3" t="s">
        <v>4</v>
      </c>
      <c r="I22" s="8">
        <v>1713283.95</v>
      </c>
      <c r="J22" s="6" t="s">
        <v>171</v>
      </c>
      <c r="K22" s="3" t="s">
        <v>568</v>
      </c>
    </row>
    <row r="23" ht="15.75" customHeight="1">
      <c r="A23" s="6" t="s">
        <v>830</v>
      </c>
      <c r="B23" s="6" t="s">
        <v>833</v>
      </c>
      <c r="C23" s="3" t="s">
        <v>12</v>
      </c>
      <c r="D23" s="3">
        <v>1339135.0</v>
      </c>
      <c r="E23" s="8">
        <v>9.72</v>
      </c>
      <c r="F23" s="3">
        <v>240.0</v>
      </c>
      <c r="G23" s="7">
        <v>44772.0</v>
      </c>
      <c r="H23" s="3" t="s">
        <v>4</v>
      </c>
      <c r="I23" s="8">
        <v>117399.54</v>
      </c>
      <c r="J23" s="6" t="s">
        <v>208</v>
      </c>
      <c r="K23" s="3" t="s">
        <v>568</v>
      </c>
    </row>
    <row r="24" ht="15.75" customHeight="1">
      <c r="A24" s="6" t="s">
        <v>846</v>
      </c>
      <c r="B24" s="6" t="s">
        <v>848</v>
      </c>
      <c r="C24" s="3" t="s">
        <v>13</v>
      </c>
      <c r="D24" s="3">
        <v>469861.0</v>
      </c>
      <c r="E24" s="8">
        <v>10.47</v>
      </c>
      <c r="F24" s="3">
        <v>60.0</v>
      </c>
      <c r="G24" s="7">
        <v>42705.0</v>
      </c>
      <c r="H24" s="3" t="s">
        <v>7</v>
      </c>
      <c r="I24" s="8">
        <v>229958.4</v>
      </c>
      <c r="J24" s="6" t="s">
        <v>221</v>
      </c>
      <c r="K24" s="3" t="s">
        <v>568</v>
      </c>
    </row>
    <row r="25" ht="15.75" customHeight="1">
      <c r="A25" s="6" t="s">
        <v>862</v>
      </c>
      <c r="B25" s="6" t="s">
        <v>519</v>
      </c>
      <c r="C25" s="3" t="s">
        <v>13</v>
      </c>
      <c r="D25" s="3">
        <v>40618.0</v>
      </c>
      <c r="E25" s="8">
        <v>15.8</v>
      </c>
      <c r="F25" s="3">
        <v>84.0</v>
      </c>
      <c r="G25" s="7">
        <v>45079.0</v>
      </c>
      <c r="H25" s="3" t="s">
        <v>5</v>
      </c>
      <c r="I25" s="8">
        <v>0.0</v>
      </c>
      <c r="J25" s="6" t="s">
        <v>266</v>
      </c>
      <c r="K25" s="3" t="s">
        <v>568</v>
      </c>
    </row>
    <row r="26" ht="15.75" customHeight="1">
      <c r="A26" s="6" t="s">
        <v>875</v>
      </c>
      <c r="B26" s="6" t="s">
        <v>878</v>
      </c>
      <c r="C26" s="3" t="s">
        <v>22</v>
      </c>
      <c r="D26" s="3">
        <v>666187.0</v>
      </c>
      <c r="E26" s="8">
        <v>8.37</v>
      </c>
      <c r="F26" s="3">
        <v>36.0</v>
      </c>
      <c r="G26" s="7">
        <v>41761.0</v>
      </c>
      <c r="H26" s="3" t="s">
        <v>6</v>
      </c>
      <c r="I26" s="8">
        <v>643494.25</v>
      </c>
      <c r="J26" s="6" t="s">
        <v>397</v>
      </c>
      <c r="K26" s="3" t="s">
        <v>568</v>
      </c>
    </row>
    <row r="27" ht="15.75" customHeight="1">
      <c r="A27" s="6" t="s">
        <v>892</v>
      </c>
      <c r="B27" s="6" t="s">
        <v>893</v>
      </c>
      <c r="C27" s="3" t="s">
        <v>13</v>
      </c>
      <c r="D27" s="3">
        <v>300703.0</v>
      </c>
      <c r="E27" s="8">
        <v>9.77</v>
      </c>
      <c r="F27" s="3">
        <v>12.0</v>
      </c>
      <c r="G27" s="7">
        <v>44703.0</v>
      </c>
      <c r="H27" s="3" t="s">
        <v>5</v>
      </c>
      <c r="I27" s="8">
        <v>0.0</v>
      </c>
      <c r="J27" s="6" t="s">
        <v>171</v>
      </c>
      <c r="K27" s="3" t="s">
        <v>568</v>
      </c>
    </row>
    <row r="28" ht="15.75" customHeight="1">
      <c r="A28" s="6" t="s">
        <v>907</v>
      </c>
      <c r="B28" s="6" t="s">
        <v>909</v>
      </c>
      <c r="C28" s="3" t="s">
        <v>12</v>
      </c>
      <c r="D28" s="3">
        <v>1103511.0</v>
      </c>
      <c r="E28" s="8">
        <v>10.94</v>
      </c>
      <c r="F28" s="3">
        <v>180.0</v>
      </c>
      <c r="G28" s="7">
        <v>43130.0</v>
      </c>
      <c r="H28" s="3" t="s">
        <v>5</v>
      </c>
      <c r="I28" s="8">
        <v>0.0</v>
      </c>
      <c r="J28" s="6" t="s">
        <v>129</v>
      </c>
      <c r="K28" s="3" t="s">
        <v>568</v>
      </c>
    </row>
    <row r="29" ht="15.75" customHeight="1">
      <c r="A29" s="6" t="s">
        <v>923</v>
      </c>
      <c r="B29" s="6" t="s">
        <v>924</v>
      </c>
      <c r="C29" s="3" t="s">
        <v>11</v>
      </c>
      <c r="D29" s="3">
        <v>4456371.0</v>
      </c>
      <c r="E29" s="8">
        <v>10.75</v>
      </c>
      <c r="F29" s="3">
        <v>12.0</v>
      </c>
      <c r="G29" s="7">
        <v>45413.0</v>
      </c>
      <c r="H29" s="3" t="s">
        <v>4</v>
      </c>
      <c r="I29" s="8">
        <v>468349.86</v>
      </c>
      <c r="J29" s="6" t="s">
        <v>397</v>
      </c>
      <c r="K29" s="3" t="s">
        <v>568</v>
      </c>
    </row>
    <row r="30" ht="15.75" customHeight="1">
      <c r="A30" s="6" t="s">
        <v>938</v>
      </c>
      <c r="B30" s="6" t="s">
        <v>940</v>
      </c>
      <c r="C30" s="3" t="s">
        <v>13</v>
      </c>
      <c r="D30" s="3">
        <v>372362.0</v>
      </c>
      <c r="E30" s="8">
        <v>11.8</v>
      </c>
      <c r="F30" s="3">
        <v>36.0</v>
      </c>
      <c r="G30" s="7">
        <v>45188.0</v>
      </c>
      <c r="H30" s="3" t="s">
        <v>7</v>
      </c>
      <c r="I30" s="8">
        <v>88845.66</v>
      </c>
      <c r="J30" s="6" t="s">
        <v>60</v>
      </c>
      <c r="K30" s="3" t="s">
        <v>568</v>
      </c>
    </row>
    <row r="31" ht="15.75" customHeight="1">
      <c r="A31" s="6" t="s">
        <v>955</v>
      </c>
      <c r="B31" s="6" t="s">
        <v>958</v>
      </c>
      <c r="C31" s="3" t="s">
        <v>13</v>
      </c>
      <c r="D31" s="3">
        <v>190180.0</v>
      </c>
      <c r="E31" s="8">
        <v>11.05</v>
      </c>
      <c r="F31" s="3">
        <v>84.0</v>
      </c>
      <c r="G31" s="7">
        <v>43294.0</v>
      </c>
      <c r="H31" s="3" t="s">
        <v>5</v>
      </c>
      <c r="I31" s="8">
        <v>0.0</v>
      </c>
      <c r="J31" s="6" t="s">
        <v>323</v>
      </c>
      <c r="K31" s="3" t="s">
        <v>568</v>
      </c>
    </row>
    <row r="32" ht="15.75" customHeight="1">
      <c r="A32" s="6" t="s">
        <v>975</v>
      </c>
      <c r="B32" s="6" t="s">
        <v>977</v>
      </c>
      <c r="C32" s="3" t="s">
        <v>13</v>
      </c>
      <c r="D32" s="3">
        <v>285480.0</v>
      </c>
      <c r="E32" s="8">
        <v>8.13</v>
      </c>
      <c r="F32" s="3">
        <v>36.0</v>
      </c>
      <c r="G32" s="7">
        <v>42868.0</v>
      </c>
      <c r="H32" s="3" t="s">
        <v>6</v>
      </c>
      <c r="I32" s="8">
        <v>153749.25</v>
      </c>
      <c r="J32" s="6" t="s">
        <v>60</v>
      </c>
      <c r="K32" s="3" t="s">
        <v>568</v>
      </c>
    </row>
    <row r="33" ht="15.75" customHeight="1">
      <c r="A33" s="6" t="s">
        <v>990</v>
      </c>
      <c r="B33" s="6" t="s">
        <v>994</v>
      </c>
      <c r="C33" s="3" t="s">
        <v>10</v>
      </c>
      <c r="D33" s="3">
        <v>399127.0</v>
      </c>
      <c r="E33" s="8">
        <v>11.25</v>
      </c>
      <c r="F33" s="3">
        <v>120.0</v>
      </c>
      <c r="G33" s="7">
        <v>45267.0</v>
      </c>
      <c r="H33" s="3" t="s">
        <v>4</v>
      </c>
      <c r="I33" s="8">
        <v>312521.59</v>
      </c>
      <c r="J33" s="6" t="s">
        <v>245</v>
      </c>
      <c r="K33" s="3" t="s">
        <v>568</v>
      </c>
    </row>
    <row r="34" ht="15.75" customHeight="1">
      <c r="A34" s="6" t="s">
        <v>1005</v>
      </c>
      <c r="B34" s="6" t="s">
        <v>304</v>
      </c>
      <c r="C34" s="3" t="s">
        <v>22</v>
      </c>
      <c r="D34" s="3">
        <v>75998.0</v>
      </c>
      <c r="E34" s="8">
        <v>11.32</v>
      </c>
      <c r="F34" s="3">
        <v>24.0</v>
      </c>
      <c r="G34" s="7">
        <v>42411.0</v>
      </c>
      <c r="H34" s="3" t="s">
        <v>4</v>
      </c>
      <c r="I34" s="8">
        <v>45153.21</v>
      </c>
      <c r="J34" s="6" t="s">
        <v>197</v>
      </c>
      <c r="K34" s="3" t="s">
        <v>568</v>
      </c>
    </row>
    <row r="35" ht="15.75" customHeight="1">
      <c r="A35" s="6" t="s">
        <v>1015</v>
      </c>
      <c r="B35" s="6" t="s">
        <v>453</v>
      </c>
      <c r="C35" s="3" t="s">
        <v>15</v>
      </c>
      <c r="D35" s="3">
        <v>5584502.0</v>
      </c>
      <c r="E35" s="8">
        <v>16.29</v>
      </c>
      <c r="F35" s="3">
        <v>84.0</v>
      </c>
      <c r="G35" s="7">
        <v>41039.0</v>
      </c>
      <c r="H35" s="3" t="s">
        <v>4</v>
      </c>
      <c r="I35" s="8">
        <v>4436469.26</v>
      </c>
      <c r="J35" s="6" t="s">
        <v>92</v>
      </c>
      <c r="K35" s="3" t="s">
        <v>568</v>
      </c>
    </row>
    <row r="36" ht="15.75" customHeight="1">
      <c r="A36" s="6" t="s">
        <v>1025</v>
      </c>
      <c r="B36" s="6" t="s">
        <v>1028</v>
      </c>
      <c r="C36" s="3" t="s">
        <v>22</v>
      </c>
      <c r="D36" s="3">
        <v>91015.0</v>
      </c>
      <c r="E36" s="8">
        <v>13.74</v>
      </c>
      <c r="F36" s="3">
        <v>12.0</v>
      </c>
      <c r="G36" s="7">
        <v>45010.0</v>
      </c>
      <c r="H36" s="3" t="s">
        <v>4</v>
      </c>
      <c r="I36" s="8">
        <v>43853.06</v>
      </c>
      <c r="J36" s="6" t="s">
        <v>401</v>
      </c>
      <c r="K36" s="3" t="s">
        <v>568</v>
      </c>
    </row>
    <row r="37" ht="15.75" customHeight="1">
      <c r="A37" s="6" t="s">
        <v>1036</v>
      </c>
      <c r="B37" s="6" t="s">
        <v>1037</v>
      </c>
      <c r="C37" s="3" t="s">
        <v>15</v>
      </c>
      <c r="D37" s="3">
        <v>7813657.0</v>
      </c>
      <c r="E37" s="8">
        <v>11.45</v>
      </c>
      <c r="F37" s="3">
        <v>12.0</v>
      </c>
      <c r="G37" s="7">
        <v>45011.0</v>
      </c>
      <c r="H37" s="3" t="s">
        <v>4</v>
      </c>
      <c r="I37" s="8">
        <v>989647.3</v>
      </c>
      <c r="J37" s="6" t="s">
        <v>266</v>
      </c>
      <c r="K37" s="3" t="s">
        <v>568</v>
      </c>
    </row>
    <row r="38" ht="15.75" customHeight="1">
      <c r="A38" s="6" t="s">
        <v>1047</v>
      </c>
      <c r="B38" s="6" t="s">
        <v>1050</v>
      </c>
      <c r="C38" s="3" t="s">
        <v>10</v>
      </c>
      <c r="D38" s="3">
        <v>1377499.0</v>
      </c>
      <c r="E38" s="8">
        <v>15.01</v>
      </c>
      <c r="F38" s="3">
        <v>180.0</v>
      </c>
      <c r="G38" s="7">
        <v>42150.0</v>
      </c>
      <c r="H38" s="3" t="s">
        <v>4</v>
      </c>
      <c r="I38" s="8">
        <v>525281.66</v>
      </c>
      <c r="J38" s="6" t="s">
        <v>163</v>
      </c>
      <c r="K38" s="3" t="s">
        <v>568</v>
      </c>
    </row>
    <row r="39" ht="15.75" customHeight="1">
      <c r="A39" s="6" t="s">
        <v>1061</v>
      </c>
      <c r="B39" s="6" t="s">
        <v>1064</v>
      </c>
      <c r="C39" s="3" t="s">
        <v>10</v>
      </c>
      <c r="D39" s="3">
        <v>1294855.0</v>
      </c>
      <c r="E39" s="8">
        <v>7.9</v>
      </c>
      <c r="F39" s="3">
        <v>12.0</v>
      </c>
      <c r="G39" s="7">
        <v>43569.0</v>
      </c>
      <c r="H39" s="3" t="s">
        <v>4</v>
      </c>
      <c r="I39" s="8">
        <v>433044.13</v>
      </c>
      <c r="J39" s="6" t="s">
        <v>179</v>
      </c>
      <c r="K39" s="3" t="s">
        <v>568</v>
      </c>
    </row>
    <row r="40" ht="15.75" customHeight="1">
      <c r="A40" s="6" t="s">
        <v>1072</v>
      </c>
      <c r="B40" s="6" t="s">
        <v>1070</v>
      </c>
      <c r="C40" s="3" t="s">
        <v>11</v>
      </c>
      <c r="D40" s="3">
        <v>3562150.0</v>
      </c>
      <c r="E40" s="8">
        <v>16.13</v>
      </c>
      <c r="F40" s="3">
        <v>36.0</v>
      </c>
      <c r="G40" s="7">
        <v>44975.0</v>
      </c>
      <c r="H40" s="3" t="s">
        <v>4</v>
      </c>
      <c r="I40" s="8">
        <v>458391.67</v>
      </c>
      <c r="J40" s="6" t="s">
        <v>397</v>
      </c>
      <c r="K40" s="3" t="s">
        <v>568</v>
      </c>
    </row>
    <row r="41" ht="15.75" customHeight="1">
      <c r="A41" s="6" t="s">
        <v>1083</v>
      </c>
      <c r="B41" s="6" t="s">
        <v>1084</v>
      </c>
      <c r="C41" s="3" t="s">
        <v>10</v>
      </c>
      <c r="D41" s="3">
        <v>394491.0</v>
      </c>
      <c r="E41" s="8">
        <v>12.05</v>
      </c>
      <c r="F41" s="3">
        <v>180.0</v>
      </c>
      <c r="G41" s="7">
        <v>41460.0</v>
      </c>
      <c r="H41" s="3" t="s">
        <v>4</v>
      </c>
      <c r="I41" s="8">
        <v>304657.36</v>
      </c>
      <c r="J41" s="6" t="s">
        <v>36</v>
      </c>
      <c r="K41" s="3" t="s">
        <v>568</v>
      </c>
    </row>
    <row r="42" ht="15.75" customHeight="1">
      <c r="A42" s="6" t="s">
        <v>1092</v>
      </c>
      <c r="B42" s="6" t="s">
        <v>1094</v>
      </c>
      <c r="C42" s="3" t="s">
        <v>15</v>
      </c>
      <c r="D42" s="3">
        <v>7974135.0</v>
      </c>
      <c r="E42" s="8">
        <v>8.71</v>
      </c>
      <c r="F42" s="3">
        <v>60.0</v>
      </c>
      <c r="G42" s="7">
        <v>42927.0</v>
      </c>
      <c r="H42" s="3" t="s">
        <v>4</v>
      </c>
      <c r="I42" s="8">
        <v>2340655.93</v>
      </c>
      <c r="J42" s="6" t="s">
        <v>97</v>
      </c>
      <c r="K42" s="3" t="s">
        <v>568</v>
      </c>
    </row>
    <row r="43" ht="15.75" customHeight="1">
      <c r="A43" s="6" t="s">
        <v>1103</v>
      </c>
      <c r="B43" s="6" t="s">
        <v>1106</v>
      </c>
      <c r="C43" s="3" t="s">
        <v>12</v>
      </c>
      <c r="D43" s="3">
        <v>1948294.0</v>
      </c>
      <c r="E43" s="8">
        <v>13.62</v>
      </c>
      <c r="F43" s="3">
        <v>84.0</v>
      </c>
      <c r="G43" s="7">
        <v>41199.0</v>
      </c>
      <c r="H43" s="3" t="s">
        <v>4</v>
      </c>
      <c r="I43" s="8">
        <v>1684580.01</v>
      </c>
      <c r="J43" s="6" t="s">
        <v>221</v>
      </c>
      <c r="K43" s="3" t="s">
        <v>568</v>
      </c>
    </row>
    <row r="44" ht="15.75" customHeight="1">
      <c r="A44" s="6" t="s">
        <v>1115</v>
      </c>
      <c r="B44" s="6" t="s">
        <v>1117</v>
      </c>
      <c r="C44" s="3" t="s">
        <v>13</v>
      </c>
      <c r="D44" s="3">
        <v>148844.0</v>
      </c>
      <c r="E44" s="8">
        <v>10.59</v>
      </c>
      <c r="F44" s="3">
        <v>12.0</v>
      </c>
      <c r="G44" s="7">
        <v>42871.0</v>
      </c>
      <c r="H44" s="3" t="s">
        <v>6</v>
      </c>
      <c r="I44" s="8">
        <v>133072.25</v>
      </c>
      <c r="J44" s="6" t="s">
        <v>266</v>
      </c>
      <c r="K44" s="3" t="s">
        <v>568</v>
      </c>
    </row>
    <row r="45" ht="15.75" customHeight="1">
      <c r="A45" s="6" t="s">
        <v>1128</v>
      </c>
      <c r="B45" s="6" t="s">
        <v>1129</v>
      </c>
      <c r="C45" s="3" t="s">
        <v>13</v>
      </c>
      <c r="D45" s="3">
        <v>244671.0</v>
      </c>
      <c r="E45" s="8">
        <v>7.81</v>
      </c>
      <c r="F45" s="3">
        <v>24.0</v>
      </c>
      <c r="G45" s="7">
        <v>41136.0</v>
      </c>
      <c r="H45" s="3" t="s">
        <v>4</v>
      </c>
      <c r="I45" s="8">
        <v>213351.42</v>
      </c>
      <c r="J45" s="6" t="s">
        <v>284</v>
      </c>
      <c r="K45" s="3" t="s">
        <v>568</v>
      </c>
    </row>
    <row r="46" ht="15.75" customHeight="1">
      <c r="A46" s="6" t="s">
        <v>1143</v>
      </c>
      <c r="B46" s="6" t="s">
        <v>711</v>
      </c>
      <c r="C46" s="3" t="s">
        <v>11</v>
      </c>
      <c r="D46" s="3">
        <v>4739250.0</v>
      </c>
      <c r="E46" s="8">
        <v>10.42</v>
      </c>
      <c r="F46" s="3">
        <v>180.0</v>
      </c>
      <c r="G46" s="7">
        <v>42009.0</v>
      </c>
      <c r="H46" s="3" t="s">
        <v>4</v>
      </c>
      <c r="I46" s="8">
        <v>4254468.05</v>
      </c>
      <c r="J46" s="6" t="s">
        <v>197</v>
      </c>
      <c r="K46" s="3" t="s">
        <v>568</v>
      </c>
    </row>
    <row r="47" ht="15.75" customHeight="1">
      <c r="A47" s="6" t="s">
        <v>1151</v>
      </c>
      <c r="B47" s="6" t="s">
        <v>1154</v>
      </c>
      <c r="C47" s="3" t="s">
        <v>10</v>
      </c>
      <c r="D47" s="3">
        <v>361168.0</v>
      </c>
      <c r="E47" s="8">
        <v>16.15</v>
      </c>
      <c r="F47" s="3">
        <v>12.0</v>
      </c>
      <c r="G47" s="7">
        <v>43883.0</v>
      </c>
      <c r="H47" s="3" t="s">
        <v>4</v>
      </c>
      <c r="I47" s="8">
        <v>264753.24</v>
      </c>
      <c r="J47" s="6" t="s">
        <v>146</v>
      </c>
      <c r="K47" s="3" t="s">
        <v>568</v>
      </c>
    </row>
    <row r="48" ht="15.75" customHeight="1">
      <c r="A48" s="6" t="s">
        <v>1163</v>
      </c>
      <c r="B48" s="6" t="s">
        <v>407</v>
      </c>
      <c r="C48" s="3" t="s">
        <v>12</v>
      </c>
      <c r="D48" s="3">
        <v>811687.0</v>
      </c>
      <c r="E48" s="8">
        <v>16.18</v>
      </c>
      <c r="F48" s="3">
        <v>24.0</v>
      </c>
      <c r="G48" s="7">
        <v>44080.0</v>
      </c>
      <c r="H48" s="3" t="s">
        <v>4</v>
      </c>
      <c r="I48" s="8">
        <v>672105.22</v>
      </c>
      <c r="J48" s="6" t="s">
        <v>109</v>
      </c>
      <c r="K48" s="3" t="s">
        <v>568</v>
      </c>
    </row>
    <row r="49" ht="15.75" customHeight="1">
      <c r="A49" s="6" t="s">
        <v>1175</v>
      </c>
      <c r="B49" s="6" t="s">
        <v>1177</v>
      </c>
      <c r="C49" s="3" t="s">
        <v>10</v>
      </c>
      <c r="D49" s="3">
        <v>535401.0</v>
      </c>
      <c r="E49" s="8">
        <v>12.42</v>
      </c>
      <c r="F49" s="3">
        <v>60.0</v>
      </c>
      <c r="G49" s="7">
        <v>42876.0</v>
      </c>
      <c r="H49" s="3" t="s">
        <v>5</v>
      </c>
      <c r="I49" s="8">
        <v>0.0</v>
      </c>
      <c r="J49" s="6" t="s">
        <v>333</v>
      </c>
      <c r="K49" s="3" t="s">
        <v>568</v>
      </c>
    </row>
    <row r="50" ht="15.75" customHeight="1">
      <c r="A50" s="6" t="s">
        <v>1182</v>
      </c>
      <c r="B50" s="6" t="s">
        <v>1183</v>
      </c>
      <c r="C50" s="3" t="s">
        <v>12</v>
      </c>
      <c r="D50" s="3">
        <v>1462901.0</v>
      </c>
      <c r="E50" s="8">
        <v>12.92</v>
      </c>
      <c r="F50" s="3">
        <v>240.0</v>
      </c>
      <c r="G50" s="7">
        <v>45051.0</v>
      </c>
      <c r="H50" s="3" t="s">
        <v>7</v>
      </c>
      <c r="I50" s="8">
        <v>1269606.37</v>
      </c>
      <c r="J50" s="6" t="s">
        <v>163</v>
      </c>
      <c r="K50" s="3" t="s">
        <v>568</v>
      </c>
    </row>
    <row r="51" ht="15.75" customHeight="1">
      <c r="A51" s="6" t="s">
        <v>1193</v>
      </c>
      <c r="B51" s="6" t="s">
        <v>1195</v>
      </c>
      <c r="C51" s="3" t="s">
        <v>12</v>
      </c>
      <c r="D51" s="3">
        <v>1013655.0</v>
      </c>
      <c r="E51" s="8">
        <v>10.83</v>
      </c>
      <c r="F51" s="3">
        <v>84.0</v>
      </c>
      <c r="G51" s="7">
        <v>45415.0</v>
      </c>
      <c r="H51" s="3" t="s">
        <v>4</v>
      </c>
      <c r="I51" s="8">
        <v>28713.99</v>
      </c>
      <c r="J51" s="6" t="s">
        <v>208</v>
      </c>
      <c r="K51" s="3" t="s">
        <v>568</v>
      </c>
    </row>
    <row r="52" ht="15.75" customHeight="1">
      <c r="A52" s="6" t="s">
        <v>1206</v>
      </c>
      <c r="B52" s="6" t="s">
        <v>1208</v>
      </c>
      <c r="C52" s="3" t="s">
        <v>11</v>
      </c>
      <c r="D52" s="3">
        <v>4454707.0</v>
      </c>
      <c r="E52" s="8">
        <v>9.24</v>
      </c>
      <c r="F52" s="3">
        <v>24.0</v>
      </c>
      <c r="G52" s="7">
        <v>43357.0</v>
      </c>
      <c r="H52" s="3" t="s">
        <v>4</v>
      </c>
      <c r="I52" s="8">
        <v>948727.12</v>
      </c>
      <c r="J52" s="6" t="s">
        <v>277</v>
      </c>
      <c r="K52" s="3" t="s">
        <v>568</v>
      </c>
    </row>
    <row r="53" ht="15.75" customHeight="1">
      <c r="A53" s="6" t="s">
        <v>1220</v>
      </c>
      <c r="B53" s="6" t="s">
        <v>1221</v>
      </c>
      <c r="C53" s="3" t="s">
        <v>10</v>
      </c>
      <c r="D53" s="3">
        <v>957111.0</v>
      </c>
      <c r="E53" s="8">
        <v>14.78</v>
      </c>
      <c r="F53" s="3">
        <v>84.0</v>
      </c>
      <c r="G53" s="7">
        <v>43287.0</v>
      </c>
      <c r="H53" s="3" t="s">
        <v>4</v>
      </c>
      <c r="I53" s="8">
        <v>145636.31</v>
      </c>
      <c r="J53" s="6" t="s">
        <v>401</v>
      </c>
      <c r="K53" s="3" t="s">
        <v>568</v>
      </c>
    </row>
    <row r="54" ht="15.75" customHeight="1">
      <c r="A54" s="6" t="s">
        <v>1232</v>
      </c>
      <c r="B54" s="6" t="s">
        <v>1236</v>
      </c>
      <c r="C54" s="3" t="s">
        <v>15</v>
      </c>
      <c r="D54" s="3">
        <v>3674794.0</v>
      </c>
      <c r="E54" s="8">
        <v>12.25</v>
      </c>
      <c r="F54" s="3">
        <v>120.0</v>
      </c>
      <c r="G54" s="7">
        <v>43785.0</v>
      </c>
      <c r="H54" s="3" t="s">
        <v>4</v>
      </c>
      <c r="I54" s="8">
        <v>1426034.21</v>
      </c>
      <c r="J54" s="6" t="s">
        <v>284</v>
      </c>
      <c r="K54" s="3" t="s">
        <v>568</v>
      </c>
    </row>
    <row r="55" ht="15.75" customHeight="1">
      <c r="A55" s="6" t="s">
        <v>1247</v>
      </c>
      <c r="B55" s="6" t="s">
        <v>1250</v>
      </c>
      <c r="C55" s="3" t="s">
        <v>22</v>
      </c>
      <c r="D55" s="3">
        <v>273932.0</v>
      </c>
      <c r="E55" s="8">
        <v>8.2</v>
      </c>
      <c r="F55" s="3">
        <v>24.0</v>
      </c>
      <c r="G55" s="7">
        <v>42770.0</v>
      </c>
      <c r="H55" s="3" t="s">
        <v>5</v>
      </c>
      <c r="I55" s="8">
        <v>0.0</v>
      </c>
      <c r="J55" s="6" t="s">
        <v>146</v>
      </c>
      <c r="K55" s="3" t="s">
        <v>568</v>
      </c>
    </row>
    <row r="56" ht="15.75" customHeight="1">
      <c r="A56" s="6" t="s">
        <v>1263</v>
      </c>
      <c r="B56" s="6" t="s">
        <v>1265</v>
      </c>
      <c r="C56" s="3" t="s">
        <v>13</v>
      </c>
      <c r="D56" s="3">
        <v>288241.0</v>
      </c>
      <c r="E56" s="8">
        <v>14.17</v>
      </c>
      <c r="F56" s="3">
        <v>60.0</v>
      </c>
      <c r="G56" s="7">
        <v>41930.0</v>
      </c>
      <c r="H56" s="3" t="s">
        <v>4</v>
      </c>
      <c r="I56" s="8">
        <v>96096.28</v>
      </c>
      <c r="J56" s="6" t="s">
        <v>109</v>
      </c>
      <c r="K56" s="3" t="s">
        <v>568</v>
      </c>
    </row>
    <row r="57" ht="15.75" customHeight="1">
      <c r="A57" s="6" t="s">
        <v>1278</v>
      </c>
      <c r="B57" s="6" t="s">
        <v>1279</v>
      </c>
      <c r="C57" s="3" t="s">
        <v>15</v>
      </c>
      <c r="D57" s="3">
        <v>8325007.0</v>
      </c>
      <c r="E57" s="8">
        <v>13.46</v>
      </c>
      <c r="F57" s="3">
        <v>60.0</v>
      </c>
      <c r="G57" s="7">
        <v>45333.0</v>
      </c>
      <c r="H57" s="3" t="s">
        <v>4</v>
      </c>
      <c r="I57" s="8">
        <v>365861.64</v>
      </c>
      <c r="J57" s="6" t="s">
        <v>146</v>
      </c>
      <c r="K57" s="3" t="s">
        <v>568</v>
      </c>
    </row>
    <row r="58" ht="15.75" customHeight="1">
      <c r="A58" s="6" t="s">
        <v>1293</v>
      </c>
      <c r="B58" s="6" t="s">
        <v>1295</v>
      </c>
      <c r="C58" s="3" t="s">
        <v>22</v>
      </c>
      <c r="D58" s="3">
        <v>98977.0</v>
      </c>
      <c r="E58" s="8">
        <v>14.9</v>
      </c>
      <c r="F58" s="3">
        <v>180.0</v>
      </c>
      <c r="G58" s="7">
        <v>41584.0</v>
      </c>
      <c r="H58" s="3" t="s">
        <v>4</v>
      </c>
      <c r="I58" s="8">
        <v>1871.04</v>
      </c>
      <c r="J58" s="6" t="s">
        <v>385</v>
      </c>
      <c r="K58" s="3" t="s">
        <v>568</v>
      </c>
    </row>
    <row r="59" ht="15.75" customHeight="1">
      <c r="A59" s="6" t="s">
        <v>1309</v>
      </c>
      <c r="B59" s="6" t="s">
        <v>1310</v>
      </c>
      <c r="C59" s="3" t="s">
        <v>11</v>
      </c>
      <c r="D59" s="3">
        <v>4548531.0</v>
      </c>
      <c r="E59" s="8">
        <v>9.63</v>
      </c>
      <c r="F59" s="3">
        <v>84.0</v>
      </c>
      <c r="G59" s="7">
        <v>41885.0</v>
      </c>
      <c r="H59" s="3" t="s">
        <v>4</v>
      </c>
      <c r="I59" s="8">
        <v>3129323.56</v>
      </c>
      <c r="J59" s="6" t="s">
        <v>288</v>
      </c>
      <c r="K59" s="3" t="s">
        <v>568</v>
      </c>
    </row>
    <row r="60" ht="15.75" customHeight="1">
      <c r="A60" s="6" t="s">
        <v>1326</v>
      </c>
      <c r="B60" s="6" t="s">
        <v>561</v>
      </c>
      <c r="C60" s="3" t="s">
        <v>22</v>
      </c>
      <c r="D60" s="3">
        <v>437193.0</v>
      </c>
      <c r="E60" s="8">
        <v>11.87</v>
      </c>
      <c r="F60" s="3">
        <v>240.0</v>
      </c>
      <c r="G60" s="7">
        <v>45207.0</v>
      </c>
      <c r="H60" s="3" t="s">
        <v>6</v>
      </c>
      <c r="I60" s="8">
        <v>426528.03</v>
      </c>
      <c r="J60" s="6" t="s">
        <v>60</v>
      </c>
      <c r="K60" s="3" t="s">
        <v>568</v>
      </c>
    </row>
    <row r="61" ht="15.75" customHeight="1">
      <c r="A61" s="6" t="s">
        <v>1339</v>
      </c>
      <c r="B61" s="6" t="s">
        <v>906</v>
      </c>
      <c r="C61" s="3" t="s">
        <v>12</v>
      </c>
      <c r="D61" s="3">
        <v>1293001.0</v>
      </c>
      <c r="E61" s="8">
        <v>9.96</v>
      </c>
      <c r="F61" s="3">
        <v>84.0</v>
      </c>
      <c r="G61" s="7">
        <v>44339.0</v>
      </c>
      <c r="H61" s="3" t="s">
        <v>4</v>
      </c>
      <c r="I61" s="8">
        <v>1080000.48</v>
      </c>
      <c r="J61" s="6" t="s">
        <v>277</v>
      </c>
      <c r="K61" s="3" t="s">
        <v>568</v>
      </c>
    </row>
    <row r="62" ht="15.75" customHeight="1">
      <c r="A62" s="6" t="s">
        <v>1349</v>
      </c>
      <c r="B62" s="6" t="s">
        <v>1352</v>
      </c>
      <c r="C62" s="3" t="s">
        <v>13</v>
      </c>
      <c r="D62" s="3">
        <v>163311.0</v>
      </c>
      <c r="E62" s="8">
        <v>7.76</v>
      </c>
      <c r="F62" s="3">
        <v>240.0</v>
      </c>
      <c r="G62" s="7">
        <v>42430.0</v>
      </c>
      <c r="H62" s="3" t="s">
        <v>4</v>
      </c>
      <c r="I62" s="8">
        <v>21346.58</v>
      </c>
      <c r="J62" s="6" t="s">
        <v>401</v>
      </c>
      <c r="K62" s="3" t="s">
        <v>568</v>
      </c>
    </row>
    <row r="63" ht="15.75" customHeight="1">
      <c r="A63" s="6" t="s">
        <v>1359</v>
      </c>
      <c r="B63" s="6" t="s">
        <v>1362</v>
      </c>
      <c r="C63" s="3" t="s">
        <v>10</v>
      </c>
      <c r="D63" s="3">
        <v>520761.0</v>
      </c>
      <c r="E63" s="8">
        <v>10.21</v>
      </c>
      <c r="F63" s="3">
        <v>24.0</v>
      </c>
      <c r="G63" s="7">
        <v>41211.0</v>
      </c>
      <c r="H63" s="3" t="s">
        <v>5</v>
      </c>
      <c r="I63" s="8">
        <v>0.0</v>
      </c>
      <c r="J63" s="6" t="s">
        <v>288</v>
      </c>
      <c r="K63" s="3" t="s">
        <v>568</v>
      </c>
    </row>
    <row r="64" ht="15.75" customHeight="1">
      <c r="A64" s="6" t="s">
        <v>1376</v>
      </c>
      <c r="B64" s="6" t="s">
        <v>1378</v>
      </c>
      <c r="C64" s="3" t="s">
        <v>22</v>
      </c>
      <c r="D64" s="3">
        <v>471173.0</v>
      </c>
      <c r="E64" s="8">
        <v>14.38</v>
      </c>
      <c r="F64" s="3">
        <v>120.0</v>
      </c>
      <c r="G64" s="7">
        <v>44117.0</v>
      </c>
      <c r="H64" s="3" t="s">
        <v>7</v>
      </c>
      <c r="I64" s="8">
        <v>159100.71</v>
      </c>
      <c r="J64" s="6" t="s">
        <v>92</v>
      </c>
      <c r="K64" s="3" t="s">
        <v>568</v>
      </c>
    </row>
    <row r="65" ht="15.75" customHeight="1">
      <c r="A65" s="6" t="s">
        <v>1393</v>
      </c>
      <c r="B65" s="6" t="s">
        <v>1395</v>
      </c>
      <c r="C65" s="3" t="s">
        <v>10</v>
      </c>
      <c r="D65" s="3">
        <v>716883.0</v>
      </c>
      <c r="E65" s="8">
        <v>10.42</v>
      </c>
      <c r="F65" s="3">
        <v>84.0</v>
      </c>
      <c r="G65" s="7">
        <v>43697.0</v>
      </c>
      <c r="H65" s="3" t="s">
        <v>7</v>
      </c>
      <c r="I65" s="8">
        <v>271873.22</v>
      </c>
      <c r="J65" s="6" t="s">
        <v>385</v>
      </c>
      <c r="K65" s="3" t="s">
        <v>568</v>
      </c>
    </row>
    <row r="66" ht="15.75" customHeight="1">
      <c r="A66" s="6" t="s">
        <v>1409</v>
      </c>
      <c r="B66" s="6" t="s">
        <v>1410</v>
      </c>
      <c r="C66" s="3" t="s">
        <v>22</v>
      </c>
      <c r="D66" s="3">
        <v>842220.0</v>
      </c>
      <c r="E66" s="8">
        <v>12.06</v>
      </c>
      <c r="F66" s="3">
        <v>12.0</v>
      </c>
      <c r="G66" s="7">
        <v>44553.0</v>
      </c>
      <c r="H66" s="3" t="s">
        <v>4</v>
      </c>
      <c r="I66" s="8">
        <v>53335.04</v>
      </c>
      <c r="J66" s="6" t="s">
        <v>385</v>
      </c>
      <c r="K66" s="3" t="s">
        <v>568</v>
      </c>
    </row>
    <row r="67" ht="15.75" customHeight="1">
      <c r="A67" s="6" t="s">
        <v>1428</v>
      </c>
      <c r="B67" s="6" t="s">
        <v>1431</v>
      </c>
      <c r="C67" s="3" t="s">
        <v>11</v>
      </c>
      <c r="D67" s="3">
        <v>2744279.0</v>
      </c>
      <c r="E67" s="8">
        <v>12.17</v>
      </c>
      <c r="F67" s="3">
        <v>120.0</v>
      </c>
      <c r="G67" s="7">
        <v>44095.0</v>
      </c>
      <c r="H67" s="3" t="s">
        <v>5</v>
      </c>
      <c r="I67" s="8">
        <v>0.0</v>
      </c>
      <c r="J67" s="6" t="s">
        <v>60</v>
      </c>
      <c r="K67" s="3" t="s">
        <v>568</v>
      </c>
    </row>
    <row r="68" ht="15.75" customHeight="1">
      <c r="A68" s="6" t="s">
        <v>1441</v>
      </c>
      <c r="B68" s="6" t="s">
        <v>483</v>
      </c>
      <c r="C68" s="3" t="s">
        <v>11</v>
      </c>
      <c r="D68" s="3">
        <v>1330889.0</v>
      </c>
      <c r="E68" s="8">
        <v>8.36</v>
      </c>
      <c r="F68" s="3">
        <v>24.0</v>
      </c>
      <c r="G68" s="7">
        <v>44055.0</v>
      </c>
      <c r="H68" s="3" t="s">
        <v>4</v>
      </c>
      <c r="I68" s="8">
        <v>1040684.29</v>
      </c>
      <c r="J68" s="6" t="s">
        <v>146</v>
      </c>
      <c r="K68" s="3" t="s">
        <v>568</v>
      </c>
    </row>
    <row r="69" ht="15.75" customHeight="1">
      <c r="A69" s="6" t="s">
        <v>1457</v>
      </c>
      <c r="B69" s="6" t="s">
        <v>1458</v>
      </c>
      <c r="C69" s="3" t="s">
        <v>13</v>
      </c>
      <c r="D69" s="3">
        <v>217663.0</v>
      </c>
      <c r="E69" s="8">
        <v>15.19</v>
      </c>
      <c r="F69" s="3">
        <v>120.0</v>
      </c>
      <c r="G69" s="7">
        <v>45177.0</v>
      </c>
      <c r="H69" s="3" t="s">
        <v>7</v>
      </c>
      <c r="I69" s="8">
        <v>34012.27</v>
      </c>
      <c r="J69" s="6" t="s">
        <v>221</v>
      </c>
      <c r="K69" s="3" t="s">
        <v>568</v>
      </c>
    </row>
    <row r="70" ht="15.75" customHeight="1">
      <c r="A70" s="6" t="s">
        <v>1473</v>
      </c>
      <c r="B70" s="6" t="s">
        <v>1476</v>
      </c>
      <c r="C70" s="3" t="s">
        <v>15</v>
      </c>
      <c r="D70" s="3">
        <v>6495857.0</v>
      </c>
      <c r="E70" s="8">
        <v>12.3</v>
      </c>
      <c r="F70" s="3">
        <v>84.0</v>
      </c>
      <c r="G70" s="7">
        <v>43131.0</v>
      </c>
      <c r="H70" s="3" t="s">
        <v>4</v>
      </c>
      <c r="I70" s="8">
        <v>4109376.4</v>
      </c>
      <c r="J70" s="6" t="s">
        <v>80</v>
      </c>
      <c r="K70" s="3" t="s">
        <v>568</v>
      </c>
    </row>
    <row r="71" ht="15.75" customHeight="1">
      <c r="A71" s="6" t="s">
        <v>1482</v>
      </c>
      <c r="B71" s="6" t="s">
        <v>1485</v>
      </c>
      <c r="C71" s="3" t="s">
        <v>11</v>
      </c>
      <c r="D71" s="3">
        <v>3987887.0</v>
      </c>
      <c r="E71" s="8">
        <v>11.39</v>
      </c>
      <c r="F71" s="3">
        <v>36.0</v>
      </c>
      <c r="G71" s="7">
        <v>44501.0</v>
      </c>
      <c r="H71" s="3" t="s">
        <v>4</v>
      </c>
      <c r="I71" s="8">
        <v>766652.95</v>
      </c>
      <c r="J71" s="6" t="s">
        <v>333</v>
      </c>
      <c r="K71" s="3" t="s">
        <v>568</v>
      </c>
    </row>
    <row r="72" ht="15.75" customHeight="1">
      <c r="A72" s="6" t="s">
        <v>1494</v>
      </c>
      <c r="B72" s="6" t="s">
        <v>1043</v>
      </c>
      <c r="C72" s="3" t="s">
        <v>15</v>
      </c>
      <c r="D72" s="3">
        <v>6829475.0</v>
      </c>
      <c r="E72" s="8">
        <v>11.32</v>
      </c>
      <c r="F72" s="3">
        <v>60.0</v>
      </c>
      <c r="G72" s="7">
        <v>41296.0</v>
      </c>
      <c r="H72" s="3" t="s">
        <v>5</v>
      </c>
      <c r="I72" s="8">
        <v>0.0</v>
      </c>
      <c r="J72" s="6" t="s">
        <v>136</v>
      </c>
      <c r="K72" s="3" t="s">
        <v>568</v>
      </c>
    </row>
    <row r="73" ht="15.75" customHeight="1">
      <c r="A73" s="6" t="s">
        <v>1506</v>
      </c>
      <c r="B73" s="6" t="s">
        <v>1292</v>
      </c>
      <c r="C73" s="3" t="s">
        <v>15</v>
      </c>
      <c r="D73" s="3">
        <v>5402002.0</v>
      </c>
      <c r="E73" s="8">
        <v>10.18</v>
      </c>
      <c r="F73" s="3">
        <v>60.0</v>
      </c>
      <c r="G73" s="7">
        <v>42670.0</v>
      </c>
      <c r="H73" s="3" t="s">
        <v>6</v>
      </c>
      <c r="I73" s="8">
        <v>2718524.57</v>
      </c>
      <c r="J73" s="6" t="s">
        <v>208</v>
      </c>
      <c r="K73" s="3" t="s">
        <v>568</v>
      </c>
    </row>
    <row r="74" ht="15.75" customHeight="1">
      <c r="A74" s="6" t="s">
        <v>1523</v>
      </c>
      <c r="B74" s="6" t="s">
        <v>1525</v>
      </c>
      <c r="C74" s="3" t="s">
        <v>10</v>
      </c>
      <c r="D74" s="3">
        <v>431107.0</v>
      </c>
      <c r="E74" s="8">
        <v>14.22</v>
      </c>
      <c r="F74" s="3">
        <v>60.0</v>
      </c>
      <c r="G74" s="7">
        <v>43411.0</v>
      </c>
      <c r="H74" s="3" t="s">
        <v>4</v>
      </c>
      <c r="I74" s="8">
        <v>380902.49</v>
      </c>
      <c r="J74" s="6" t="s">
        <v>333</v>
      </c>
      <c r="K74" s="3" t="s">
        <v>568</v>
      </c>
    </row>
    <row r="75" ht="15.75" customHeight="1">
      <c r="A75" s="6" t="s">
        <v>1541</v>
      </c>
      <c r="B75" s="6" t="s">
        <v>1542</v>
      </c>
      <c r="C75" s="3" t="s">
        <v>12</v>
      </c>
      <c r="D75" s="3">
        <v>1558549.0</v>
      </c>
      <c r="E75" s="8">
        <v>9.61</v>
      </c>
      <c r="F75" s="3">
        <v>120.0</v>
      </c>
      <c r="G75" s="7">
        <v>45058.0</v>
      </c>
      <c r="H75" s="3" t="s">
        <v>4</v>
      </c>
      <c r="I75" s="8">
        <v>360949.79</v>
      </c>
      <c r="J75" s="6" t="s">
        <v>92</v>
      </c>
      <c r="K75" s="3" t="s">
        <v>568</v>
      </c>
    </row>
    <row r="76" ht="15.75" customHeight="1">
      <c r="A76" s="6" t="s">
        <v>1556</v>
      </c>
      <c r="B76" s="6" t="s">
        <v>1559</v>
      </c>
      <c r="C76" s="3" t="s">
        <v>13</v>
      </c>
      <c r="D76" s="3">
        <v>462788.0</v>
      </c>
      <c r="E76" s="8">
        <v>9.37</v>
      </c>
      <c r="F76" s="3">
        <v>180.0</v>
      </c>
      <c r="G76" s="7">
        <v>42155.0</v>
      </c>
      <c r="H76" s="3" t="s">
        <v>4</v>
      </c>
      <c r="I76" s="8">
        <v>70483.11</v>
      </c>
      <c r="J76" s="6" t="s">
        <v>97</v>
      </c>
      <c r="K76" s="3" t="s">
        <v>568</v>
      </c>
    </row>
    <row r="77" ht="15.75" customHeight="1">
      <c r="A77" s="6" t="s">
        <v>1573</v>
      </c>
      <c r="B77" s="6" t="s">
        <v>1576</v>
      </c>
      <c r="C77" s="3" t="s">
        <v>11</v>
      </c>
      <c r="D77" s="3">
        <v>4274069.0</v>
      </c>
      <c r="E77" s="8">
        <v>8.77</v>
      </c>
      <c r="F77" s="3">
        <v>180.0</v>
      </c>
      <c r="G77" s="7">
        <v>43213.0</v>
      </c>
      <c r="H77" s="3" t="s">
        <v>5</v>
      </c>
      <c r="I77" s="8">
        <v>0.0</v>
      </c>
      <c r="J77" s="6" t="s">
        <v>197</v>
      </c>
      <c r="K77" s="3" t="s">
        <v>568</v>
      </c>
    </row>
    <row r="78" ht="15.75" customHeight="1">
      <c r="A78" s="6" t="s">
        <v>1584</v>
      </c>
      <c r="B78" s="6" t="s">
        <v>1064</v>
      </c>
      <c r="C78" s="3" t="s">
        <v>22</v>
      </c>
      <c r="D78" s="3">
        <v>836116.0</v>
      </c>
      <c r="E78" s="8">
        <v>11.73</v>
      </c>
      <c r="F78" s="3">
        <v>36.0</v>
      </c>
      <c r="G78" s="7">
        <v>45092.0</v>
      </c>
      <c r="H78" s="3" t="s">
        <v>4</v>
      </c>
      <c r="I78" s="8">
        <v>300466.24</v>
      </c>
      <c r="J78" s="6" t="s">
        <v>136</v>
      </c>
      <c r="K78" s="3" t="s">
        <v>568</v>
      </c>
    </row>
    <row r="79" ht="15.75" customHeight="1">
      <c r="A79" s="6" t="s">
        <v>1599</v>
      </c>
      <c r="B79" s="6" t="s">
        <v>1600</v>
      </c>
      <c r="C79" s="3" t="s">
        <v>11</v>
      </c>
      <c r="D79" s="3">
        <v>3977644.0</v>
      </c>
      <c r="E79" s="8">
        <v>12.45</v>
      </c>
      <c r="F79" s="3">
        <v>24.0</v>
      </c>
      <c r="G79" s="7">
        <v>43007.0</v>
      </c>
      <c r="H79" s="3" t="s">
        <v>5</v>
      </c>
      <c r="I79" s="8">
        <v>0.0</v>
      </c>
      <c r="J79" s="6" t="s">
        <v>97</v>
      </c>
      <c r="K79" s="3" t="s">
        <v>568</v>
      </c>
    </row>
    <row r="80" ht="15.75" customHeight="1">
      <c r="A80" s="6" t="s">
        <v>1616</v>
      </c>
      <c r="B80" s="6" t="s">
        <v>1434</v>
      </c>
      <c r="C80" s="3" t="s">
        <v>22</v>
      </c>
      <c r="D80" s="3">
        <v>133440.0</v>
      </c>
      <c r="E80" s="8">
        <v>12.23</v>
      </c>
      <c r="F80" s="3">
        <v>84.0</v>
      </c>
      <c r="G80" s="7">
        <v>41810.0</v>
      </c>
      <c r="H80" s="3" t="s">
        <v>4</v>
      </c>
      <c r="I80" s="8">
        <v>88880.88</v>
      </c>
      <c r="J80" s="6" t="s">
        <v>171</v>
      </c>
      <c r="K80" s="3" t="s">
        <v>568</v>
      </c>
    </row>
    <row r="81" ht="15.75" customHeight="1">
      <c r="A81" s="6" t="s">
        <v>1626</v>
      </c>
      <c r="B81" s="6" t="s">
        <v>1627</v>
      </c>
      <c r="C81" s="3" t="s">
        <v>12</v>
      </c>
      <c r="D81" s="3">
        <v>540244.0</v>
      </c>
      <c r="E81" s="8">
        <v>12.29</v>
      </c>
      <c r="F81" s="3">
        <v>24.0</v>
      </c>
      <c r="G81" s="7">
        <v>44568.0</v>
      </c>
      <c r="H81" s="3" t="s">
        <v>4</v>
      </c>
      <c r="I81" s="8">
        <v>336684.32</v>
      </c>
      <c r="J81" s="6" t="s">
        <v>288</v>
      </c>
      <c r="K81" s="3" t="s">
        <v>568</v>
      </c>
    </row>
    <row r="82" ht="15.75" customHeight="1">
      <c r="A82" s="6" t="s">
        <v>1638</v>
      </c>
      <c r="B82" s="6" t="s">
        <v>1641</v>
      </c>
      <c r="C82" s="3" t="s">
        <v>22</v>
      </c>
      <c r="D82" s="3">
        <v>343684.0</v>
      </c>
      <c r="E82" s="8">
        <v>15.01</v>
      </c>
      <c r="F82" s="3">
        <v>84.0</v>
      </c>
      <c r="G82" s="7">
        <v>41818.0</v>
      </c>
      <c r="H82" s="3" t="s">
        <v>4</v>
      </c>
      <c r="I82" s="8">
        <v>302777.06</v>
      </c>
      <c r="J82" s="6" t="s">
        <v>179</v>
      </c>
      <c r="K82" s="3" t="s">
        <v>568</v>
      </c>
    </row>
    <row r="83" ht="15.75" customHeight="1">
      <c r="A83" s="6" t="s">
        <v>1652</v>
      </c>
      <c r="B83" s="6" t="s">
        <v>1657</v>
      </c>
      <c r="C83" s="3" t="s">
        <v>13</v>
      </c>
      <c r="D83" s="3">
        <v>479213.0</v>
      </c>
      <c r="E83" s="8">
        <v>11.48</v>
      </c>
      <c r="F83" s="3">
        <v>12.0</v>
      </c>
      <c r="G83" s="7">
        <v>45332.0</v>
      </c>
      <c r="H83" s="3" t="s">
        <v>5</v>
      </c>
      <c r="I83" s="8">
        <v>0.0</v>
      </c>
      <c r="J83" s="6" t="s">
        <v>245</v>
      </c>
      <c r="K83" s="3" t="s">
        <v>568</v>
      </c>
    </row>
    <row r="84" ht="15.75" customHeight="1">
      <c r="A84" s="6" t="s">
        <v>1669</v>
      </c>
      <c r="B84" s="6" t="s">
        <v>1670</v>
      </c>
      <c r="C84" s="3" t="s">
        <v>12</v>
      </c>
      <c r="D84" s="3">
        <v>1618386.0</v>
      </c>
      <c r="E84" s="8">
        <v>11.45</v>
      </c>
      <c r="F84" s="3">
        <v>60.0</v>
      </c>
      <c r="G84" s="7">
        <v>42217.0</v>
      </c>
      <c r="H84" s="3" t="s">
        <v>4</v>
      </c>
      <c r="I84" s="8">
        <v>858065.19</v>
      </c>
      <c r="J84" s="6" t="s">
        <v>333</v>
      </c>
      <c r="K84" s="3" t="s">
        <v>568</v>
      </c>
    </row>
    <row r="85" ht="15.75" customHeight="1">
      <c r="A85" s="6" t="s">
        <v>1698</v>
      </c>
      <c r="B85" s="6" t="s">
        <v>1700</v>
      </c>
      <c r="C85" s="3" t="s">
        <v>13</v>
      </c>
      <c r="D85" s="3">
        <v>303384.0</v>
      </c>
      <c r="E85" s="8">
        <v>9.45</v>
      </c>
      <c r="F85" s="3">
        <v>24.0</v>
      </c>
      <c r="G85" s="7">
        <v>44297.0</v>
      </c>
      <c r="H85" s="3" t="s">
        <v>4</v>
      </c>
      <c r="I85" s="8">
        <v>73727.64</v>
      </c>
      <c r="J85" s="6" t="s">
        <v>301</v>
      </c>
      <c r="K85" s="3" t="s">
        <v>568</v>
      </c>
    </row>
    <row r="86" ht="15.75" customHeight="1">
      <c r="A86" s="6" t="s">
        <v>1712</v>
      </c>
      <c r="B86" s="6" t="s">
        <v>1715</v>
      </c>
      <c r="C86" s="3" t="s">
        <v>15</v>
      </c>
      <c r="D86" s="3">
        <v>4842721.0</v>
      </c>
      <c r="E86" s="8">
        <v>13.98</v>
      </c>
      <c r="F86" s="3">
        <v>84.0</v>
      </c>
      <c r="G86" s="7">
        <v>43688.0</v>
      </c>
      <c r="H86" s="3" t="s">
        <v>4</v>
      </c>
      <c r="I86" s="8">
        <v>2183573.18</v>
      </c>
      <c r="J86" s="6" t="s">
        <v>197</v>
      </c>
      <c r="K86" s="3" t="s">
        <v>568</v>
      </c>
    </row>
    <row r="87" ht="15.75" customHeight="1">
      <c r="A87" s="6" t="s">
        <v>1727</v>
      </c>
      <c r="B87" s="6" t="s">
        <v>1728</v>
      </c>
      <c r="C87" s="3" t="s">
        <v>22</v>
      </c>
      <c r="D87" s="3">
        <v>894460.0</v>
      </c>
      <c r="E87" s="8">
        <v>11.63</v>
      </c>
      <c r="F87" s="3">
        <v>120.0</v>
      </c>
      <c r="G87" s="7">
        <v>45152.0</v>
      </c>
      <c r="H87" s="3" t="s">
        <v>5</v>
      </c>
      <c r="I87" s="8">
        <v>0.0</v>
      </c>
      <c r="J87" s="6" t="s">
        <v>301</v>
      </c>
      <c r="K87" s="3" t="s">
        <v>568</v>
      </c>
    </row>
    <row r="88" ht="15.75" customHeight="1">
      <c r="A88" s="6" t="s">
        <v>1738</v>
      </c>
      <c r="B88" s="6" t="s">
        <v>1741</v>
      </c>
      <c r="C88" s="3" t="s">
        <v>12</v>
      </c>
      <c r="D88" s="3">
        <v>1541050.0</v>
      </c>
      <c r="E88" s="8">
        <v>11.94</v>
      </c>
      <c r="F88" s="3">
        <v>36.0</v>
      </c>
      <c r="G88" s="7">
        <v>45547.0</v>
      </c>
      <c r="H88" s="3" t="s">
        <v>4</v>
      </c>
      <c r="I88" s="8">
        <v>745460.04</v>
      </c>
      <c r="J88" s="6" t="s">
        <v>97</v>
      </c>
      <c r="K88" s="3" t="s">
        <v>568</v>
      </c>
    </row>
    <row r="89" ht="15.75" customHeight="1">
      <c r="A89" s="6" t="s">
        <v>1753</v>
      </c>
      <c r="B89" s="6" t="s">
        <v>1755</v>
      </c>
      <c r="C89" s="3" t="s">
        <v>15</v>
      </c>
      <c r="D89" s="3">
        <v>8781224.0</v>
      </c>
      <c r="E89" s="8">
        <v>14.12</v>
      </c>
      <c r="F89" s="3">
        <v>240.0</v>
      </c>
      <c r="G89" s="7">
        <v>45553.0</v>
      </c>
      <c r="H89" s="3" t="s">
        <v>4</v>
      </c>
      <c r="I89" s="8">
        <v>7395414.68</v>
      </c>
      <c r="J89" s="6" t="s">
        <v>385</v>
      </c>
      <c r="K89" s="3" t="s">
        <v>568</v>
      </c>
    </row>
    <row r="90" ht="15.75" customHeight="1">
      <c r="A90" s="6" t="s">
        <v>1765</v>
      </c>
      <c r="B90" s="6" t="s">
        <v>890</v>
      </c>
      <c r="C90" s="3" t="s">
        <v>15</v>
      </c>
      <c r="D90" s="3">
        <v>5693244.0</v>
      </c>
      <c r="E90" s="8">
        <v>8.47</v>
      </c>
      <c r="F90" s="3">
        <v>12.0</v>
      </c>
      <c r="G90" s="7">
        <v>41485.0</v>
      </c>
      <c r="H90" s="3" t="s">
        <v>4</v>
      </c>
      <c r="I90" s="8">
        <v>3879528.48</v>
      </c>
      <c r="J90" s="6" t="s">
        <v>179</v>
      </c>
      <c r="K90" s="3" t="s">
        <v>568</v>
      </c>
    </row>
    <row r="91" ht="15.75" customHeight="1">
      <c r="A91" s="6" t="s">
        <v>1778</v>
      </c>
      <c r="B91" s="6" t="s">
        <v>1780</v>
      </c>
      <c r="C91" s="3" t="s">
        <v>15</v>
      </c>
      <c r="D91" s="3">
        <v>5753864.0</v>
      </c>
      <c r="E91" s="8">
        <v>14.48</v>
      </c>
      <c r="F91" s="3">
        <v>84.0</v>
      </c>
      <c r="G91" s="7">
        <v>44009.0</v>
      </c>
      <c r="H91" s="3" t="s">
        <v>5</v>
      </c>
      <c r="I91" s="8">
        <v>0.0</v>
      </c>
      <c r="J91" s="6" t="s">
        <v>179</v>
      </c>
      <c r="K91" s="3" t="s">
        <v>568</v>
      </c>
    </row>
    <row r="92" ht="15.75" customHeight="1">
      <c r="A92" s="6" t="s">
        <v>1794</v>
      </c>
      <c r="B92" s="6" t="s">
        <v>1797</v>
      </c>
      <c r="C92" s="3" t="s">
        <v>10</v>
      </c>
      <c r="D92" s="3">
        <v>605317.0</v>
      </c>
      <c r="E92" s="8">
        <v>10.79</v>
      </c>
      <c r="F92" s="3">
        <v>12.0</v>
      </c>
      <c r="G92" s="7">
        <v>43603.0</v>
      </c>
      <c r="H92" s="3" t="s">
        <v>7</v>
      </c>
      <c r="I92" s="8">
        <v>353390.0</v>
      </c>
      <c r="J92" s="6" t="s">
        <v>397</v>
      </c>
      <c r="K92" s="3" t="s">
        <v>568</v>
      </c>
    </row>
    <row r="93" ht="15.75" customHeight="1">
      <c r="A93" s="6" t="s">
        <v>1812</v>
      </c>
      <c r="B93" s="6" t="s">
        <v>1371</v>
      </c>
      <c r="C93" s="3" t="s">
        <v>11</v>
      </c>
      <c r="D93" s="3">
        <v>4962232.0</v>
      </c>
      <c r="E93" s="8">
        <v>12.7</v>
      </c>
      <c r="F93" s="3">
        <v>120.0</v>
      </c>
      <c r="G93" s="7">
        <v>41003.0</v>
      </c>
      <c r="H93" s="3" t="s">
        <v>5</v>
      </c>
      <c r="I93" s="8">
        <v>0.0</v>
      </c>
      <c r="J93" s="6" t="s">
        <v>129</v>
      </c>
      <c r="K93" s="3" t="s">
        <v>568</v>
      </c>
    </row>
    <row r="94" ht="15.75" customHeight="1">
      <c r="A94" s="6" t="s">
        <v>1826</v>
      </c>
      <c r="B94" s="6" t="s">
        <v>1829</v>
      </c>
      <c r="C94" s="3" t="s">
        <v>15</v>
      </c>
      <c r="D94" s="3">
        <v>1738646.0</v>
      </c>
      <c r="E94" s="8">
        <v>15.29</v>
      </c>
      <c r="F94" s="3">
        <v>240.0</v>
      </c>
      <c r="G94" s="7">
        <v>42718.0</v>
      </c>
      <c r="H94" s="3" t="s">
        <v>4</v>
      </c>
      <c r="I94" s="8">
        <v>147208.15</v>
      </c>
      <c r="J94" s="6" t="s">
        <v>397</v>
      </c>
      <c r="K94" s="3" t="s">
        <v>568</v>
      </c>
    </row>
    <row r="95" ht="15.75" customHeight="1">
      <c r="A95" s="6" t="s">
        <v>1836</v>
      </c>
      <c r="B95" s="6" t="s">
        <v>1837</v>
      </c>
      <c r="C95" s="3" t="s">
        <v>13</v>
      </c>
      <c r="D95" s="3">
        <v>51530.0</v>
      </c>
      <c r="E95" s="8">
        <v>15.29</v>
      </c>
      <c r="F95" s="3">
        <v>240.0</v>
      </c>
      <c r="G95" s="7">
        <v>42923.0</v>
      </c>
      <c r="H95" s="3" t="s">
        <v>5</v>
      </c>
      <c r="I95" s="8">
        <v>0.0</v>
      </c>
      <c r="J95" s="6" t="s">
        <v>311</v>
      </c>
      <c r="K95" s="3" t="s">
        <v>568</v>
      </c>
    </row>
    <row r="96" ht="15.75" customHeight="1">
      <c r="A96" s="6" t="s">
        <v>1850</v>
      </c>
      <c r="B96" s="6" t="s">
        <v>1853</v>
      </c>
      <c r="C96" s="3" t="s">
        <v>22</v>
      </c>
      <c r="D96" s="3">
        <v>628990.0</v>
      </c>
      <c r="E96" s="8">
        <v>12.96</v>
      </c>
      <c r="F96" s="3">
        <v>180.0</v>
      </c>
      <c r="G96" s="7">
        <v>45592.0</v>
      </c>
      <c r="H96" s="3" t="s">
        <v>5</v>
      </c>
      <c r="I96" s="8">
        <v>0.0</v>
      </c>
      <c r="J96" s="6" t="s">
        <v>163</v>
      </c>
      <c r="K96" s="3" t="s">
        <v>568</v>
      </c>
    </row>
    <row r="97" ht="15.75" customHeight="1">
      <c r="A97" s="6" t="s">
        <v>1866</v>
      </c>
      <c r="B97" s="6" t="s">
        <v>870</v>
      </c>
      <c r="C97" s="3" t="s">
        <v>11</v>
      </c>
      <c r="D97" s="3">
        <v>4204150.0</v>
      </c>
      <c r="E97" s="8">
        <v>15.92</v>
      </c>
      <c r="F97" s="3">
        <v>36.0</v>
      </c>
      <c r="G97" s="7">
        <v>41802.0</v>
      </c>
      <c r="H97" s="3" t="s">
        <v>5</v>
      </c>
      <c r="I97" s="8">
        <v>0.0</v>
      </c>
      <c r="J97" s="6" t="s">
        <v>80</v>
      </c>
      <c r="K97" s="3" t="s">
        <v>568</v>
      </c>
    </row>
    <row r="98" ht="15.75" customHeight="1">
      <c r="A98" s="6" t="s">
        <v>1879</v>
      </c>
      <c r="B98" s="6" t="s">
        <v>759</v>
      </c>
      <c r="C98" s="3" t="s">
        <v>10</v>
      </c>
      <c r="D98" s="3">
        <v>1339738.0</v>
      </c>
      <c r="E98" s="8">
        <v>8.85</v>
      </c>
      <c r="F98" s="3">
        <v>36.0</v>
      </c>
      <c r="G98" s="7">
        <v>42361.0</v>
      </c>
      <c r="H98" s="3" t="s">
        <v>4</v>
      </c>
      <c r="I98" s="8">
        <v>598074.02</v>
      </c>
      <c r="J98" s="6" t="s">
        <v>323</v>
      </c>
      <c r="K98" s="3" t="s">
        <v>568</v>
      </c>
    </row>
    <row r="99" ht="15.75" customHeight="1">
      <c r="A99" s="6" t="s">
        <v>1895</v>
      </c>
      <c r="B99" s="6" t="s">
        <v>1896</v>
      </c>
      <c r="C99" s="3" t="s">
        <v>13</v>
      </c>
      <c r="D99" s="3">
        <v>479395.0</v>
      </c>
      <c r="E99" s="8">
        <v>12.34</v>
      </c>
      <c r="F99" s="3">
        <v>180.0</v>
      </c>
      <c r="G99" s="7">
        <v>41310.0</v>
      </c>
      <c r="H99" s="3" t="s">
        <v>7</v>
      </c>
      <c r="I99" s="8">
        <v>4433.5</v>
      </c>
      <c r="J99" s="6" t="s">
        <v>109</v>
      </c>
      <c r="K99" s="3" t="s">
        <v>568</v>
      </c>
    </row>
    <row r="100" ht="15.75" customHeight="1">
      <c r="A100" s="6" t="s">
        <v>1909</v>
      </c>
      <c r="B100" s="6" t="s">
        <v>1911</v>
      </c>
      <c r="C100" s="3" t="s">
        <v>11</v>
      </c>
      <c r="D100" s="3">
        <v>3337250.0</v>
      </c>
      <c r="E100" s="8">
        <v>9.08</v>
      </c>
      <c r="F100" s="3">
        <v>60.0</v>
      </c>
      <c r="G100" s="7">
        <v>44503.0</v>
      </c>
      <c r="H100" s="3" t="s">
        <v>4</v>
      </c>
      <c r="I100" s="8">
        <v>2999114.83</v>
      </c>
      <c r="J100" s="6" t="s">
        <v>97</v>
      </c>
      <c r="K100" s="3" t="s">
        <v>568</v>
      </c>
    </row>
    <row r="101" ht="15.75" customHeight="1">
      <c r="A101" s="6" t="s">
        <v>1923</v>
      </c>
      <c r="B101" s="6" t="s">
        <v>1924</v>
      </c>
      <c r="C101" s="3" t="s">
        <v>13</v>
      </c>
      <c r="D101" s="3">
        <v>160176.0</v>
      </c>
      <c r="E101" s="8">
        <v>7.86</v>
      </c>
      <c r="F101" s="3">
        <v>60.0</v>
      </c>
      <c r="G101" s="7">
        <v>41901.0</v>
      </c>
      <c r="H101" s="3" t="s">
        <v>5</v>
      </c>
      <c r="I101" s="8">
        <v>0.0</v>
      </c>
      <c r="J101" s="6" t="s">
        <v>36</v>
      </c>
      <c r="K101" s="3" t="s">
        <v>568</v>
      </c>
    </row>
    <row r="102" ht="15.75" customHeight="1">
      <c r="A102" s="6" t="s">
        <v>1933</v>
      </c>
      <c r="B102" s="6" t="s">
        <v>1937</v>
      </c>
      <c r="C102" s="3" t="s">
        <v>11</v>
      </c>
      <c r="D102" s="3">
        <v>2643779.0</v>
      </c>
      <c r="E102" s="8">
        <v>7.52</v>
      </c>
      <c r="F102" s="3">
        <v>84.0</v>
      </c>
      <c r="G102" s="7">
        <v>44247.0</v>
      </c>
      <c r="H102" s="3" t="s">
        <v>5</v>
      </c>
      <c r="I102" s="8">
        <v>0.0</v>
      </c>
      <c r="J102" s="6" t="s">
        <v>92</v>
      </c>
      <c r="K102" s="3" t="s">
        <v>568</v>
      </c>
    </row>
    <row r="103" ht="15.75" customHeight="1">
      <c r="A103" s="6" t="s">
        <v>1945</v>
      </c>
      <c r="B103" s="6" t="s">
        <v>994</v>
      </c>
      <c r="C103" s="3" t="s">
        <v>10</v>
      </c>
      <c r="D103" s="3">
        <v>459780.0</v>
      </c>
      <c r="E103" s="8">
        <v>13.54</v>
      </c>
      <c r="F103" s="3">
        <v>60.0</v>
      </c>
      <c r="G103" s="7">
        <v>41832.0</v>
      </c>
      <c r="H103" s="3" t="s">
        <v>4</v>
      </c>
      <c r="I103" s="8">
        <v>359565.2</v>
      </c>
      <c r="J103" s="6" t="s">
        <v>80</v>
      </c>
      <c r="K103" s="3" t="s">
        <v>568</v>
      </c>
    </row>
    <row r="104" ht="15.75" customHeight="1">
      <c r="A104" s="6" t="s">
        <v>1963</v>
      </c>
      <c r="B104" s="6" t="s">
        <v>1965</v>
      </c>
      <c r="C104" s="3" t="s">
        <v>15</v>
      </c>
      <c r="D104" s="3">
        <v>2566590.0</v>
      </c>
      <c r="E104" s="8">
        <v>12.62</v>
      </c>
      <c r="F104" s="3">
        <v>60.0</v>
      </c>
      <c r="G104" s="7">
        <v>41900.0</v>
      </c>
      <c r="H104" s="3" t="s">
        <v>6</v>
      </c>
      <c r="I104" s="8">
        <v>2101456.16</v>
      </c>
      <c r="J104" s="6" t="s">
        <v>288</v>
      </c>
      <c r="K104" s="3" t="s">
        <v>568</v>
      </c>
    </row>
    <row r="105" ht="15.75" customHeight="1">
      <c r="A105" s="6" t="s">
        <v>1971</v>
      </c>
      <c r="B105" s="6" t="s">
        <v>1975</v>
      </c>
      <c r="C105" s="3" t="s">
        <v>10</v>
      </c>
      <c r="D105" s="3">
        <v>1263843.0</v>
      </c>
      <c r="E105" s="8">
        <v>10.35</v>
      </c>
      <c r="F105" s="3">
        <v>60.0</v>
      </c>
      <c r="G105" s="7">
        <v>44963.0</v>
      </c>
      <c r="H105" s="3" t="s">
        <v>6</v>
      </c>
      <c r="I105" s="8">
        <v>740652.85</v>
      </c>
      <c r="J105" s="6" t="s">
        <v>352</v>
      </c>
      <c r="K105" s="3" t="s">
        <v>568</v>
      </c>
    </row>
    <row r="106" ht="15.75" customHeight="1">
      <c r="A106" s="6" t="s">
        <v>1984</v>
      </c>
      <c r="B106" s="6" t="s">
        <v>1987</v>
      </c>
      <c r="C106" s="3" t="s">
        <v>11</v>
      </c>
      <c r="D106" s="3">
        <v>1007909.0</v>
      </c>
      <c r="E106" s="8">
        <v>13.64</v>
      </c>
      <c r="F106" s="3">
        <v>60.0</v>
      </c>
      <c r="G106" s="7">
        <v>43689.0</v>
      </c>
      <c r="H106" s="3" t="s">
        <v>5</v>
      </c>
      <c r="I106" s="8">
        <v>0.0</v>
      </c>
      <c r="J106" s="6" t="s">
        <v>311</v>
      </c>
      <c r="K106" s="3" t="s">
        <v>568</v>
      </c>
    </row>
    <row r="107" ht="15.75" customHeight="1">
      <c r="A107" s="6" t="s">
        <v>1998</v>
      </c>
      <c r="B107" s="6" t="s">
        <v>804</v>
      </c>
      <c r="C107" s="3" t="s">
        <v>12</v>
      </c>
      <c r="D107" s="3">
        <v>1489045.0</v>
      </c>
      <c r="E107" s="8">
        <v>14.69</v>
      </c>
      <c r="F107" s="3">
        <v>24.0</v>
      </c>
      <c r="G107" s="7">
        <v>45334.0</v>
      </c>
      <c r="H107" s="3" t="s">
        <v>7</v>
      </c>
      <c r="I107" s="8">
        <v>1249311.51</v>
      </c>
      <c r="J107" s="6" t="s">
        <v>385</v>
      </c>
      <c r="K107" s="3" t="s">
        <v>568</v>
      </c>
    </row>
    <row r="108" ht="15.75" customHeight="1">
      <c r="A108" s="6" t="s">
        <v>2013</v>
      </c>
      <c r="B108" s="6" t="s">
        <v>384</v>
      </c>
      <c r="C108" s="3" t="s">
        <v>15</v>
      </c>
      <c r="D108" s="3">
        <v>7470141.0</v>
      </c>
      <c r="E108" s="8">
        <v>16.0</v>
      </c>
      <c r="F108" s="3">
        <v>240.0</v>
      </c>
      <c r="G108" s="7">
        <v>45586.0</v>
      </c>
      <c r="H108" s="3" t="s">
        <v>5</v>
      </c>
      <c r="I108" s="8">
        <v>0.0</v>
      </c>
      <c r="J108" s="6" t="s">
        <v>266</v>
      </c>
      <c r="K108" s="3" t="s">
        <v>568</v>
      </c>
    </row>
    <row r="109" ht="15.75" customHeight="1">
      <c r="A109" s="6" t="s">
        <v>2029</v>
      </c>
      <c r="B109" s="6" t="s">
        <v>1020</v>
      </c>
      <c r="C109" s="3" t="s">
        <v>12</v>
      </c>
      <c r="D109" s="3">
        <v>1346939.0</v>
      </c>
      <c r="E109" s="8">
        <v>14.82</v>
      </c>
      <c r="F109" s="3">
        <v>24.0</v>
      </c>
      <c r="G109" s="7">
        <v>42621.0</v>
      </c>
      <c r="H109" s="3" t="s">
        <v>4</v>
      </c>
      <c r="I109" s="8">
        <v>837491.88</v>
      </c>
      <c r="J109" s="6" t="s">
        <v>197</v>
      </c>
      <c r="K109" s="3" t="s">
        <v>568</v>
      </c>
    </row>
    <row r="110" ht="15.75" customHeight="1">
      <c r="A110" s="6" t="s">
        <v>2042</v>
      </c>
      <c r="B110" s="6" t="s">
        <v>2044</v>
      </c>
      <c r="C110" s="3" t="s">
        <v>15</v>
      </c>
      <c r="D110" s="3">
        <v>1510328.0</v>
      </c>
      <c r="E110" s="8">
        <v>10.92</v>
      </c>
      <c r="F110" s="3">
        <v>120.0</v>
      </c>
      <c r="G110" s="7">
        <v>43058.0</v>
      </c>
      <c r="H110" s="3" t="s">
        <v>4</v>
      </c>
      <c r="I110" s="8">
        <v>197972.04</v>
      </c>
      <c r="J110" s="6" t="s">
        <v>311</v>
      </c>
      <c r="K110" s="3" t="s">
        <v>568</v>
      </c>
    </row>
    <row r="111" ht="15.75" customHeight="1">
      <c r="A111" s="6" t="s">
        <v>2053</v>
      </c>
      <c r="B111" s="6" t="s">
        <v>2054</v>
      </c>
      <c r="C111" s="3" t="s">
        <v>11</v>
      </c>
      <c r="D111" s="3">
        <v>4450555.0</v>
      </c>
      <c r="E111" s="8">
        <v>13.33</v>
      </c>
      <c r="F111" s="3">
        <v>36.0</v>
      </c>
      <c r="G111" s="7">
        <v>43924.0</v>
      </c>
      <c r="H111" s="3" t="s">
        <v>4</v>
      </c>
      <c r="I111" s="8">
        <v>2676953.65</v>
      </c>
      <c r="J111" s="6" t="s">
        <v>109</v>
      </c>
      <c r="K111" s="3" t="s">
        <v>568</v>
      </c>
    </row>
    <row r="112" ht="15.75" customHeight="1">
      <c r="A112" s="6" t="s">
        <v>2067</v>
      </c>
      <c r="B112" s="6" t="s">
        <v>2069</v>
      </c>
      <c r="C112" s="3" t="s">
        <v>10</v>
      </c>
      <c r="D112" s="3">
        <v>464812.0</v>
      </c>
      <c r="E112" s="8">
        <v>15.42</v>
      </c>
      <c r="F112" s="3">
        <v>24.0</v>
      </c>
      <c r="G112" s="7">
        <v>44712.0</v>
      </c>
      <c r="H112" s="3" t="s">
        <v>4</v>
      </c>
      <c r="I112" s="8">
        <v>178057.61</v>
      </c>
      <c r="J112" s="6" t="s">
        <v>109</v>
      </c>
      <c r="K112" s="3" t="s">
        <v>568</v>
      </c>
    </row>
    <row r="113" ht="15.75" customHeight="1">
      <c r="A113" s="6" t="s">
        <v>2078</v>
      </c>
      <c r="B113" s="6" t="s">
        <v>2079</v>
      </c>
      <c r="C113" s="3" t="s">
        <v>12</v>
      </c>
      <c r="D113" s="3">
        <v>751604.0</v>
      </c>
      <c r="E113" s="8">
        <v>10.63</v>
      </c>
      <c r="F113" s="3">
        <v>12.0</v>
      </c>
      <c r="G113" s="7">
        <v>42779.0</v>
      </c>
      <c r="H113" s="3" t="s">
        <v>4</v>
      </c>
      <c r="I113" s="8">
        <v>389985.45</v>
      </c>
      <c r="J113" s="6" t="s">
        <v>146</v>
      </c>
      <c r="K113" s="3" t="s">
        <v>568</v>
      </c>
    </row>
    <row r="114" ht="15.75" customHeight="1">
      <c r="A114" s="6" t="s">
        <v>2089</v>
      </c>
      <c r="B114" s="6" t="s">
        <v>2091</v>
      </c>
      <c r="C114" s="3" t="s">
        <v>22</v>
      </c>
      <c r="D114" s="3">
        <v>833506.0</v>
      </c>
      <c r="E114" s="8">
        <v>11.06</v>
      </c>
      <c r="F114" s="3">
        <v>12.0</v>
      </c>
      <c r="G114" s="7">
        <v>42528.0</v>
      </c>
      <c r="H114" s="3" t="s">
        <v>4</v>
      </c>
      <c r="I114" s="8">
        <v>319064.04</v>
      </c>
      <c r="J114" s="6" t="s">
        <v>288</v>
      </c>
      <c r="K114" s="3" t="s">
        <v>568</v>
      </c>
    </row>
    <row r="115" ht="15.75" customHeight="1">
      <c r="A115" s="6" t="s">
        <v>2105</v>
      </c>
      <c r="B115" s="6" t="s">
        <v>2107</v>
      </c>
      <c r="C115" s="3" t="s">
        <v>12</v>
      </c>
      <c r="D115" s="3">
        <v>483633.0</v>
      </c>
      <c r="E115" s="8">
        <v>12.39</v>
      </c>
      <c r="F115" s="3">
        <v>36.0</v>
      </c>
      <c r="G115" s="7">
        <v>42026.0</v>
      </c>
      <c r="H115" s="3" t="s">
        <v>5</v>
      </c>
      <c r="I115" s="8">
        <v>0.0</v>
      </c>
      <c r="J115" s="6" t="s">
        <v>179</v>
      </c>
      <c r="K115" s="3" t="s">
        <v>568</v>
      </c>
    </row>
    <row r="116" ht="15.75" customHeight="1">
      <c r="A116" s="6" t="s">
        <v>2117</v>
      </c>
      <c r="B116" s="6" t="s">
        <v>1576</v>
      </c>
      <c r="C116" s="3" t="s">
        <v>15</v>
      </c>
      <c r="D116" s="3">
        <v>2687194.0</v>
      </c>
      <c r="E116" s="8">
        <v>13.67</v>
      </c>
      <c r="F116" s="3">
        <v>120.0</v>
      </c>
      <c r="G116" s="7">
        <v>43003.0</v>
      </c>
      <c r="H116" s="3" t="s">
        <v>6</v>
      </c>
      <c r="I116" s="8">
        <v>1478329.95</v>
      </c>
      <c r="J116" s="6" t="s">
        <v>109</v>
      </c>
      <c r="K116" s="3" t="s">
        <v>568</v>
      </c>
    </row>
    <row r="117" ht="15.75" customHeight="1">
      <c r="A117" s="6" t="s">
        <v>2132</v>
      </c>
      <c r="B117" s="6" t="s">
        <v>2134</v>
      </c>
      <c r="C117" s="3" t="s">
        <v>22</v>
      </c>
      <c r="D117" s="3">
        <v>886033.0</v>
      </c>
      <c r="E117" s="8">
        <v>7.62</v>
      </c>
      <c r="F117" s="3">
        <v>180.0</v>
      </c>
      <c r="G117" s="7">
        <v>41055.0</v>
      </c>
      <c r="H117" s="3" t="s">
        <v>5</v>
      </c>
      <c r="I117" s="8">
        <v>0.0</v>
      </c>
      <c r="J117" s="6" t="s">
        <v>284</v>
      </c>
      <c r="K117" s="3" t="s">
        <v>568</v>
      </c>
    </row>
    <row r="118" ht="15.75" customHeight="1">
      <c r="A118" s="6" t="s">
        <v>2144</v>
      </c>
      <c r="B118" s="6" t="s">
        <v>139</v>
      </c>
      <c r="C118" s="3" t="s">
        <v>11</v>
      </c>
      <c r="D118" s="3">
        <v>845107.0</v>
      </c>
      <c r="E118" s="8">
        <v>13.47</v>
      </c>
      <c r="F118" s="3">
        <v>120.0</v>
      </c>
      <c r="G118" s="7">
        <v>41200.0</v>
      </c>
      <c r="H118" s="3" t="s">
        <v>7</v>
      </c>
      <c r="I118" s="8">
        <v>330487.01</v>
      </c>
      <c r="J118" s="6" t="s">
        <v>333</v>
      </c>
      <c r="K118" s="3" t="s">
        <v>568</v>
      </c>
    </row>
    <row r="119" ht="15.75" customHeight="1">
      <c r="A119" s="6" t="s">
        <v>2157</v>
      </c>
      <c r="B119" s="6" t="s">
        <v>2158</v>
      </c>
      <c r="C119" s="3" t="s">
        <v>15</v>
      </c>
      <c r="D119" s="3">
        <v>8575126.0</v>
      </c>
      <c r="E119" s="8">
        <v>10.32</v>
      </c>
      <c r="F119" s="3">
        <v>24.0</v>
      </c>
      <c r="G119" s="7">
        <v>45113.0</v>
      </c>
      <c r="H119" s="3" t="s">
        <v>4</v>
      </c>
      <c r="I119" s="8">
        <v>1881757.13</v>
      </c>
      <c r="J119" s="6" t="s">
        <v>221</v>
      </c>
      <c r="K119" s="3" t="s">
        <v>568</v>
      </c>
    </row>
    <row r="120" ht="15.75" customHeight="1">
      <c r="A120" s="6" t="s">
        <v>2173</v>
      </c>
      <c r="B120" s="6" t="s">
        <v>2176</v>
      </c>
      <c r="C120" s="3" t="s">
        <v>22</v>
      </c>
      <c r="D120" s="3">
        <v>620877.0</v>
      </c>
      <c r="E120" s="8">
        <v>12.91</v>
      </c>
      <c r="F120" s="3">
        <v>180.0</v>
      </c>
      <c r="G120" s="7">
        <v>42042.0</v>
      </c>
      <c r="H120" s="3" t="s">
        <v>5</v>
      </c>
      <c r="I120" s="8">
        <v>0.0</v>
      </c>
      <c r="J120" s="6" t="s">
        <v>146</v>
      </c>
      <c r="K120" s="3" t="s">
        <v>568</v>
      </c>
    </row>
    <row r="121" ht="15.75" customHeight="1">
      <c r="A121" s="6" t="s">
        <v>2187</v>
      </c>
      <c r="B121" s="6" t="s">
        <v>2189</v>
      </c>
      <c r="C121" s="3" t="s">
        <v>22</v>
      </c>
      <c r="D121" s="3">
        <v>102835.0</v>
      </c>
      <c r="E121" s="8">
        <v>13.28</v>
      </c>
      <c r="F121" s="3">
        <v>12.0</v>
      </c>
      <c r="G121" s="7">
        <v>42160.0</v>
      </c>
      <c r="H121" s="3" t="s">
        <v>4</v>
      </c>
      <c r="I121" s="8">
        <v>37029.47</v>
      </c>
      <c r="J121" s="6" t="s">
        <v>36</v>
      </c>
      <c r="K121" s="3" t="s">
        <v>568</v>
      </c>
    </row>
    <row r="122" ht="15.75" customHeight="1">
      <c r="A122" s="6" t="s">
        <v>2196</v>
      </c>
      <c r="B122" s="6" t="s">
        <v>2197</v>
      </c>
      <c r="C122" s="3" t="s">
        <v>22</v>
      </c>
      <c r="D122" s="3">
        <v>317861.0</v>
      </c>
      <c r="E122" s="8">
        <v>8.21</v>
      </c>
      <c r="F122" s="3">
        <v>120.0</v>
      </c>
      <c r="G122" s="7">
        <v>43829.0</v>
      </c>
      <c r="H122" s="3" t="s">
        <v>4</v>
      </c>
      <c r="I122" s="8">
        <v>233258.42</v>
      </c>
      <c r="J122" s="6" t="s">
        <v>136</v>
      </c>
      <c r="K122" s="3" t="s">
        <v>568</v>
      </c>
    </row>
    <row r="123" ht="15.75" customHeight="1">
      <c r="A123" s="6" t="s">
        <v>2204</v>
      </c>
      <c r="B123" s="6" t="s">
        <v>2205</v>
      </c>
      <c r="C123" s="3" t="s">
        <v>11</v>
      </c>
      <c r="D123" s="3">
        <v>2788543.0</v>
      </c>
      <c r="E123" s="8">
        <v>14.29</v>
      </c>
      <c r="F123" s="3">
        <v>36.0</v>
      </c>
      <c r="G123" s="7">
        <v>43373.0</v>
      </c>
      <c r="H123" s="3" t="s">
        <v>5</v>
      </c>
      <c r="I123" s="8">
        <v>0.0</v>
      </c>
      <c r="J123" s="6" t="s">
        <v>179</v>
      </c>
      <c r="K123" s="3" t="s">
        <v>568</v>
      </c>
    </row>
    <row r="124" ht="15.75" customHeight="1">
      <c r="A124" s="6" t="s">
        <v>2214</v>
      </c>
      <c r="B124" s="6" t="s">
        <v>2215</v>
      </c>
      <c r="C124" s="3" t="s">
        <v>10</v>
      </c>
      <c r="D124" s="3">
        <v>1463724.0</v>
      </c>
      <c r="E124" s="8">
        <v>14.76</v>
      </c>
      <c r="F124" s="3">
        <v>24.0</v>
      </c>
      <c r="G124" s="7">
        <v>41501.0</v>
      </c>
      <c r="H124" s="3" t="s">
        <v>4</v>
      </c>
      <c r="I124" s="8">
        <v>1170835.6</v>
      </c>
      <c r="J124" s="6" t="s">
        <v>401</v>
      </c>
      <c r="K124" s="3" t="s">
        <v>568</v>
      </c>
    </row>
    <row r="125" ht="15.75" customHeight="1">
      <c r="A125" s="6" t="s">
        <v>2227</v>
      </c>
      <c r="B125" s="6" t="s">
        <v>1208</v>
      </c>
      <c r="C125" s="3" t="s">
        <v>11</v>
      </c>
      <c r="D125" s="3">
        <v>1841356.0</v>
      </c>
      <c r="E125" s="8">
        <v>13.5</v>
      </c>
      <c r="F125" s="3">
        <v>120.0</v>
      </c>
      <c r="G125" s="7">
        <v>42061.0</v>
      </c>
      <c r="H125" s="3" t="s">
        <v>4</v>
      </c>
      <c r="I125" s="8">
        <v>1475211.69</v>
      </c>
      <c r="J125" s="6" t="s">
        <v>401</v>
      </c>
      <c r="K125" s="3" t="s">
        <v>568</v>
      </c>
    </row>
    <row r="126" ht="15.75" customHeight="1">
      <c r="A126" s="6" t="s">
        <v>2235</v>
      </c>
      <c r="B126" s="6" t="s">
        <v>2236</v>
      </c>
      <c r="C126" s="3" t="s">
        <v>11</v>
      </c>
      <c r="D126" s="3">
        <v>2634091.0</v>
      </c>
      <c r="E126" s="8">
        <v>12.61</v>
      </c>
      <c r="F126" s="3">
        <v>12.0</v>
      </c>
      <c r="G126" s="7">
        <v>43703.0</v>
      </c>
      <c r="H126" s="3" t="s">
        <v>7</v>
      </c>
      <c r="I126" s="8">
        <v>1875309.67</v>
      </c>
      <c r="J126" s="6" t="s">
        <v>288</v>
      </c>
      <c r="K126" s="3" t="s">
        <v>568</v>
      </c>
    </row>
    <row r="127" ht="15.75" customHeight="1">
      <c r="A127" s="6" t="s">
        <v>2245</v>
      </c>
      <c r="B127" s="6" t="s">
        <v>2247</v>
      </c>
      <c r="C127" s="3" t="s">
        <v>13</v>
      </c>
      <c r="D127" s="3">
        <v>123408.0</v>
      </c>
      <c r="E127" s="8">
        <v>7.62</v>
      </c>
      <c r="F127" s="3">
        <v>24.0</v>
      </c>
      <c r="G127" s="7">
        <v>42289.0</v>
      </c>
      <c r="H127" s="3" t="s">
        <v>4</v>
      </c>
      <c r="I127" s="8">
        <v>80091.0</v>
      </c>
      <c r="J127" s="6" t="s">
        <v>301</v>
      </c>
      <c r="K127" s="3" t="s">
        <v>568</v>
      </c>
    </row>
    <row r="128" ht="15.75" customHeight="1">
      <c r="A128" s="6" t="s">
        <v>2256</v>
      </c>
      <c r="B128" s="6" t="s">
        <v>2258</v>
      </c>
      <c r="C128" s="3" t="s">
        <v>22</v>
      </c>
      <c r="D128" s="3">
        <v>157259.0</v>
      </c>
      <c r="E128" s="8">
        <v>8.93</v>
      </c>
      <c r="F128" s="3">
        <v>180.0</v>
      </c>
      <c r="G128" s="7">
        <v>43221.0</v>
      </c>
      <c r="H128" s="3" t="s">
        <v>7</v>
      </c>
      <c r="I128" s="8">
        <v>139178.22</v>
      </c>
      <c r="J128" s="6" t="s">
        <v>262</v>
      </c>
      <c r="K128" s="3" t="s">
        <v>568</v>
      </c>
    </row>
    <row r="129" ht="15.75" customHeight="1">
      <c r="A129" s="6" t="s">
        <v>2264</v>
      </c>
      <c r="B129" s="6" t="s">
        <v>2266</v>
      </c>
      <c r="C129" s="3" t="s">
        <v>12</v>
      </c>
      <c r="D129" s="3">
        <v>918296.0</v>
      </c>
      <c r="E129" s="8">
        <v>7.94</v>
      </c>
      <c r="F129" s="3">
        <v>12.0</v>
      </c>
      <c r="G129" s="7">
        <v>42732.0</v>
      </c>
      <c r="H129" s="3" t="s">
        <v>5</v>
      </c>
      <c r="I129" s="8">
        <v>0.0</v>
      </c>
      <c r="J129" s="6" t="s">
        <v>385</v>
      </c>
      <c r="K129" s="3" t="s">
        <v>568</v>
      </c>
    </row>
    <row r="130" ht="15.75" customHeight="1">
      <c r="A130" s="6" t="s">
        <v>2277</v>
      </c>
      <c r="B130" s="6" t="s">
        <v>2280</v>
      </c>
      <c r="C130" s="3" t="s">
        <v>22</v>
      </c>
      <c r="D130" s="3">
        <v>385277.0</v>
      </c>
      <c r="E130" s="8">
        <v>11.63</v>
      </c>
      <c r="F130" s="3">
        <v>12.0</v>
      </c>
      <c r="G130" s="7">
        <v>43328.0</v>
      </c>
      <c r="H130" s="3" t="s">
        <v>4</v>
      </c>
      <c r="I130" s="8">
        <v>310544.21</v>
      </c>
      <c r="J130" s="6" t="s">
        <v>136</v>
      </c>
      <c r="K130" s="3" t="s">
        <v>568</v>
      </c>
    </row>
    <row r="131" ht="15.75" customHeight="1">
      <c r="A131" s="6" t="s">
        <v>2288</v>
      </c>
      <c r="B131" s="6" t="s">
        <v>2258</v>
      </c>
      <c r="C131" s="3" t="s">
        <v>10</v>
      </c>
      <c r="D131" s="3">
        <v>1388976.0</v>
      </c>
      <c r="E131" s="8">
        <v>10.56</v>
      </c>
      <c r="F131" s="3">
        <v>60.0</v>
      </c>
      <c r="G131" s="7">
        <v>44538.0</v>
      </c>
      <c r="H131" s="3" t="s">
        <v>7</v>
      </c>
      <c r="I131" s="8">
        <v>1193805.05</v>
      </c>
      <c r="J131" s="6" t="s">
        <v>146</v>
      </c>
      <c r="K131" s="3" t="s">
        <v>568</v>
      </c>
    </row>
    <row r="132" ht="15.75" customHeight="1">
      <c r="A132" s="6" t="s">
        <v>2296</v>
      </c>
      <c r="B132" s="6" t="s">
        <v>1653</v>
      </c>
      <c r="C132" s="3" t="s">
        <v>13</v>
      </c>
      <c r="D132" s="3">
        <v>213224.0</v>
      </c>
      <c r="E132" s="8">
        <v>13.8</v>
      </c>
      <c r="F132" s="3">
        <v>84.0</v>
      </c>
      <c r="G132" s="7">
        <v>44624.0</v>
      </c>
      <c r="H132" s="3" t="s">
        <v>5</v>
      </c>
      <c r="I132" s="8">
        <v>0.0</v>
      </c>
      <c r="J132" s="6" t="s">
        <v>385</v>
      </c>
      <c r="K132" s="3" t="s">
        <v>568</v>
      </c>
    </row>
    <row r="133" ht="15.75" customHeight="1">
      <c r="A133" s="6" t="s">
        <v>2306</v>
      </c>
      <c r="B133" s="6" t="s">
        <v>1051</v>
      </c>
      <c r="C133" s="3" t="s">
        <v>12</v>
      </c>
      <c r="D133" s="3">
        <v>1541727.0</v>
      </c>
      <c r="E133" s="8">
        <v>10.29</v>
      </c>
      <c r="F133" s="3">
        <v>180.0</v>
      </c>
      <c r="G133" s="7">
        <v>44702.0</v>
      </c>
      <c r="H133" s="3" t="s">
        <v>4</v>
      </c>
      <c r="I133" s="8">
        <v>551490.76</v>
      </c>
      <c r="J133" s="6" t="s">
        <v>208</v>
      </c>
      <c r="K133" s="3" t="s">
        <v>568</v>
      </c>
    </row>
    <row r="134" ht="15.75" customHeight="1">
      <c r="A134" s="6" t="s">
        <v>2319</v>
      </c>
      <c r="B134" s="6" t="s">
        <v>1265</v>
      </c>
      <c r="C134" s="3" t="s">
        <v>11</v>
      </c>
      <c r="D134" s="3">
        <v>1006599.0</v>
      </c>
      <c r="E134" s="8">
        <v>12.64</v>
      </c>
      <c r="F134" s="3">
        <v>240.0</v>
      </c>
      <c r="G134" s="7">
        <v>44257.0</v>
      </c>
      <c r="H134" s="3" t="s">
        <v>4</v>
      </c>
      <c r="I134" s="8">
        <v>542815.3</v>
      </c>
      <c r="J134" s="6" t="s">
        <v>129</v>
      </c>
      <c r="K134" s="3" t="s">
        <v>568</v>
      </c>
    </row>
    <row r="135" ht="15.75" customHeight="1">
      <c r="A135" s="6" t="s">
        <v>2332</v>
      </c>
      <c r="B135" s="6" t="s">
        <v>2333</v>
      </c>
      <c r="C135" s="3" t="s">
        <v>10</v>
      </c>
      <c r="D135" s="3">
        <v>1052863.0</v>
      </c>
      <c r="E135" s="8">
        <v>12.03</v>
      </c>
      <c r="F135" s="3">
        <v>36.0</v>
      </c>
      <c r="G135" s="7">
        <v>44374.0</v>
      </c>
      <c r="H135" s="3" t="s">
        <v>4</v>
      </c>
      <c r="I135" s="8">
        <v>299015.9</v>
      </c>
      <c r="J135" s="6" t="s">
        <v>97</v>
      </c>
      <c r="K135" s="3" t="s">
        <v>568</v>
      </c>
    </row>
    <row r="136" ht="15.75" customHeight="1">
      <c r="A136" s="6" t="s">
        <v>2343</v>
      </c>
      <c r="B136" s="6" t="s">
        <v>1641</v>
      </c>
      <c r="C136" s="3" t="s">
        <v>11</v>
      </c>
      <c r="D136" s="3">
        <v>2685990.0</v>
      </c>
      <c r="E136" s="8">
        <v>12.0</v>
      </c>
      <c r="F136" s="3">
        <v>24.0</v>
      </c>
      <c r="G136" s="7">
        <v>43282.0</v>
      </c>
      <c r="H136" s="3" t="s">
        <v>4</v>
      </c>
      <c r="I136" s="8">
        <v>521703.5</v>
      </c>
      <c r="J136" s="6" t="s">
        <v>60</v>
      </c>
      <c r="K136" s="3" t="s">
        <v>568</v>
      </c>
    </row>
    <row r="137" ht="15.75" customHeight="1">
      <c r="A137" s="6" t="s">
        <v>2360</v>
      </c>
      <c r="B137" s="6" t="s">
        <v>2362</v>
      </c>
      <c r="C137" s="3" t="s">
        <v>15</v>
      </c>
      <c r="D137" s="3">
        <v>1946456.0</v>
      </c>
      <c r="E137" s="8">
        <v>9.43</v>
      </c>
      <c r="F137" s="3">
        <v>120.0</v>
      </c>
      <c r="G137" s="7">
        <v>41278.0</v>
      </c>
      <c r="H137" s="3" t="s">
        <v>5</v>
      </c>
      <c r="I137" s="8">
        <v>0.0</v>
      </c>
      <c r="J137" s="6" t="s">
        <v>208</v>
      </c>
      <c r="K137" s="3" t="s">
        <v>568</v>
      </c>
    </row>
    <row r="138" ht="15.75" customHeight="1">
      <c r="A138" s="6" t="s">
        <v>2370</v>
      </c>
      <c r="B138" s="6" t="s">
        <v>1398</v>
      </c>
      <c r="C138" s="3" t="s">
        <v>11</v>
      </c>
      <c r="D138" s="3">
        <v>3341238.0</v>
      </c>
      <c r="E138" s="8">
        <v>13.15</v>
      </c>
      <c r="F138" s="3">
        <v>12.0</v>
      </c>
      <c r="G138" s="7">
        <v>45598.0</v>
      </c>
      <c r="H138" s="3" t="s">
        <v>5</v>
      </c>
      <c r="I138" s="8">
        <v>0.0</v>
      </c>
      <c r="J138" s="6" t="s">
        <v>397</v>
      </c>
      <c r="K138" s="3" t="s">
        <v>568</v>
      </c>
    </row>
    <row r="139" ht="15.75" customHeight="1">
      <c r="A139" s="6" t="s">
        <v>2386</v>
      </c>
      <c r="B139" s="6" t="s">
        <v>1125</v>
      </c>
      <c r="C139" s="3" t="s">
        <v>10</v>
      </c>
      <c r="D139" s="3">
        <v>1362292.0</v>
      </c>
      <c r="E139" s="8">
        <v>15.2</v>
      </c>
      <c r="F139" s="3">
        <v>120.0</v>
      </c>
      <c r="G139" s="7">
        <v>45193.0</v>
      </c>
      <c r="H139" s="3" t="s">
        <v>4</v>
      </c>
      <c r="I139" s="8">
        <v>1105514.81</v>
      </c>
      <c r="J139" s="6" t="s">
        <v>385</v>
      </c>
      <c r="K139" s="3" t="s">
        <v>568</v>
      </c>
    </row>
    <row r="140" ht="15.75" customHeight="1">
      <c r="A140" s="6" t="s">
        <v>2400</v>
      </c>
      <c r="B140" s="6" t="s">
        <v>2307</v>
      </c>
      <c r="C140" s="3" t="s">
        <v>15</v>
      </c>
      <c r="D140" s="3">
        <v>3208867.0</v>
      </c>
      <c r="E140" s="8">
        <v>12.34</v>
      </c>
      <c r="F140" s="3">
        <v>36.0</v>
      </c>
      <c r="G140" s="7">
        <v>43228.0</v>
      </c>
      <c r="H140" s="3" t="s">
        <v>4</v>
      </c>
      <c r="I140" s="8">
        <v>1244832.49</v>
      </c>
      <c r="J140" s="6" t="s">
        <v>92</v>
      </c>
      <c r="K140" s="3" t="s">
        <v>568</v>
      </c>
    </row>
    <row r="141" ht="15.75" customHeight="1">
      <c r="A141" s="6" t="s">
        <v>2411</v>
      </c>
      <c r="B141" s="6" t="s">
        <v>1197</v>
      </c>
      <c r="C141" s="3" t="s">
        <v>11</v>
      </c>
      <c r="D141" s="3">
        <v>2176610.0</v>
      </c>
      <c r="E141" s="8">
        <v>11.27</v>
      </c>
      <c r="F141" s="3">
        <v>180.0</v>
      </c>
      <c r="G141" s="7">
        <v>43666.0</v>
      </c>
      <c r="H141" s="3" t="s">
        <v>4</v>
      </c>
      <c r="I141" s="8">
        <v>453816.11</v>
      </c>
      <c r="J141" s="6" t="s">
        <v>401</v>
      </c>
      <c r="K141" s="3" t="s">
        <v>568</v>
      </c>
    </row>
    <row r="142" ht="15.75" customHeight="1">
      <c r="A142" s="6" t="s">
        <v>2423</v>
      </c>
      <c r="B142" s="6" t="s">
        <v>2293</v>
      </c>
      <c r="C142" s="3" t="s">
        <v>13</v>
      </c>
      <c r="D142" s="3">
        <v>281021.0</v>
      </c>
      <c r="E142" s="8">
        <v>11.22</v>
      </c>
      <c r="F142" s="3">
        <v>60.0</v>
      </c>
      <c r="G142" s="7">
        <v>42245.0</v>
      </c>
      <c r="H142" s="3" t="s">
        <v>5</v>
      </c>
      <c r="I142" s="8">
        <v>0.0</v>
      </c>
      <c r="J142" s="6" t="s">
        <v>179</v>
      </c>
      <c r="K142" s="3" t="s">
        <v>568</v>
      </c>
    </row>
    <row r="143" ht="15.75" customHeight="1">
      <c r="A143" s="6" t="s">
        <v>2437</v>
      </c>
      <c r="B143" s="6" t="s">
        <v>57</v>
      </c>
      <c r="C143" s="3" t="s">
        <v>12</v>
      </c>
      <c r="D143" s="3">
        <v>839527.0</v>
      </c>
      <c r="E143" s="8">
        <v>15.58</v>
      </c>
      <c r="F143" s="3">
        <v>12.0</v>
      </c>
      <c r="G143" s="7">
        <v>42999.0</v>
      </c>
      <c r="H143" s="3" t="s">
        <v>4</v>
      </c>
      <c r="I143" s="8">
        <v>119225.91</v>
      </c>
      <c r="J143" s="6" t="s">
        <v>333</v>
      </c>
      <c r="K143" s="3" t="s">
        <v>568</v>
      </c>
    </row>
    <row r="144" ht="15.75" customHeight="1">
      <c r="A144" s="6" t="s">
        <v>2447</v>
      </c>
      <c r="B144" s="6" t="s">
        <v>1722</v>
      </c>
      <c r="C144" s="3" t="s">
        <v>13</v>
      </c>
      <c r="D144" s="3">
        <v>447015.0</v>
      </c>
      <c r="E144" s="8">
        <v>9.9</v>
      </c>
      <c r="F144" s="3">
        <v>36.0</v>
      </c>
      <c r="G144" s="7">
        <v>44583.0</v>
      </c>
      <c r="H144" s="3" t="s">
        <v>7</v>
      </c>
      <c r="I144" s="8">
        <v>105630.64</v>
      </c>
      <c r="J144" s="6" t="s">
        <v>179</v>
      </c>
      <c r="K144" s="3" t="s">
        <v>568</v>
      </c>
    </row>
    <row r="145" ht="15.75" customHeight="1">
      <c r="A145" s="6" t="s">
        <v>2459</v>
      </c>
      <c r="B145" s="6" t="s">
        <v>1069</v>
      </c>
      <c r="C145" s="3" t="s">
        <v>11</v>
      </c>
      <c r="D145" s="3">
        <v>2827094.0</v>
      </c>
      <c r="E145" s="8">
        <v>12.7</v>
      </c>
      <c r="F145" s="3">
        <v>12.0</v>
      </c>
      <c r="G145" s="7">
        <v>41507.0</v>
      </c>
      <c r="H145" s="3" t="s">
        <v>4</v>
      </c>
      <c r="I145" s="8">
        <v>2302252.2</v>
      </c>
      <c r="J145" s="6" t="s">
        <v>266</v>
      </c>
      <c r="K145" s="3" t="s">
        <v>568</v>
      </c>
    </row>
    <row r="146" ht="15.75" customHeight="1">
      <c r="A146" s="6" t="s">
        <v>2472</v>
      </c>
      <c r="B146" s="6" t="s">
        <v>2474</v>
      </c>
      <c r="C146" s="3" t="s">
        <v>11</v>
      </c>
      <c r="D146" s="3">
        <v>2008269.0</v>
      </c>
      <c r="E146" s="8">
        <v>16.45</v>
      </c>
      <c r="F146" s="3">
        <v>240.0</v>
      </c>
      <c r="G146" s="7">
        <v>41047.0</v>
      </c>
      <c r="H146" s="3" t="s">
        <v>5</v>
      </c>
      <c r="I146" s="8">
        <v>0.0</v>
      </c>
      <c r="J146" s="6" t="s">
        <v>284</v>
      </c>
      <c r="K146" s="3" t="s">
        <v>568</v>
      </c>
    </row>
    <row r="147" ht="15.75" customHeight="1">
      <c r="A147" s="6" t="s">
        <v>2485</v>
      </c>
      <c r="B147" s="6" t="s">
        <v>752</v>
      </c>
      <c r="C147" s="3" t="s">
        <v>15</v>
      </c>
      <c r="D147" s="3">
        <v>4442018.0</v>
      </c>
      <c r="E147" s="8">
        <v>12.3</v>
      </c>
      <c r="F147" s="3">
        <v>12.0</v>
      </c>
      <c r="G147" s="7">
        <v>42944.0</v>
      </c>
      <c r="H147" s="3" t="s">
        <v>4</v>
      </c>
      <c r="I147" s="8">
        <v>1312044.19</v>
      </c>
      <c r="J147" s="6" t="s">
        <v>288</v>
      </c>
      <c r="K147" s="3" t="s">
        <v>568</v>
      </c>
    </row>
    <row r="148" ht="15.75" customHeight="1">
      <c r="A148" s="6" t="s">
        <v>2497</v>
      </c>
      <c r="B148" s="6" t="s">
        <v>1964</v>
      </c>
      <c r="C148" s="3" t="s">
        <v>13</v>
      </c>
      <c r="D148" s="3">
        <v>381611.0</v>
      </c>
      <c r="E148" s="8">
        <v>11.25</v>
      </c>
      <c r="F148" s="3">
        <v>120.0</v>
      </c>
      <c r="G148" s="7">
        <v>45394.0</v>
      </c>
      <c r="H148" s="3" t="s">
        <v>4</v>
      </c>
      <c r="I148" s="8">
        <v>196453.83</v>
      </c>
      <c r="J148" s="6" t="s">
        <v>146</v>
      </c>
      <c r="K148" s="3" t="s">
        <v>568</v>
      </c>
    </row>
    <row r="149" ht="15.75" customHeight="1">
      <c r="A149" s="6" t="s">
        <v>2510</v>
      </c>
      <c r="B149" s="6" t="s">
        <v>2511</v>
      </c>
      <c r="C149" s="3" t="s">
        <v>15</v>
      </c>
      <c r="D149" s="3">
        <v>6051113.0</v>
      </c>
      <c r="E149" s="8">
        <v>15.9</v>
      </c>
      <c r="F149" s="3">
        <v>12.0</v>
      </c>
      <c r="G149" s="7">
        <v>45458.0</v>
      </c>
      <c r="H149" s="3" t="s">
        <v>4</v>
      </c>
      <c r="I149" s="8">
        <v>299486.75</v>
      </c>
      <c r="J149" s="6" t="s">
        <v>92</v>
      </c>
      <c r="K149" s="3" t="s">
        <v>568</v>
      </c>
    </row>
    <row r="150" ht="15.75" customHeight="1">
      <c r="A150" s="6" t="s">
        <v>2523</v>
      </c>
      <c r="B150" s="6" t="s">
        <v>1672</v>
      </c>
      <c r="C150" s="3" t="s">
        <v>12</v>
      </c>
      <c r="D150" s="3">
        <v>1433638.0</v>
      </c>
      <c r="E150" s="8">
        <v>10.45</v>
      </c>
      <c r="F150" s="3">
        <v>60.0</v>
      </c>
      <c r="G150" s="7">
        <v>44164.0</v>
      </c>
      <c r="H150" s="3" t="s">
        <v>5</v>
      </c>
      <c r="I150" s="8">
        <v>0.0</v>
      </c>
      <c r="J150" s="6" t="s">
        <v>301</v>
      </c>
      <c r="K150" s="3" t="s">
        <v>568</v>
      </c>
    </row>
    <row r="151" ht="15.75" customHeight="1">
      <c r="A151" s="6" t="s">
        <v>2534</v>
      </c>
      <c r="B151" s="6" t="s">
        <v>2536</v>
      </c>
      <c r="C151" s="3" t="s">
        <v>12</v>
      </c>
      <c r="D151" s="3">
        <v>709736.0</v>
      </c>
      <c r="E151" s="8">
        <v>10.33</v>
      </c>
      <c r="F151" s="3">
        <v>12.0</v>
      </c>
      <c r="G151" s="7">
        <v>45512.0</v>
      </c>
      <c r="H151" s="3" t="s">
        <v>4</v>
      </c>
      <c r="I151" s="8">
        <v>416786.48</v>
      </c>
      <c r="J151" s="6" t="s">
        <v>333</v>
      </c>
      <c r="K151" s="3" t="s">
        <v>568</v>
      </c>
    </row>
    <row r="152" ht="15.75" customHeight="1">
      <c r="A152" s="6" t="s">
        <v>2548</v>
      </c>
      <c r="B152" s="6" t="s">
        <v>1217</v>
      </c>
      <c r="C152" s="3" t="s">
        <v>11</v>
      </c>
      <c r="D152" s="3">
        <v>4745524.0</v>
      </c>
      <c r="E152" s="8">
        <v>10.2</v>
      </c>
      <c r="F152" s="3">
        <v>36.0</v>
      </c>
      <c r="G152" s="7">
        <v>41347.0</v>
      </c>
      <c r="H152" s="3" t="s">
        <v>6</v>
      </c>
      <c r="I152" s="8">
        <v>3772413.97</v>
      </c>
      <c r="J152" s="6" t="s">
        <v>385</v>
      </c>
      <c r="K152" s="3" t="s">
        <v>568</v>
      </c>
    </row>
    <row r="153" ht="15.75" customHeight="1">
      <c r="A153" s="6" t="s">
        <v>2554</v>
      </c>
      <c r="B153" s="6" t="s">
        <v>1098</v>
      </c>
      <c r="C153" s="3" t="s">
        <v>22</v>
      </c>
      <c r="D153" s="3">
        <v>679106.0</v>
      </c>
      <c r="E153" s="8">
        <v>13.52</v>
      </c>
      <c r="F153" s="3">
        <v>120.0</v>
      </c>
      <c r="G153" s="7">
        <v>42792.0</v>
      </c>
      <c r="H153" s="3" t="s">
        <v>5</v>
      </c>
      <c r="I153" s="8">
        <v>0.0</v>
      </c>
      <c r="J153" s="6" t="s">
        <v>208</v>
      </c>
      <c r="K153" s="3" t="s">
        <v>568</v>
      </c>
    </row>
    <row r="154" ht="15.75" customHeight="1">
      <c r="A154" s="6" t="s">
        <v>2563</v>
      </c>
      <c r="B154" s="6" t="s">
        <v>2564</v>
      </c>
      <c r="C154" s="3" t="s">
        <v>11</v>
      </c>
      <c r="D154" s="3">
        <v>3168263.0</v>
      </c>
      <c r="E154" s="8">
        <v>16.15</v>
      </c>
      <c r="F154" s="3">
        <v>12.0</v>
      </c>
      <c r="G154" s="7">
        <v>42565.0</v>
      </c>
      <c r="H154" s="3" t="s">
        <v>5</v>
      </c>
      <c r="I154" s="8">
        <v>0.0</v>
      </c>
      <c r="J154" s="6" t="s">
        <v>208</v>
      </c>
      <c r="K154" s="3" t="s">
        <v>568</v>
      </c>
    </row>
    <row r="155" ht="15.75" customHeight="1">
      <c r="A155" s="6" t="s">
        <v>2572</v>
      </c>
      <c r="B155" s="6" t="s">
        <v>2293</v>
      </c>
      <c r="C155" s="3" t="s">
        <v>22</v>
      </c>
      <c r="D155" s="3">
        <v>128582.0</v>
      </c>
      <c r="E155" s="8">
        <v>14.97</v>
      </c>
      <c r="F155" s="3">
        <v>36.0</v>
      </c>
      <c r="G155" s="7">
        <v>45149.0</v>
      </c>
      <c r="H155" s="3" t="s">
        <v>5</v>
      </c>
      <c r="I155" s="8">
        <v>0.0</v>
      </c>
      <c r="J155" s="6" t="s">
        <v>234</v>
      </c>
      <c r="K155" s="3" t="s">
        <v>568</v>
      </c>
    </row>
    <row r="156" ht="15.75" customHeight="1">
      <c r="A156" s="6" t="s">
        <v>2579</v>
      </c>
      <c r="B156" s="6" t="s">
        <v>2580</v>
      </c>
      <c r="C156" s="3" t="s">
        <v>12</v>
      </c>
      <c r="D156" s="3">
        <v>198567.0</v>
      </c>
      <c r="E156" s="8">
        <v>9.26</v>
      </c>
      <c r="F156" s="3">
        <v>180.0</v>
      </c>
      <c r="G156" s="7">
        <v>41595.0</v>
      </c>
      <c r="H156" s="3" t="s">
        <v>4</v>
      </c>
      <c r="I156" s="8">
        <v>78250.29</v>
      </c>
      <c r="J156" s="6" t="s">
        <v>262</v>
      </c>
      <c r="K156" s="3" t="s">
        <v>568</v>
      </c>
    </row>
    <row r="157" ht="15.75" customHeight="1">
      <c r="A157" s="6" t="s">
        <v>2587</v>
      </c>
      <c r="B157" s="6" t="s">
        <v>1672</v>
      </c>
      <c r="C157" s="3" t="s">
        <v>15</v>
      </c>
      <c r="D157" s="3">
        <v>5364190.0</v>
      </c>
      <c r="E157" s="8">
        <v>12.46</v>
      </c>
      <c r="F157" s="3">
        <v>180.0</v>
      </c>
      <c r="G157" s="7">
        <v>43793.0</v>
      </c>
      <c r="H157" s="3" t="s">
        <v>5</v>
      </c>
      <c r="I157" s="8">
        <v>0.0</v>
      </c>
      <c r="J157" s="6" t="s">
        <v>136</v>
      </c>
      <c r="K157" s="3" t="s">
        <v>568</v>
      </c>
    </row>
    <row r="158" ht="15.75" customHeight="1">
      <c r="A158" s="6" t="s">
        <v>2597</v>
      </c>
      <c r="B158" s="6" t="s">
        <v>1037</v>
      </c>
      <c r="C158" s="3" t="s">
        <v>13</v>
      </c>
      <c r="D158" s="3">
        <v>435932.0</v>
      </c>
      <c r="E158" s="8">
        <v>9.93</v>
      </c>
      <c r="F158" s="3">
        <v>60.0</v>
      </c>
      <c r="G158" s="7">
        <v>41009.0</v>
      </c>
      <c r="H158" s="3" t="s">
        <v>4</v>
      </c>
      <c r="I158" s="8">
        <v>46872.8</v>
      </c>
      <c r="J158" s="6" t="s">
        <v>129</v>
      </c>
      <c r="K158" s="3" t="s">
        <v>568</v>
      </c>
    </row>
    <row r="159" ht="15.75" customHeight="1">
      <c r="A159" s="6" t="s">
        <v>2603</v>
      </c>
      <c r="B159" s="6" t="s">
        <v>788</v>
      </c>
      <c r="C159" s="3" t="s">
        <v>22</v>
      </c>
      <c r="D159" s="3">
        <v>387359.0</v>
      </c>
      <c r="E159" s="8">
        <v>10.83</v>
      </c>
      <c r="F159" s="3">
        <v>60.0</v>
      </c>
      <c r="G159" s="7">
        <v>42501.0</v>
      </c>
      <c r="H159" s="3" t="s">
        <v>4</v>
      </c>
      <c r="I159" s="3"/>
      <c r="J159" s="6" t="s">
        <v>208</v>
      </c>
      <c r="K159" s="3" t="s">
        <v>2614</v>
      </c>
    </row>
    <row r="160" ht="15.75" customHeight="1">
      <c r="A160" s="6" t="s">
        <v>2617</v>
      </c>
      <c r="B160" s="6" t="s">
        <v>2620</v>
      </c>
      <c r="C160" s="3" t="s">
        <v>12</v>
      </c>
      <c r="D160" s="3">
        <v>1819930.0</v>
      </c>
      <c r="E160" s="8">
        <v>10.92</v>
      </c>
      <c r="F160" s="3">
        <v>12.0</v>
      </c>
      <c r="G160" s="7">
        <v>44389.0</v>
      </c>
      <c r="H160" s="3" t="s">
        <v>5</v>
      </c>
      <c r="I160" s="8">
        <v>0.0</v>
      </c>
      <c r="J160" s="6" t="s">
        <v>171</v>
      </c>
      <c r="K160" s="3" t="s">
        <v>568</v>
      </c>
    </row>
    <row r="161" ht="15.75" customHeight="1">
      <c r="A161" s="6" t="s">
        <v>2629</v>
      </c>
      <c r="B161" s="6" t="s">
        <v>1620</v>
      </c>
      <c r="C161" s="3" t="s">
        <v>22</v>
      </c>
      <c r="D161" s="3">
        <v>749328.0</v>
      </c>
      <c r="E161" s="8">
        <v>10.29</v>
      </c>
      <c r="F161" s="3">
        <v>180.0</v>
      </c>
      <c r="G161" s="7">
        <v>43940.0</v>
      </c>
      <c r="H161" s="3" t="s">
        <v>6</v>
      </c>
      <c r="I161" s="8">
        <v>632282.04</v>
      </c>
      <c r="J161" s="6" t="s">
        <v>333</v>
      </c>
      <c r="K161" s="3" t="s">
        <v>568</v>
      </c>
    </row>
    <row r="162" ht="15.75" customHeight="1">
      <c r="A162" s="6" t="s">
        <v>2636</v>
      </c>
      <c r="B162" s="6" t="s">
        <v>1554</v>
      </c>
      <c r="C162" s="3" t="s">
        <v>15</v>
      </c>
      <c r="D162" s="3">
        <v>5446137.0</v>
      </c>
      <c r="E162" s="8">
        <v>7.87</v>
      </c>
      <c r="F162" s="3">
        <v>180.0</v>
      </c>
      <c r="G162" s="7">
        <v>45608.0</v>
      </c>
      <c r="H162" s="3" t="s">
        <v>4</v>
      </c>
      <c r="I162" s="8">
        <v>2813663.86</v>
      </c>
      <c r="J162" s="6" t="s">
        <v>163</v>
      </c>
      <c r="K162" s="3" t="s">
        <v>568</v>
      </c>
    </row>
    <row r="163" ht="15.75" customHeight="1">
      <c r="A163" s="6" t="s">
        <v>2648</v>
      </c>
      <c r="B163" s="6" t="s">
        <v>1536</v>
      </c>
      <c r="C163" s="3" t="s">
        <v>13</v>
      </c>
      <c r="D163" s="3">
        <v>165624.0</v>
      </c>
      <c r="E163" s="8">
        <v>11.16</v>
      </c>
      <c r="F163" s="3">
        <v>24.0</v>
      </c>
      <c r="G163" s="7">
        <v>44946.0</v>
      </c>
      <c r="H163" s="3" t="s">
        <v>4</v>
      </c>
      <c r="I163" s="8">
        <v>100302.86</v>
      </c>
      <c r="J163" s="6" t="s">
        <v>323</v>
      </c>
      <c r="K163" s="3" t="s">
        <v>568</v>
      </c>
    </row>
    <row r="164" ht="15.75" customHeight="1">
      <c r="A164" s="6" t="s">
        <v>2662</v>
      </c>
      <c r="B164" s="6" t="s">
        <v>1756</v>
      </c>
      <c r="C164" s="3" t="s">
        <v>12</v>
      </c>
      <c r="D164" s="3">
        <v>139611.0</v>
      </c>
      <c r="E164" s="8">
        <v>15.1</v>
      </c>
      <c r="F164" s="3">
        <v>24.0</v>
      </c>
      <c r="G164" s="7">
        <v>41050.0</v>
      </c>
      <c r="H164" s="3" t="s">
        <v>6</v>
      </c>
      <c r="I164" s="8">
        <v>117635.3</v>
      </c>
      <c r="J164" s="6" t="s">
        <v>146</v>
      </c>
      <c r="K164" s="3" t="s">
        <v>568</v>
      </c>
    </row>
    <row r="165" ht="15.75" customHeight="1">
      <c r="A165" s="6" t="s">
        <v>2674</v>
      </c>
      <c r="B165" s="6" t="s">
        <v>1705</v>
      </c>
      <c r="C165" s="3" t="s">
        <v>15</v>
      </c>
      <c r="D165" s="3">
        <v>3412644.0</v>
      </c>
      <c r="E165" s="8">
        <v>16.48</v>
      </c>
      <c r="F165" s="3">
        <v>60.0</v>
      </c>
      <c r="G165" s="7">
        <v>44523.0</v>
      </c>
      <c r="H165" s="3" t="s">
        <v>4</v>
      </c>
      <c r="I165" s="8">
        <v>120626.56</v>
      </c>
      <c r="J165" s="6" t="s">
        <v>60</v>
      </c>
      <c r="K165" s="3" t="s">
        <v>568</v>
      </c>
    </row>
    <row r="166" ht="15.75" customHeight="1">
      <c r="A166" s="6" t="s">
        <v>2683</v>
      </c>
      <c r="B166" s="6" t="s">
        <v>2685</v>
      </c>
      <c r="C166" s="3" t="s">
        <v>22</v>
      </c>
      <c r="D166" s="3">
        <v>80040.0</v>
      </c>
      <c r="E166" s="8">
        <v>14.07</v>
      </c>
      <c r="F166" s="3">
        <v>120.0</v>
      </c>
      <c r="G166" s="7">
        <v>42103.0</v>
      </c>
      <c r="H166" s="3" t="s">
        <v>4</v>
      </c>
      <c r="I166" s="8">
        <v>53726.33</v>
      </c>
      <c r="J166" s="6" t="s">
        <v>262</v>
      </c>
      <c r="K166" s="3" t="s">
        <v>568</v>
      </c>
    </row>
    <row r="167" ht="15.75" customHeight="1">
      <c r="A167" s="6" t="s">
        <v>2695</v>
      </c>
      <c r="B167" s="6" t="s">
        <v>774</v>
      </c>
      <c r="C167" s="3" t="s">
        <v>11</v>
      </c>
      <c r="D167" s="3">
        <v>943891.0</v>
      </c>
      <c r="E167" s="8">
        <v>12.76</v>
      </c>
      <c r="F167" s="3">
        <v>60.0</v>
      </c>
      <c r="G167" s="7">
        <v>45482.0</v>
      </c>
      <c r="H167" s="3" t="s">
        <v>4</v>
      </c>
      <c r="I167" s="8">
        <v>61979.0</v>
      </c>
      <c r="J167" s="6" t="s">
        <v>352</v>
      </c>
      <c r="K167" s="3" t="s">
        <v>568</v>
      </c>
    </row>
    <row r="168" ht="15.75" customHeight="1">
      <c r="A168" s="6" t="s">
        <v>2708</v>
      </c>
      <c r="B168" s="6" t="s">
        <v>2709</v>
      </c>
      <c r="C168" s="3" t="s">
        <v>22</v>
      </c>
      <c r="D168" s="3">
        <v>445804.0</v>
      </c>
      <c r="E168" s="8">
        <v>10.98</v>
      </c>
      <c r="F168" s="3">
        <v>84.0</v>
      </c>
      <c r="G168" s="7">
        <v>42587.0</v>
      </c>
      <c r="H168" s="3" t="s">
        <v>4</v>
      </c>
      <c r="I168" s="8">
        <v>375801.88</v>
      </c>
      <c r="J168" s="6" t="s">
        <v>284</v>
      </c>
      <c r="K168" s="3" t="s">
        <v>568</v>
      </c>
    </row>
    <row r="169" ht="15.75" customHeight="1">
      <c r="A169" s="6" t="s">
        <v>2717</v>
      </c>
      <c r="B169" s="6" t="s">
        <v>2195</v>
      </c>
      <c r="C169" s="3" t="s">
        <v>12</v>
      </c>
      <c r="D169" s="3">
        <v>535655.0</v>
      </c>
      <c r="E169" s="8">
        <v>7.63</v>
      </c>
      <c r="F169" s="3">
        <v>240.0</v>
      </c>
      <c r="G169" s="7">
        <v>42619.0</v>
      </c>
      <c r="H169" s="3" t="s">
        <v>5</v>
      </c>
      <c r="I169" s="8">
        <v>0.0</v>
      </c>
      <c r="J169" s="6" t="s">
        <v>352</v>
      </c>
      <c r="K169" s="3" t="s">
        <v>568</v>
      </c>
    </row>
    <row r="170" ht="15.75" customHeight="1">
      <c r="A170" s="6" t="s">
        <v>2731</v>
      </c>
      <c r="B170" s="6" t="s">
        <v>2493</v>
      </c>
      <c r="C170" s="3" t="s">
        <v>12</v>
      </c>
      <c r="D170" s="3">
        <v>1880479.0</v>
      </c>
      <c r="E170" s="8">
        <v>12.22</v>
      </c>
      <c r="F170" s="3">
        <v>12.0</v>
      </c>
      <c r="G170" s="7">
        <v>43707.0</v>
      </c>
      <c r="H170" s="3" t="s">
        <v>4</v>
      </c>
      <c r="I170" s="8">
        <v>1442539.07</v>
      </c>
      <c r="J170" s="6" t="s">
        <v>36</v>
      </c>
      <c r="K170" s="3" t="s">
        <v>568</v>
      </c>
    </row>
    <row r="171" ht="15.75" customHeight="1">
      <c r="A171" s="6" t="s">
        <v>2741</v>
      </c>
      <c r="B171" s="6" t="s">
        <v>924</v>
      </c>
      <c r="C171" s="3" t="s">
        <v>10</v>
      </c>
      <c r="D171" s="3">
        <v>906866.0</v>
      </c>
      <c r="E171" s="8">
        <v>13.2</v>
      </c>
      <c r="F171" s="3">
        <v>120.0</v>
      </c>
      <c r="G171" s="7">
        <v>42893.0</v>
      </c>
      <c r="H171" s="3" t="s">
        <v>4</v>
      </c>
      <c r="I171" s="8">
        <v>440199.94</v>
      </c>
      <c r="J171" s="6" t="s">
        <v>129</v>
      </c>
      <c r="K171" s="3" t="s">
        <v>568</v>
      </c>
    </row>
    <row r="172" ht="15.75" customHeight="1">
      <c r="A172" s="6" t="s">
        <v>2751</v>
      </c>
      <c r="B172" s="6" t="s">
        <v>1011</v>
      </c>
      <c r="C172" s="3" t="s">
        <v>15</v>
      </c>
      <c r="D172" s="3">
        <v>1894177.0</v>
      </c>
      <c r="E172" s="8">
        <v>15.08</v>
      </c>
      <c r="F172" s="3">
        <v>240.0</v>
      </c>
      <c r="G172" s="7">
        <v>43215.0</v>
      </c>
      <c r="H172" s="3" t="s">
        <v>4</v>
      </c>
      <c r="I172" s="8">
        <v>1006589.55</v>
      </c>
      <c r="J172" s="6" t="s">
        <v>301</v>
      </c>
      <c r="K172" s="3" t="s">
        <v>568</v>
      </c>
    </row>
    <row r="173" ht="15.75" customHeight="1">
      <c r="A173" s="6" t="s">
        <v>2759</v>
      </c>
      <c r="B173" s="6" t="s">
        <v>2568</v>
      </c>
      <c r="C173" s="3" t="s">
        <v>11</v>
      </c>
      <c r="D173" s="3">
        <v>3869974.0</v>
      </c>
      <c r="E173" s="8">
        <v>14.44</v>
      </c>
      <c r="F173" s="3">
        <v>12.0</v>
      </c>
      <c r="G173" s="7">
        <v>45297.0</v>
      </c>
      <c r="H173" s="3" t="s">
        <v>4</v>
      </c>
      <c r="I173" s="8">
        <v>1632597.65</v>
      </c>
      <c r="J173" s="6" t="s">
        <v>163</v>
      </c>
      <c r="K173" s="3" t="s">
        <v>568</v>
      </c>
    </row>
    <row r="174" ht="15.75" customHeight="1">
      <c r="A174" s="6" t="s">
        <v>2765</v>
      </c>
      <c r="B174" s="6" t="s">
        <v>2767</v>
      </c>
      <c r="C174" s="3" t="s">
        <v>13</v>
      </c>
      <c r="D174" s="3">
        <v>421847.0</v>
      </c>
      <c r="E174" s="8">
        <v>16.11</v>
      </c>
      <c r="F174" s="3">
        <v>12.0</v>
      </c>
      <c r="G174" s="7">
        <v>44379.0</v>
      </c>
      <c r="H174" s="3" t="s">
        <v>4</v>
      </c>
      <c r="I174" s="8">
        <v>327170.84</v>
      </c>
      <c r="J174" s="6" t="s">
        <v>60</v>
      </c>
      <c r="K174" s="3" t="s">
        <v>568</v>
      </c>
    </row>
    <row r="175" ht="15.75" customHeight="1">
      <c r="A175" s="6" t="s">
        <v>2774</v>
      </c>
      <c r="B175" s="6" t="s">
        <v>1233</v>
      </c>
      <c r="C175" s="3" t="s">
        <v>11</v>
      </c>
      <c r="D175" s="3">
        <v>3114633.0</v>
      </c>
      <c r="E175" s="8">
        <v>13.19</v>
      </c>
      <c r="F175" s="3">
        <v>84.0</v>
      </c>
      <c r="G175" s="7">
        <v>45214.0</v>
      </c>
      <c r="H175" s="3" t="s">
        <v>5</v>
      </c>
      <c r="I175" s="8">
        <v>0.0</v>
      </c>
      <c r="J175" s="6" t="s">
        <v>277</v>
      </c>
      <c r="K175" s="3" t="s">
        <v>568</v>
      </c>
    </row>
    <row r="176" ht="15.75" customHeight="1">
      <c r="A176" s="6" t="s">
        <v>2784</v>
      </c>
      <c r="B176" s="6" t="s">
        <v>1177</v>
      </c>
      <c r="C176" s="3" t="s">
        <v>13</v>
      </c>
      <c r="D176" s="3">
        <v>141271.0</v>
      </c>
      <c r="E176" s="8">
        <v>11.96</v>
      </c>
      <c r="F176" s="3">
        <v>180.0</v>
      </c>
      <c r="G176" s="7">
        <v>41560.0</v>
      </c>
      <c r="H176" s="3" t="s">
        <v>4</v>
      </c>
      <c r="I176" s="8">
        <v>5178.02</v>
      </c>
      <c r="J176" s="6" t="s">
        <v>352</v>
      </c>
      <c r="K176" s="3" t="s">
        <v>568</v>
      </c>
    </row>
    <row r="177" ht="15.75" customHeight="1">
      <c r="A177" s="6" t="s">
        <v>2791</v>
      </c>
      <c r="B177" s="6" t="s">
        <v>2792</v>
      </c>
      <c r="C177" s="3" t="s">
        <v>11</v>
      </c>
      <c r="D177" s="3">
        <v>3219456.0</v>
      </c>
      <c r="E177" s="8">
        <v>12.13</v>
      </c>
      <c r="F177" s="3">
        <v>120.0</v>
      </c>
      <c r="G177" s="7">
        <v>42314.0</v>
      </c>
      <c r="H177" s="3" t="s">
        <v>4</v>
      </c>
      <c r="I177" s="8">
        <v>2736268.86</v>
      </c>
      <c r="J177" s="6" t="s">
        <v>288</v>
      </c>
      <c r="K177" s="3" t="s">
        <v>568</v>
      </c>
    </row>
    <row r="178" ht="15.75" customHeight="1">
      <c r="A178" s="6" t="s">
        <v>2800</v>
      </c>
      <c r="B178" s="6" t="s">
        <v>996</v>
      </c>
      <c r="C178" s="3" t="s">
        <v>15</v>
      </c>
      <c r="D178" s="3">
        <v>6184465.0</v>
      </c>
      <c r="E178" s="8">
        <v>8.38</v>
      </c>
      <c r="F178" s="3">
        <v>60.0</v>
      </c>
      <c r="G178" s="7">
        <v>45603.0</v>
      </c>
      <c r="H178" s="3" t="s">
        <v>5</v>
      </c>
      <c r="I178" s="8">
        <v>0.0</v>
      </c>
      <c r="J178" s="6" t="s">
        <v>262</v>
      </c>
      <c r="K178" s="3" t="s">
        <v>568</v>
      </c>
    </row>
    <row r="179" ht="15.75" customHeight="1">
      <c r="A179" s="6" t="s">
        <v>2813</v>
      </c>
      <c r="B179" s="6" t="s">
        <v>1728</v>
      </c>
      <c r="C179" s="3" t="s">
        <v>12</v>
      </c>
      <c r="D179" s="3">
        <v>938441.0</v>
      </c>
      <c r="E179" s="8">
        <v>15.11</v>
      </c>
      <c r="F179" s="3">
        <v>84.0</v>
      </c>
      <c r="G179" s="7">
        <v>45412.0</v>
      </c>
      <c r="H179" s="3" t="s">
        <v>4</v>
      </c>
      <c r="I179" s="8">
        <v>324470.39</v>
      </c>
      <c r="J179" s="6" t="s">
        <v>92</v>
      </c>
      <c r="K179" s="3" t="s">
        <v>568</v>
      </c>
    </row>
    <row r="180" ht="15.75" customHeight="1">
      <c r="A180" s="6" t="s">
        <v>2823</v>
      </c>
      <c r="B180" s="6" t="s">
        <v>2824</v>
      </c>
      <c r="C180" s="3" t="s">
        <v>13</v>
      </c>
      <c r="D180" s="3">
        <v>419996.0</v>
      </c>
      <c r="E180" s="8">
        <v>10.44</v>
      </c>
      <c r="F180" s="3">
        <v>12.0</v>
      </c>
      <c r="G180" s="7">
        <v>41878.0</v>
      </c>
      <c r="H180" s="3" t="s">
        <v>4</v>
      </c>
      <c r="I180" s="8">
        <v>155497.99</v>
      </c>
      <c r="J180" s="6" t="s">
        <v>129</v>
      </c>
      <c r="K180" s="3" t="s">
        <v>568</v>
      </c>
    </row>
    <row r="181" ht="15.75" customHeight="1">
      <c r="A181" s="6" t="s">
        <v>2834</v>
      </c>
      <c r="B181" s="6" t="s">
        <v>1242</v>
      </c>
      <c r="C181" s="3" t="s">
        <v>10</v>
      </c>
      <c r="D181" s="3">
        <v>266852.0</v>
      </c>
      <c r="E181" s="8">
        <v>10.53</v>
      </c>
      <c r="F181" s="3">
        <v>180.0</v>
      </c>
      <c r="G181" s="7">
        <v>44946.0</v>
      </c>
      <c r="H181" s="3" t="s">
        <v>5</v>
      </c>
      <c r="I181" s="8">
        <v>0.0</v>
      </c>
      <c r="J181" s="6" t="s">
        <v>288</v>
      </c>
      <c r="K181" s="3" t="s">
        <v>568</v>
      </c>
    </row>
    <row r="182" ht="15.75" customHeight="1">
      <c r="A182" s="6" t="s">
        <v>2847</v>
      </c>
      <c r="B182" s="6" t="s">
        <v>964</v>
      </c>
      <c r="C182" s="3" t="s">
        <v>12</v>
      </c>
      <c r="D182" s="3">
        <v>1990618.0</v>
      </c>
      <c r="E182" s="8">
        <v>15.79</v>
      </c>
      <c r="F182" s="3">
        <v>60.0</v>
      </c>
      <c r="G182" s="7">
        <v>41139.0</v>
      </c>
      <c r="H182" s="3" t="s">
        <v>5</v>
      </c>
      <c r="I182" s="8">
        <v>0.0</v>
      </c>
      <c r="J182" s="6" t="s">
        <v>333</v>
      </c>
      <c r="K182" s="3" t="s">
        <v>568</v>
      </c>
    </row>
    <row r="183" ht="15.75" customHeight="1">
      <c r="A183" s="6" t="s">
        <v>2857</v>
      </c>
      <c r="B183" s="6" t="s">
        <v>2859</v>
      </c>
      <c r="C183" s="3" t="s">
        <v>13</v>
      </c>
      <c r="D183" s="3">
        <v>63011.0</v>
      </c>
      <c r="E183" s="8">
        <v>13.0</v>
      </c>
      <c r="F183" s="3">
        <v>240.0</v>
      </c>
      <c r="G183" s="7">
        <v>43159.0</v>
      </c>
      <c r="H183" s="3" t="s">
        <v>4</v>
      </c>
      <c r="I183" s="8">
        <v>54250.27</v>
      </c>
      <c r="J183" s="6" t="s">
        <v>97</v>
      </c>
      <c r="K183" s="3" t="s">
        <v>568</v>
      </c>
    </row>
    <row r="184" ht="15.75" customHeight="1">
      <c r="A184" s="6" t="s">
        <v>2871</v>
      </c>
      <c r="B184" s="6" t="s">
        <v>1498</v>
      </c>
      <c r="C184" s="3" t="s">
        <v>13</v>
      </c>
      <c r="D184" s="3">
        <v>288800.0</v>
      </c>
      <c r="E184" s="8">
        <v>14.18</v>
      </c>
      <c r="F184" s="3">
        <v>240.0</v>
      </c>
      <c r="G184" s="7">
        <v>42208.0</v>
      </c>
      <c r="H184" s="3" t="s">
        <v>4</v>
      </c>
      <c r="I184" s="8">
        <v>244770.58</v>
      </c>
      <c r="J184" s="6" t="s">
        <v>60</v>
      </c>
      <c r="K184" s="3" t="s">
        <v>568</v>
      </c>
    </row>
    <row r="185" ht="15.75" customHeight="1">
      <c r="A185" s="6" t="s">
        <v>2877</v>
      </c>
      <c r="B185" s="6" t="s">
        <v>1774</v>
      </c>
      <c r="C185" s="3" t="s">
        <v>11</v>
      </c>
      <c r="D185" s="3">
        <v>531811.0</v>
      </c>
      <c r="E185" s="8">
        <v>9.28</v>
      </c>
      <c r="F185" s="3">
        <v>36.0</v>
      </c>
      <c r="G185" s="7">
        <v>41001.0</v>
      </c>
      <c r="H185" s="3" t="s">
        <v>5</v>
      </c>
      <c r="I185" s="8">
        <v>0.0</v>
      </c>
      <c r="J185" s="6" t="s">
        <v>179</v>
      </c>
      <c r="K185" s="3" t="s">
        <v>568</v>
      </c>
    </row>
    <row r="186" ht="15.75" customHeight="1">
      <c r="A186" s="6" t="s">
        <v>2886</v>
      </c>
      <c r="B186" s="6" t="s">
        <v>1841</v>
      </c>
      <c r="C186" s="3" t="s">
        <v>12</v>
      </c>
      <c r="D186" s="3">
        <v>1129147.0</v>
      </c>
      <c r="E186" s="8">
        <v>16.14</v>
      </c>
      <c r="F186" s="3">
        <v>120.0</v>
      </c>
      <c r="G186" s="7">
        <v>44918.0</v>
      </c>
      <c r="H186" s="3" t="s">
        <v>4</v>
      </c>
      <c r="I186" s="8">
        <v>755509.05</v>
      </c>
      <c r="J186" s="6" t="s">
        <v>109</v>
      </c>
      <c r="K186" s="3" t="s">
        <v>568</v>
      </c>
    </row>
    <row r="187" ht="15.75" customHeight="1">
      <c r="A187" s="6" t="s">
        <v>2895</v>
      </c>
      <c r="B187" s="6" t="s">
        <v>2896</v>
      </c>
      <c r="C187" s="3" t="s">
        <v>10</v>
      </c>
      <c r="D187" s="3">
        <v>1488352.0</v>
      </c>
      <c r="E187" s="8">
        <v>9.92</v>
      </c>
      <c r="F187" s="3">
        <v>24.0</v>
      </c>
      <c r="G187" s="7">
        <v>41486.0</v>
      </c>
      <c r="H187" s="3" t="s">
        <v>4</v>
      </c>
      <c r="I187" s="8">
        <v>1215142.39</v>
      </c>
      <c r="J187" s="6" t="s">
        <v>385</v>
      </c>
      <c r="K187" s="3" t="s">
        <v>568</v>
      </c>
    </row>
    <row r="188" ht="15.75" customHeight="1">
      <c r="A188" s="6" t="s">
        <v>2909</v>
      </c>
      <c r="B188" s="6" t="s">
        <v>1611</v>
      </c>
      <c r="C188" s="3" t="s">
        <v>15</v>
      </c>
      <c r="D188" s="3">
        <v>4719842.0</v>
      </c>
      <c r="E188" s="8">
        <v>12.85</v>
      </c>
      <c r="F188" s="3">
        <v>12.0</v>
      </c>
      <c r="G188" s="7">
        <v>45198.0</v>
      </c>
      <c r="H188" s="3" t="s">
        <v>6</v>
      </c>
      <c r="I188" s="8">
        <v>3307559.63</v>
      </c>
      <c r="J188" s="6" t="s">
        <v>234</v>
      </c>
      <c r="K188" s="3" t="s">
        <v>568</v>
      </c>
    </row>
    <row r="189" ht="15.75" customHeight="1">
      <c r="A189" s="6" t="s">
        <v>2916</v>
      </c>
      <c r="B189" s="6" t="s">
        <v>897</v>
      </c>
      <c r="C189" s="3" t="s">
        <v>15</v>
      </c>
      <c r="D189" s="3">
        <v>2283710.0</v>
      </c>
      <c r="E189" s="8">
        <v>7.83</v>
      </c>
      <c r="F189" s="3">
        <v>84.0</v>
      </c>
      <c r="G189" s="7">
        <v>43206.0</v>
      </c>
      <c r="H189" s="3" t="s">
        <v>4</v>
      </c>
      <c r="I189" s="8">
        <v>268433.97</v>
      </c>
      <c r="J189" s="6" t="s">
        <v>262</v>
      </c>
      <c r="K189" s="3" t="s">
        <v>568</v>
      </c>
    </row>
    <row r="190" ht="15.75" customHeight="1">
      <c r="A190" s="6" t="s">
        <v>2930</v>
      </c>
      <c r="B190" s="6" t="s">
        <v>2931</v>
      </c>
      <c r="C190" s="3" t="s">
        <v>22</v>
      </c>
      <c r="D190" s="3">
        <v>743835.0</v>
      </c>
      <c r="E190" s="8">
        <v>10.87</v>
      </c>
      <c r="F190" s="3">
        <v>60.0</v>
      </c>
      <c r="G190" s="7">
        <v>43219.0</v>
      </c>
      <c r="H190" s="3" t="s">
        <v>5</v>
      </c>
      <c r="I190" s="8">
        <v>0.0</v>
      </c>
      <c r="J190" s="6" t="s">
        <v>401</v>
      </c>
      <c r="K190" s="3" t="s">
        <v>568</v>
      </c>
    </row>
    <row r="191" ht="15.75" customHeight="1">
      <c r="A191" s="6" t="s">
        <v>2943</v>
      </c>
      <c r="B191" s="6" t="s">
        <v>2685</v>
      </c>
      <c r="C191" s="3" t="s">
        <v>11</v>
      </c>
      <c r="D191" s="3">
        <v>1635055.0</v>
      </c>
      <c r="E191" s="8">
        <v>15.81</v>
      </c>
      <c r="F191" s="3">
        <v>84.0</v>
      </c>
      <c r="G191" s="7">
        <v>43877.0</v>
      </c>
      <c r="H191" s="3" t="s">
        <v>4</v>
      </c>
      <c r="I191" s="8">
        <v>263683.66</v>
      </c>
      <c r="J191" s="6" t="s">
        <v>171</v>
      </c>
      <c r="K191" s="3" t="s">
        <v>568</v>
      </c>
    </row>
    <row r="192" ht="15.75" customHeight="1">
      <c r="A192" s="6" t="s">
        <v>2951</v>
      </c>
      <c r="B192" s="6" t="s">
        <v>2953</v>
      </c>
      <c r="C192" s="3" t="s">
        <v>13</v>
      </c>
      <c r="D192" s="3">
        <v>413238.0</v>
      </c>
      <c r="E192" s="8">
        <v>10.31</v>
      </c>
      <c r="F192" s="3">
        <v>24.0</v>
      </c>
      <c r="G192" s="7">
        <v>44259.0</v>
      </c>
      <c r="H192" s="3" t="s">
        <v>4</v>
      </c>
      <c r="I192" s="8">
        <v>127388.4</v>
      </c>
      <c r="J192" s="6" t="s">
        <v>385</v>
      </c>
      <c r="K192" s="3" t="s">
        <v>568</v>
      </c>
    </row>
    <row r="193" ht="15.75" customHeight="1">
      <c r="A193" s="6" t="s">
        <v>2965</v>
      </c>
      <c r="B193" s="6" t="s">
        <v>831</v>
      </c>
      <c r="C193" s="3" t="s">
        <v>22</v>
      </c>
      <c r="D193" s="3">
        <v>371580.0</v>
      </c>
      <c r="E193" s="8">
        <v>9.19</v>
      </c>
      <c r="F193" s="3">
        <v>60.0</v>
      </c>
      <c r="G193" s="7">
        <v>44910.0</v>
      </c>
      <c r="H193" s="3" t="s">
        <v>7</v>
      </c>
      <c r="I193" s="8">
        <v>57921.63</v>
      </c>
      <c r="J193" s="6" t="s">
        <v>385</v>
      </c>
      <c r="K193" s="3" t="s">
        <v>568</v>
      </c>
    </row>
    <row r="194" ht="15.75" customHeight="1">
      <c r="A194" s="6" t="s">
        <v>2975</v>
      </c>
      <c r="B194" s="6" t="s">
        <v>2978</v>
      </c>
      <c r="C194" s="3" t="s">
        <v>15</v>
      </c>
      <c r="D194" s="3">
        <v>5865852.0</v>
      </c>
      <c r="E194" s="8">
        <v>14.41</v>
      </c>
      <c r="F194" s="3">
        <v>12.0</v>
      </c>
      <c r="G194" s="7">
        <v>45583.0</v>
      </c>
      <c r="H194" s="3" t="s">
        <v>4</v>
      </c>
      <c r="I194" s="8">
        <v>769916.34</v>
      </c>
      <c r="J194" s="6" t="s">
        <v>352</v>
      </c>
      <c r="K194" s="3" t="s">
        <v>568</v>
      </c>
    </row>
    <row r="195" ht="15.75" customHeight="1">
      <c r="A195" s="6" t="s">
        <v>2985</v>
      </c>
      <c r="B195" s="6" t="s">
        <v>2987</v>
      </c>
      <c r="C195" s="3" t="s">
        <v>12</v>
      </c>
      <c r="D195" s="3">
        <v>1319615.0</v>
      </c>
      <c r="E195" s="8">
        <v>11.79</v>
      </c>
      <c r="F195" s="3">
        <v>120.0</v>
      </c>
      <c r="G195" s="7">
        <v>41641.0</v>
      </c>
      <c r="H195" s="3" t="s">
        <v>6</v>
      </c>
      <c r="I195" s="8">
        <v>1100580.68</v>
      </c>
      <c r="J195" s="6" t="s">
        <v>179</v>
      </c>
      <c r="K195" s="3" t="s">
        <v>568</v>
      </c>
    </row>
    <row r="196" ht="15.75" customHeight="1">
      <c r="A196" s="6" t="s">
        <v>3000</v>
      </c>
      <c r="B196" s="6" t="s">
        <v>3001</v>
      </c>
      <c r="C196" s="3" t="s">
        <v>13</v>
      </c>
      <c r="D196" s="3">
        <v>315489.0</v>
      </c>
      <c r="E196" s="8">
        <v>7.61</v>
      </c>
      <c r="F196" s="3">
        <v>36.0</v>
      </c>
      <c r="G196" s="7">
        <v>41558.0</v>
      </c>
      <c r="H196" s="3" t="s">
        <v>7</v>
      </c>
      <c r="I196" s="8">
        <v>273043.64</v>
      </c>
      <c r="J196" s="6" t="s">
        <v>277</v>
      </c>
      <c r="K196" s="3" t="s">
        <v>568</v>
      </c>
    </row>
    <row r="197" ht="15.75" customHeight="1">
      <c r="A197" s="6" t="s">
        <v>3009</v>
      </c>
      <c r="B197" s="6" t="s">
        <v>2715</v>
      </c>
      <c r="C197" s="3" t="s">
        <v>12</v>
      </c>
      <c r="D197" s="3">
        <v>1305599.0</v>
      </c>
      <c r="E197" s="8">
        <v>16.48</v>
      </c>
      <c r="F197" s="3">
        <v>180.0</v>
      </c>
      <c r="G197" s="7">
        <v>43251.0</v>
      </c>
      <c r="H197" s="3" t="s">
        <v>4</v>
      </c>
      <c r="I197" s="8">
        <v>437839.91</v>
      </c>
      <c r="J197" s="6" t="s">
        <v>352</v>
      </c>
      <c r="K197" s="3" t="s">
        <v>568</v>
      </c>
    </row>
    <row r="198" ht="15.75" customHeight="1">
      <c r="A198" s="6" t="s">
        <v>3024</v>
      </c>
      <c r="B198" s="6" t="s">
        <v>2354</v>
      </c>
      <c r="C198" s="3" t="s">
        <v>22</v>
      </c>
      <c r="D198" s="3">
        <v>208729.0</v>
      </c>
      <c r="E198" s="8">
        <v>14.7</v>
      </c>
      <c r="F198" s="3">
        <v>180.0</v>
      </c>
      <c r="G198" s="7">
        <v>44686.0</v>
      </c>
      <c r="H198" s="3" t="s">
        <v>4</v>
      </c>
      <c r="I198" s="8">
        <v>157491.58</v>
      </c>
      <c r="J198" s="6" t="s">
        <v>401</v>
      </c>
      <c r="K198" s="3" t="s">
        <v>568</v>
      </c>
    </row>
    <row r="199" ht="15.75" customHeight="1">
      <c r="A199" s="6" t="s">
        <v>3035</v>
      </c>
      <c r="B199" s="6" t="s">
        <v>3036</v>
      </c>
      <c r="C199" s="3" t="s">
        <v>15</v>
      </c>
      <c r="D199" s="3">
        <v>5055446.0</v>
      </c>
      <c r="E199" s="8">
        <v>7.98</v>
      </c>
      <c r="F199" s="3">
        <v>240.0</v>
      </c>
      <c r="G199" s="7">
        <v>44354.0</v>
      </c>
      <c r="H199" s="3" t="s">
        <v>7</v>
      </c>
      <c r="I199" s="8">
        <v>862858.91</v>
      </c>
      <c r="J199" s="6" t="s">
        <v>80</v>
      </c>
      <c r="K199" s="3" t="s">
        <v>568</v>
      </c>
    </row>
    <row r="200" ht="15.75" customHeight="1">
      <c r="A200" s="6" t="s">
        <v>3046</v>
      </c>
      <c r="B200" s="6" t="s">
        <v>2923</v>
      </c>
      <c r="C200" s="3" t="s">
        <v>15</v>
      </c>
      <c r="D200" s="3">
        <v>6247744.0</v>
      </c>
      <c r="E200" s="8">
        <v>15.68</v>
      </c>
      <c r="F200" s="3">
        <v>60.0</v>
      </c>
      <c r="G200" s="7">
        <v>43803.0</v>
      </c>
      <c r="H200" s="3" t="s">
        <v>5</v>
      </c>
      <c r="I200" s="8">
        <v>0.0</v>
      </c>
      <c r="J200" s="6" t="s">
        <v>109</v>
      </c>
      <c r="K200" s="3" t="s">
        <v>568</v>
      </c>
    </row>
    <row r="201" ht="15.75" customHeight="1">
      <c r="A201" s="6" t="s">
        <v>3056</v>
      </c>
      <c r="B201" s="6" t="s">
        <v>3057</v>
      </c>
      <c r="C201" s="3" t="s">
        <v>10</v>
      </c>
      <c r="D201" s="3">
        <v>1150238.0</v>
      </c>
      <c r="E201" s="8">
        <v>11.78</v>
      </c>
      <c r="F201" s="3">
        <v>24.0</v>
      </c>
      <c r="G201" s="7">
        <v>41670.0</v>
      </c>
      <c r="H201" s="3" t="s">
        <v>4</v>
      </c>
      <c r="I201" s="8">
        <v>797590.04</v>
      </c>
      <c r="J201" s="6" t="s">
        <v>401</v>
      </c>
      <c r="K201" s="3" t="s">
        <v>568</v>
      </c>
    </row>
    <row r="202" ht="15.75" customHeight="1">
      <c r="A202" s="6" t="s">
        <v>3067</v>
      </c>
      <c r="B202" s="6" t="s">
        <v>2335</v>
      </c>
      <c r="C202" s="3" t="s">
        <v>13</v>
      </c>
      <c r="D202" s="3">
        <v>396354.0</v>
      </c>
      <c r="E202" s="8">
        <v>12.01</v>
      </c>
      <c r="F202" s="3">
        <v>24.0</v>
      </c>
      <c r="G202" s="7">
        <v>45355.0</v>
      </c>
      <c r="H202" s="3" t="s">
        <v>5</v>
      </c>
      <c r="I202" s="8">
        <v>0.0</v>
      </c>
      <c r="J202" s="6" t="s">
        <v>401</v>
      </c>
      <c r="K202" s="3" t="s">
        <v>568</v>
      </c>
    </row>
    <row r="203" ht="15.75" customHeight="1">
      <c r="A203" s="6" t="s">
        <v>3081</v>
      </c>
      <c r="B203" s="6" t="s">
        <v>1833</v>
      </c>
      <c r="C203" s="3" t="s">
        <v>11</v>
      </c>
      <c r="D203" s="3">
        <v>1303045.0</v>
      </c>
      <c r="E203" s="8">
        <v>9.62</v>
      </c>
      <c r="F203" s="3">
        <v>36.0</v>
      </c>
      <c r="G203" s="7">
        <v>44426.0</v>
      </c>
      <c r="H203" s="3" t="s">
        <v>5</v>
      </c>
      <c r="I203" s="8">
        <v>0.0</v>
      </c>
      <c r="J203" s="6" t="s">
        <v>179</v>
      </c>
      <c r="K203" s="3" t="s">
        <v>568</v>
      </c>
    </row>
    <row r="204" ht="15.75" customHeight="1">
      <c r="A204" s="6" t="s">
        <v>3089</v>
      </c>
      <c r="B204" s="6" t="s">
        <v>1700</v>
      </c>
      <c r="C204" s="3" t="s">
        <v>15</v>
      </c>
      <c r="D204" s="3">
        <v>5723300.0</v>
      </c>
      <c r="E204" s="8">
        <v>14.35</v>
      </c>
      <c r="F204" s="3">
        <v>36.0</v>
      </c>
      <c r="G204" s="7">
        <v>44204.0</v>
      </c>
      <c r="H204" s="3" t="s">
        <v>4</v>
      </c>
      <c r="I204" s="8">
        <v>49288.12</v>
      </c>
      <c r="J204" s="6" t="s">
        <v>179</v>
      </c>
      <c r="K204" s="3" t="s">
        <v>568</v>
      </c>
    </row>
    <row r="205" ht="15.75" customHeight="1">
      <c r="A205" s="6" t="s">
        <v>3097</v>
      </c>
      <c r="B205" s="6" t="s">
        <v>3071</v>
      </c>
      <c r="C205" s="3" t="s">
        <v>12</v>
      </c>
      <c r="D205" s="3">
        <v>1754316.0</v>
      </c>
      <c r="E205" s="8">
        <v>12.14</v>
      </c>
      <c r="F205" s="3">
        <v>180.0</v>
      </c>
      <c r="G205" s="7">
        <v>43600.0</v>
      </c>
      <c r="H205" s="3" t="s">
        <v>4</v>
      </c>
      <c r="I205" s="8">
        <v>1268636.95</v>
      </c>
      <c r="J205" s="6" t="s">
        <v>146</v>
      </c>
      <c r="K205" s="3" t="s">
        <v>568</v>
      </c>
    </row>
    <row r="206" ht="15.75" customHeight="1">
      <c r="A206" s="6" t="s">
        <v>3109</v>
      </c>
      <c r="B206" s="6" t="s">
        <v>1382</v>
      </c>
      <c r="C206" s="3" t="s">
        <v>12</v>
      </c>
      <c r="D206" s="3">
        <v>974429.0</v>
      </c>
      <c r="E206" s="8">
        <v>7.99</v>
      </c>
      <c r="F206" s="3">
        <v>24.0</v>
      </c>
      <c r="G206" s="7">
        <v>42590.0</v>
      </c>
      <c r="H206" s="3" t="s">
        <v>4</v>
      </c>
      <c r="I206" s="8">
        <v>693067.15</v>
      </c>
      <c r="J206" s="6" t="s">
        <v>129</v>
      </c>
      <c r="K206" s="3" t="s">
        <v>568</v>
      </c>
    </row>
    <row r="207" ht="15.75" customHeight="1">
      <c r="A207" s="6" t="s">
        <v>3120</v>
      </c>
      <c r="B207" s="6" t="s">
        <v>450</v>
      </c>
      <c r="C207" s="3" t="s">
        <v>22</v>
      </c>
      <c r="D207" s="3">
        <v>884808.0</v>
      </c>
      <c r="E207" s="8">
        <v>14.01</v>
      </c>
      <c r="F207" s="3">
        <v>24.0</v>
      </c>
      <c r="G207" s="7">
        <v>42850.0</v>
      </c>
      <c r="H207" s="3" t="s">
        <v>4</v>
      </c>
      <c r="I207" s="3"/>
      <c r="J207" s="6" t="s">
        <v>80</v>
      </c>
      <c r="K207" s="3" t="s">
        <v>2614</v>
      </c>
    </row>
    <row r="208" ht="15.75" customHeight="1">
      <c r="A208" s="6" t="s">
        <v>3132</v>
      </c>
      <c r="B208" s="6" t="s">
        <v>3134</v>
      </c>
      <c r="C208" s="3" t="s">
        <v>22</v>
      </c>
      <c r="D208" s="3">
        <v>768703.0</v>
      </c>
      <c r="E208" s="8">
        <v>11.13</v>
      </c>
      <c r="F208" s="3">
        <v>36.0</v>
      </c>
      <c r="G208" s="7">
        <v>42194.0</v>
      </c>
      <c r="H208" s="3" t="s">
        <v>4</v>
      </c>
      <c r="I208" s="8">
        <v>406793.03</v>
      </c>
      <c r="J208" s="6" t="s">
        <v>60</v>
      </c>
      <c r="K208" s="3" t="s">
        <v>568</v>
      </c>
    </row>
    <row r="209" ht="15.75" customHeight="1">
      <c r="A209" s="6" t="s">
        <v>3139</v>
      </c>
      <c r="B209" s="6" t="s">
        <v>1799</v>
      </c>
      <c r="C209" s="3" t="s">
        <v>15</v>
      </c>
      <c r="D209" s="3">
        <v>3447034.0</v>
      </c>
      <c r="E209" s="8">
        <v>9.56</v>
      </c>
      <c r="F209" s="3">
        <v>180.0</v>
      </c>
      <c r="G209" s="7">
        <v>44999.0</v>
      </c>
      <c r="H209" s="3" t="s">
        <v>5</v>
      </c>
      <c r="I209" s="8">
        <v>0.0</v>
      </c>
      <c r="J209" s="6" t="s">
        <v>277</v>
      </c>
      <c r="K209" s="3" t="s">
        <v>568</v>
      </c>
    </row>
    <row r="210" ht="15.75" customHeight="1">
      <c r="A210" s="6" t="s">
        <v>3151</v>
      </c>
      <c r="B210" s="6" t="s">
        <v>506</v>
      </c>
      <c r="C210" s="3" t="s">
        <v>12</v>
      </c>
      <c r="D210" s="3">
        <v>270002.0</v>
      </c>
      <c r="E210" s="8">
        <v>9.23</v>
      </c>
      <c r="F210" s="3">
        <v>120.0</v>
      </c>
      <c r="G210" s="7">
        <v>44109.0</v>
      </c>
      <c r="H210" s="3" t="s">
        <v>4</v>
      </c>
      <c r="I210" s="8">
        <v>143342.42</v>
      </c>
      <c r="J210" s="6" t="s">
        <v>401</v>
      </c>
      <c r="K210" s="3" t="s">
        <v>568</v>
      </c>
    </row>
    <row r="211" ht="15.75" customHeight="1">
      <c r="A211" s="6" t="s">
        <v>3166</v>
      </c>
      <c r="B211" s="6" t="s">
        <v>1894</v>
      </c>
      <c r="C211" s="3" t="s">
        <v>11</v>
      </c>
      <c r="D211" s="3">
        <v>4476442.0</v>
      </c>
      <c r="E211" s="8">
        <v>12.22</v>
      </c>
      <c r="F211" s="3">
        <v>240.0</v>
      </c>
      <c r="G211" s="7">
        <v>43218.0</v>
      </c>
      <c r="H211" s="3" t="s">
        <v>7</v>
      </c>
      <c r="I211" s="8">
        <v>2108135.11</v>
      </c>
      <c r="J211" s="6" t="s">
        <v>197</v>
      </c>
      <c r="K211" s="3" t="s">
        <v>568</v>
      </c>
    </row>
    <row r="212" ht="15.75" customHeight="1">
      <c r="A212" s="6" t="s">
        <v>3181</v>
      </c>
      <c r="B212" s="6" t="s">
        <v>2442</v>
      </c>
      <c r="C212" s="3" t="s">
        <v>10</v>
      </c>
      <c r="D212" s="3">
        <v>461232.0</v>
      </c>
      <c r="E212" s="8">
        <v>12.61</v>
      </c>
      <c r="F212" s="3">
        <v>60.0</v>
      </c>
      <c r="G212" s="7">
        <v>42683.0</v>
      </c>
      <c r="H212" s="3" t="s">
        <v>4</v>
      </c>
      <c r="I212" s="8">
        <v>327151.09</v>
      </c>
      <c r="J212" s="6" t="s">
        <v>109</v>
      </c>
      <c r="K212" s="3" t="s">
        <v>568</v>
      </c>
    </row>
    <row r="213" ht="15.75" customHeight="1">
      <c r="A213" s="6" t="s">
        <v>3194</v>
      </c>
      <c r="B213" s="6" t="s">
        <v>1716</v>
      </c>
      <c r="C213" s="3" t="s">
        <v>11</v>
      </c>
      <c r="D213" s="3">
        <v>1835864.0</v>
      </c>
      <c r="E213" s="8">
        <v>10.26</v>
      </c>
      <c r="F213" s="3">
        <v>120.0</v>
      </c>
      <c r="G213" s="7">
        <v>44656.0</v>
      </c>
      <c r="H213" s="3" t="s">
        <v>5</v>
      </c>
      <c r="I213" s="8">
        <v>0.0</v>
      </c>
      <c r="J213" s="6" t="s">
        <v>266</v>
      </c>
      <c r="K213" s="3" t="s">
        <v>568</v>
      </c>
    </row>
    <row r="214" ht="15.75" customHeight="1">
      <c r="A214" s="6" t="s">
        <v>3202</v>
      </c>
      <c r="B214" s="6" t="s">
        <v>1637</v>
      </c>
      <c r="C214" s="3" t="s">
        <v>15</v>
      </c>
      <c r="D214" s="3">
        <v>4624356.0</v>
      </c>
      <c r="E214" s="8">
        <v>11.88</v>
      </c>
      <c r="F214" s="3">
        <v>84.0</v>
      </c>
      <c r="G214" s="7">
        <v>43657.0</v>
      </c>
      <c r="H214" s="3" t="s">
        <v>5</v>
      </c>
      <c r="I214" s="8">
        <v>0.0</v>
      </c>
      <c r="J214" s="6" t="s">
        <v>197</v>
      </c>
      <c r="K214" s="3" t="s">
        <v>568</v>
      </c>
    </row>
    <row r="215" ht="15.75" customHeight="1">
      <c r="A215" s="6" t="s">
        <v>3214</v>
      </c>
      <c r="B215" s="6" t="s">
        <v>3215</v>
      </c>
      <c r="C215" s="3" t="s">
        <v>15</v>
      </c>
      <c r="D215" s="3">
        <v>3189929.0</v>
      </c>
      <c r="E215" s="8">
        <v>12.75</v>
      </c>
      <c r="F215" s="3">
        <v>84.0</v>
      </c>
      <c r="G215" s="7">
        <v>42204.0</v>
      </c>
      <c r="H215" s="3" t="s">
        <v>5</v>
      </c>
      <c r="I215" s="8">
        <v>0.0</v>
      </c>
      <c r="J215" s="6" t="s">
        <v>92</v>
      </c>
      <c r="K215" s="3" t="s">
        <v>568</v>
      </c>
    </row>
    <row r="216" ht="15.75" customHeight="1">
      <c r="A216" s="6" t="s">
        <v>3227</v>
      </c>
      <c r="B216" s="6" t="s">
        <v>2326</v>
      </c>
      <c r="C216" s="3" t="s">
        <v>15</v>
      </c>
      <c r="D216" s="3">
        <v>7288631.0</v>
      </c>
      <c r="E216" s="8">
        <v>14.26</v>
      </c>
      <c r="F216" s="3">
        <v>240.0</v>
      </c>
      <c r="G216" s="7">
        <v>44414.0</v>
      </c>
      <c r="H216" s="3" t="s">
        <v>4</v>
      </c>
      <c r="I216" s="8">
        <v>4851898.83</v>
      </c>
      <c r="J216" s="6" t="s">
        <v>36</v>
      </c>
      <c r="K216" s="3" t="s">
        <v>568</v>
      </c>
    </row>
    <row r="217" ht="15.75" customHeight="1">
      <c r="A217" s="6" t="s">
        <v>3237</v>
      </c>
      <c r="B217" s="6" t="s">
        <v>61</v>
      </c>
      <c r="C217" s="3" t="s">
        <v>10</v>
      </c>
      <c r="D217" s="3">
        <v>857244.0</v>
      </c>
      <c r="E217" s="8">
        <v>11.97</v>
      </c>
      <c r="F217" s="3">
        <v>36.0</v>
      </c>
      <c r="G217" s="7">
        <v>43218.0</v>
      </c>
      <c r="H217" s="3" t="s">
        <v>4</v>
      </c>
      <c r="I217" s="8">
        <v>285257.9</v>
      </c>
      <c r="J217" s="6" t="s">
        <v>146</v>
      </c>
      <c r="K217" s="3" t="s">
        <v>568</v>
      </c>
    </row>
    <row r="218" ht="15.75" customHeight="1">
      <c r="A218" s="6" t="s">
        <v>3247</v>
      </c>
      <c r="B218" s="6" t="s">
        <v>2792</v>
      </c>
      <c r="C218" s="3" t="s">
        <v>22</v>
      </c>
      <c r="D218" s="3">
        <v>940216.0</v>
      </c>
      <c r="E218" s="8">
        <v>9.97</v>
      </c>
      <c r="F218" s="3">
        <v>84.0</v>
      </c>
      <c r="G218" s="7">
        <v>43003.0</v>
      </c>
      <c r="H218" s="3" t="s">
        <v>4</v>
      </c>
      <c r="I218" s="8">
        <v>803339.43</v>
      </c>
      <c r="J218" s="6" t="s">
        <v>129</v>
      </c>
      <c r="K218" s="3" t="s">
        <v>568</v>
      </c>
    </row>
    <row r="219" ht="15.75" customHeight="1">
      <c r="A219" s="6" t="s">
        <v>3257</v>
      </c>
      <c r="B219" s="6" t="s">
        <v>2018</v>
      </c>
      <c r="C219" s="3" t="s">
        <v>12</v>
      </c>
      <c r="D219" s="3">
        <v>708391.0</v>
      </c>
      <c r="E219" s="8">
        <v>12.72</v>
      </c>
      <c r="F219" s="3">
        <v>12.0</v>
      </c>
      <c r="G219" s="7">
        <v>41290.0</v>
      </c>
      <c r="H219" s="3" t="s">
        <v>5</v>
      </c>
      <c r="I219" s="8">
        <v>0.0</v>
      </c>
      <c r="J219" s="6" t="s">
        <v>97</v>
      </c>
      <c r="K219" s="3" t="s">
        <v>568</v>
      </c>
    </row>
    <row r="220" ht="15.75" customHeight="1">
      <c r="A220" s="6" t="s">
        <v>3267</v>
      </c>
      <c r="B220" s="6" t="s">
        <v>1129</v>
      </c>
      <c r="C220" s="3" t="s">
        <v>11</v>
      </c>
      <c r="D220" s="3">
        <v>728709.0</v>
      </c>
      <c r="E220" s="8">
        <v>9.62</v>
      </c>
      <c r="F220" s="3">
        <v>120.0</v>
      </c>
      <c r="G220" s="7">
        <v>41047.0</v>
      </c>
      <c r="H220" s="3" t="s">
        <v>5</v>
      </c>
      <c r="I220" s="8">
        <v>0.0</v>
      </c>
      <c r="J220" s="6" t="s">
        <v>245</v>
      </c>
      <c r="K220" s="3" t="s">
        <v>568</v>
      </c>
    </row>
    <row r="221" ht="15.75" customHeight="1">
      <c r="A221" s="6" t="s">
        <v>3275</v>
      </c>
      <c r="B221" s="6" t="s">
        <v>3277</v>
      </c>
      <c r="C221" s="3" t="s">
        <v>13</v>
      </c>
      <c r="D221" s="3">
        <v>161304.0</v>
      </c>
      <c r="E221" s="8">
        <v>12.51</v>
      </c>
      <c r="F221" s="3">
        <v>240.0</v>
      </c>
      <c r="G221" s="7">
        <v>44120.0</v>
      </c>
      <c r="H221" s="3" t="s">
        <v>5</v>
      </c>
      <c r="I221" s="8">
        <v>0.0</v>
      </c>
      <c r="J221" s="6" t="s">
        <v>163</v>
      </c>
      <c r="K221" s="3" t="s">
        <v>568</v>
      </c>
    </row>
    <row r="222" ht="15.75" customHeight="1">
      <c r="A222" s="6" t="s">
        <v>3285</v>
      </c>
      <c r="B222" s="6" t="s">
        <v>2881</v>
      </c>
      <c r="C222" s="3" t="s">
        <v>12</v>
      </c>
      <c r="D222" s="3">
        <v>651344.0</v>
      </c>
      <c r="E222" s="8">
        <v>8.51</v>
      </c>
      <c r="F222" s="3">
        <v>60.0</v>
      </c>
      <c r="G222" s="7">
        <v>45590.0</v>
      </c>
      <c r="H222" s="3" t="s">
        <v>4</v>
      </c>
      <c r="I222" s="8">
        <v>532199.03</v>
      </c>
      <c r="J222" s="6" t="s">
        <v>136</v>
      </c>
      <c r="K222" s="3" t="s">
        <v>568</v>
      </c>
    </row>
    <row r="223" ht="15.75" customHeight="1">
      <c r="A223" s="6" t="s">
        <v>3300</v>
      </c>
      <c r="B223" s="6" t="s">
        <v>599</v>
      </c>
      <c r="C223" s="3" t="s">
        <v>12</v>
      </c>
      <c r="D223" s="3">
        <v>787016.0</v>
      </c>
      <c r="E223" s="8">
        <v>10.5</v>
      </c>
      <c r="F223" s="3">
        <v>24.0</v>
      </c>
      <c r="G223" s="7">
        <v>43596.0</v>
      </c>
      <c r="H223" s="3" t="s">
        <v>5</v>
      </c>
      <c r="I223" s="8">
        <v>0.0</v>
      </c>
      <c r="J223" s="6" t="s">
        <v>245</v>
      </c>
      <c r="K223" s="3" t="s">
        <v>568</v>
      </c>
    </row>
    <row r="224" ht="15.75" customHeight="1">
      <c r="A224" s="6" t="s">
        <v>3311</v>
      </c>
      <c r="B224" s="6" t="s">
        <v>3313</v>
      </c>
      <c r="C224" s="3" t="s">
        <v>15</v>
      </c>
      <c r="D224" s="3">
        <v>3534463.0</v>
      </c>
      <c r="E224" s="8">
        <v>7.66</v>
      </c>
      <c r="F224" s="3">
        <v>24.0</v>
      </c>
      <c r="G224" s="7">
        <v>44064.0</v>
      </c>
      <c r="H224" s="3" t="s">
        <v>6</v>
      </c>
      <c r="I224" s="8">
        <v>2406958.37</v>
      </c>
      <c r="J224" s="6" t="s">
        <v>311</v>
      </c>
      <c r="K224" s="3" t="s">
        <v>568</v>
      </c>
    </row>
    <row r="225" ht="15.75" customHeight="1">
      <c r="A225" s="6" t="s">
        <v>3318</v>
      </c>
      <c r="B225" s="6" t="s">
        <v>1197</v>
      </c>
      <c r="C225" s="3" t="s">
        <v>15</v>
      </c>
      <c r="D225" s="3">
        <v>5572322.0</v>
      </c>
      <c r="E225" s="8">
        <v>11.65</v>
      </c>
      <c r="F225" s="3">
        <v>24.0</v>
      </c>
      <c r="G225" s="7">
        <v>45464.0</v>
      </c>
      <c r="H225" s="3" t="s">
        <v>4</v>
      </c>
      <c r="I225" s="3"/>
      <c r="J225" s="6" t="s">
        <v>311</v>
      </c>
      <c r="K225" s="3" t="s">
        <v>2614</v>
      </c>
    </row>
    <row r="226" ht="15.75" customHeight="1">
      <c r="A226" s="6" t="s">
        <v>3331</v>
      </c>
      <c r="B226" s="6" t="s">
        <v>3333</v>
      </c>
      <c r="C226" s="3" t="s">
        <v>11</v>
      </c>
      <c r="D226" s="3">
        <v>4002868.0</v>
      </c>
      <c r="E226" s="8">
        <v>10.76</v>
      </c>
      <c r="F226" s="3">
        <v>24.0</v>
      </c>
      <c r="G226" s="7">
        <v>41522.0</v>
      </c>
      <c r="H226" s="3" t="s">
        <v>5</v>
      </c>
      <c r="I226" s="8">
        <v>0.0</v>
      </c>
      <c r="J226" s="6" t="s">
        <v>284</v>
      </c>
      <c r="K226" s="3" t="s">
        <v>568</v>
      </c>
    </row>
    <row r="227" ht="15.75" customHeight="1">
      <c r="A227" s="6" t="s">
        <v>3346</v>
      </c>
      <c r="B227" s="6" t="s">
        <v>527</v>
      </c>
      <c r="C227" s="3" t="s">
        <v>15</v>
      </c>
      <c r="D227" s="3">
        <v>5032101.0</v>
      </c>
      <c r="E227" s="8">
        <v>12.18</v>
      </c>
      <c r="F227" s="3">
        <v>36.0</v>
      </c>
      <c r="G227" s="7">
        <v>45240.0</v>
      </c>
      <c r="H227" s="3" t="s">
        <v>5</v>
      </c>
      <c r="I227" s="8">
        <v>0.0</v>
      </c>
      <c r="J227" s="6" t="s">
        <v>352</v>
      </c>
      <c r="K227" s="3" t="s">
        <v>568</v>
      </c>
    </row>
    <row r="228" ht="15.75" customHeight="1">
      <c r="A228" s="6" t="s">
        <v>3362</v>
      </c>
      <c r="B228" s="6" t="s">
        <v>3363</v>
      </c>
      <c r="C228" s="3" t="s">
        <v>12</v>
      </c>
      <c r="D228" s="3">
        <v>1054453.0</v>
      </c>
      <c r="E228" s="8">
        <v>12.46</v>
      </c>
      <c r="F228" s="3">
        <v>180.0</v>
      </c>
      <c r="G228" s="7">
        <v>45432.0</v>
      </c>
      <c r="H228" s="3" t="s">
        <v>4</v>
      </c>
      <c r="I228" s="8">
        <v>130301.12</v>
      </c>
      <c r="J228" s="6" t="s">
        <v>97</v>
      </c>
      <c r="K228" s="3" t="s">
        <v>568</v>
      </c>
    </row>
    <row r="229" ht="15.75" customHeight="1">
      <c r="A229" s="6" t="s">
        <v>3374</v>
      </c>
      <c r="B229" s="6" t="s">
        <v>3377</v>
      </c>
      <c r="C229" s="3" t="s">
        <v>12</v>
      </c>
      <c r="D229" s="3">
        <v>301300.0</v>
      </c>
      <c r="E229" s="8">
        <v>7.97</v>
      </c>
      <c r="F229" s="3">
        <v>60.0</v>
      </c>
      <c r="G229" s="7">
        <v>42441.0</v>
      </c>
      <c r="H229" s="3" t="s">
        <v>4</v>
      </c>
      <c r="I229" s="8">
        <v>119083.09</v>
      </c>
      <c r="J229" s="6" t="s">
        <v>385</v>
      </c>
      <c r="K229" s="3" t="s">
        <v>568</v>
      </c>
    </row>
    <row r="230" ht="15.75" customHeight="1">
      <c r="A230" s="6" t="s">
        <v>3385</v>
      </c>
      <c r="B230" s="6" t="s">
        <v>752</v>
      </c>
      <c r="C230" s="3" t="s">
        <v>11</v>
      </c>
      <c r="D230" s="3">
        <v>2956198.0</v>
      </c>
      <c r="E230" s="8">
        <v>15.02</v>
      </c>
      <c r="F230" s="3">
        <v>60.0</v>
      </c>
      <c r="G230" s="7">
        <v>41730.0</v>
      </c>
      <c r="H230" s="3" t="s">
        <v>5</v>
      </c>
      <c r="I230" s="8">
        <v>0.0</v>
      </c>
      <c r="J230" s="6" t="s">
        <v>311</v>
      </c>
      <c r="K230" s="3" t="s">
        <v>568</v>
      </c>
    </row>
    <row r="231" ht="15.75" customHeight="1">
      <c r="A231" s="6" t="s">
        <v>3397</v>
      </c>
      <c r="B231" s="6" t="s">
        <v>3399</v>
      </c>
      <c r="C231" s="3" t="s">
        <v>22</v>
      </c>
      <c r="D231" s="3">
        <v>222069.0</v>
      </c>
      <c r="E231" s="8">
        <v>11.89</v>
      </c>
      <c r="F231" s="3">
        <v>180.0</v>
      </c>
      <c r="G231" s="7">
        <v>44350.0</v>
      </c>
      <c r="H231" s="3" t="s">
        <v>4</v>
      </c>
      <c r="I231" s="8">
        <v>123133.69</v>
      </c>
      <c r="J231" s="6" t="s">
        <v>136</v>
      </c>
      <c r="K231" s="3" t="s">
        <v>568</v>
      </c>
    </row>
    <row r="232" ht="15.75" customHeight="1">
      <c r="A232" s="6" t="s">
        <v>3410</v>
      </c>
      <c r="B232" s="6" t="s">
        <v>962</v>
      </c>
      <c r="C232" s="3" t="s">
        <v>15</v>
      </c>
      <c r="D232" s="3">
        <v>6467782.0</v>
      </c>
      <c r="E232" s="8">
        <v>12.87</v>
      </c>
      <c r="F232" s="3">
        <v>36.0</v>
      </c>
      <c r="G232" s="7">
        <v>42396.0</v>
      </c>
      <c r="H232" s="3" t="s">
        <v>7</v>
      </c>
      <c r="I232" s="8">
        <v>1171457.24</v>
      </c>
      <c r="J232" s="6" t="s">
        <v>129</v>
      </c>
      <c r="K232" s="3" t="s">
        <v>568</v>
      </c>
    </row>
    <row r="233" ht="15.75" customHeight="1">
      <c r="A233" s="6" t="s">
        <v>3421</v>
      </c>
      <c r="B233" s="6" t="s">
        <v>3071</v>
      </c>
      <c r="C233" s="3" t="s">
        <v>12</v>
      </c>
      <c r="D233" s="3">
        <v>1928913.0</v>
      </c>
      <c r="E233" s="8">
        <v>9.58</v>
      </c>
      <c r="F233" s="3">
        <v>12.0</v>
      </c>
      <c r="G233" s="7">
        <v>45489.0</v>
      </c>
      <c r="H233" s="3" t="s">
        <v>7</v>
      </c>
      <c r="I233" s="8">
        <v>601509.11</v>
      </c>
      <c r="J233" s="6" t="s">
        <v>245</v>
      </c>
      <c r="K233" s="3" t="s">
        <v>568</v>
      </c>
    </row>
    <row r="234" ht="15.75" customHeight="1">
      <c r="A234" s="6" t="s">
        <v>3431</v>
      </c>
      <c r="B234" s="6" t="s">
        <v>3432</v>
      </c>
      <c r="C234" s="3" t="s">
        <v>10</v>
      </c>
      <c r="D234" s="3">
        <v>1303502.0</v>
      </c>
      <c r="E234" s="8">
        <v>11.71</v>
      </c>
      <c r="F234" s="3">
        <v>120.0</v>
      </c>
      <c r="G234" s="7">
        <v>42420.0</v>
      </c>
      <c r="H234" s="3" t="s">
        <v>4</v>
      </c>
      <c r="I234" s="8">
        <v>231339.17</v>
      </c>
      <c r="J234" s="6" t="s">
        <v>277</v>
      </c>
      <c r="K234" s="3" t="s">
        <v>568</v>
      </c>
    </row>
    <row r="235" ht="15.75" customHeight="1">
      <c r="A235" s="6" t="s">
        <v>3443</v>
      </c>
      <c r="B235" s="6" t="s">
        <v>3445</v>
      </c>
      <c r="C235" s="3" t="s">
        <v>15</v>
      </c>
      <c r="D235" s="3">
        <v>2569080.0</v>
      </c>
      <c r="E235" s="8">
        <v>7.94</v>
      </c>
      <c r="F235" s="3">
        <v>180.0</v>
      </c>
      <c r="G235" s="7">
        <v>42042.0</v>
      </c>
      <c r="H235" s="3" t="s">
        <v>5</v>
      </c>
      <c r="I235" s="8">
        <v>0.0</v>
      </c>
      <c r="J235" s="6" t="s">
        <v>288</v>
      </c>
      <c r="K235" s="3" t="s">
        <v>568</v>
      </c>
    </row>
    <row r="236" ht="15.75" customHeight="1">
      <c r="A236" s="6" t="s">
        <v>3453</v>
      </c>
      <c r="B236" s="6" t="s">
        <v>2865</v>
      </c>
      <c r="C236" s="3" t="s">
        <v>13</v>
      </c>
      <c r="D236" s="3">
        <v>28689.0</v>
      </c>
      <c r="E236" s="8">
        <v>15.91</v>
      </c>
      <c r="F236" s="3">
        <v>12.0</v>
      </c>
      <c r="G236" s="7">
        <v>45209.0</v>
      </c>
      <c r="H236" s="3" t="s">
        <v>4</v>
      </c>
      <c r="I236" s="8">
        <v>1974.2</v>
      </c>
      <c r="J236" s="6" t="s">
        <v>109</v>
      </c>
      <c r="K236" s="3" t="s">
        <v>568</v>
      </c>
    </row>
    <row r="237" ht="15.75" customHeight="1">
      <c r="A237" s="6" t="s">
        <v>3463</v>
      </c>
      <c r="B237" s="6" t="s">
        <v>1953</v>
      </c>
      <c r="C237" s="3" t="s">
        <v>10</v>
      </c>
      <c r="D237" s="3">
        <v>1070973.0</v>
      </c>
      <c r="E237" s="8">
        <v>11.49</v>
      </c>
      <c r="F237" s="3">
        <v>12.0</v>
      </c>
      <c r="G237" s="7">
        <v>41543.0</v>
      </c>
      <c r="H237" s="3" t="s">
        <v>4</v>
      </c>
      <c r="I237" s="8">
        <v>615656.96</v>
      </c>
      <c r="J237" s="6" t="s">
        <v>397</v>
      </c>
      <c r="K237" s="3" t="s">
        <v>568</v>
      </c>
    </row>
    <row r="238" ht="15.75" customHeight="1">
      <c r="A238" s="6" t="s">
        <v>3480</v>
      </c>
      <c r="B238" s="6" t="s">
        <v>1555</v>
      </c>
      <c r="C238" s="3" t="s">
        <v>15</v>
      </c>
      <c r="D238" s="3">
        <v>7585216.0</v>
      </c>
      <c r="E238" s="8">
        <v>10.39</v>
      </c>
      <c r="F238" s="3">
        <v>24.0</v>
      </c>
      <c r="G238" s="7">
        <v>44689.0</v>
      </c>
      <c r="H238" s="3" t="s">
        <v>5</v>
      </c>
      <c r="I238" s="8">
        <v>0.0</v>
      </c>
      <c r="J238" s="6" t="s">
        <v>221</v>
      </c>
      <c r="K238" s="3" t="s">
        <v>568</v>
      </c>
    </row>
    <row r="239" ht="15.75" customHeight="1">
      <c r="A239" s="6" t="s">
        <v>3488</v>
      </c>
      <c r="B239" s="6" t="s">
        <v>3445</v>
      </c>
      <c r="C239" s="3" t="s">
        <v>13</v>
      </c>
      <c r="D239" s="3">
        <v>32189.0</v>
      </c>
      <c r="E239" s="8">
        <v>8.99</v>
      </c>
      <c r="F239" s="3">
        <v>24.0</v>
      </c>
      <c r="G239" s="7">
        <v>43389.0</v>
      </c>
      <c r="H239" s="3" t="s">
        <v>5</v>
      </c>
      <c r="I239" s="8">
        <v>0.0</v>
      </c>
      <c r="J239" s="6" t="s">
        <v>208</v>
      </c>
      <c r="K239" s="3" t="s">
        <v>568</v>
      </c>
    </row>
    <row r="240" ht="15.75" customHeight="1">
      <c r="A240" s="6" t="s">
        <v>3499</v>
      </c>
      <c r="B240" s="6" t="s">
        <v>2265</v>
      </c>
      <c r="C240" s="3" t="s">
        <v>15</v>
      </c>
      <c r="D240" s="3">
        <v>8539393.0</v>
      </c>
      <c r="E240" s="8">
        <v>16.4</v>
      </c>
      <c r="F240" s="3">
        <v>12.0</v>
      </c>
      <c r="G240" s="7">
        <v>43624.0</v>
      </c>
      <c r="H240" s="3" t="s">
        <v>5</v>
      </c>
      <c r="I240" s="8">
        <v>0.0</v>
      </c>
      <c r="J240" s="6" t="s">
        <v>352</v>
      </c>
      <c r="K240" s="3" t="s">
        <v>568</v>
      </c>
    </row>
    <row r="241" ht="15.75" customHeight="1">
      <c r="A241" s="6" t="s">
        <v>3508</v>
      </c>
      <c r="B241" s="6" t="s">
        <v>3007</v>
      </c>
      <c r="C241" s="3" t="s">
        <v>15</v>
      </c>
      <c r="D241" s="3">
        <v>3136765.0</v>
      </c>
      <c r="E241" s="8">
        <v>10.06</v>
      </c>
      <c r="F241" s="3">
        <v>24.0</v>
      </c>
      <c r="G241" s="7">
        <v>44503.0</v>
      </c>
      <c r="H241" s="3" t="s">
        <v>5</v>
      </c>
      <c r="I241" s="8">
        <v>0.0</v>
      </c>
      <c r="J241" s="6" t="s">
        <v>262</v>
      </c>
      <c r="K241" s="3" t="s">
        <v>568</v>
      </c>
    </row>
    <row r="242" ht="15.75" customHeight="1">
      <c r="A242" s="6" t="s">
        <v>3513</v>
      </c>
      <c r="B242" s="6" t="s">
        <v>2284</v>
      </c>
      <c r="C242" s="3" t="s">
        <v>15</v>
      </c>
      <c r="D242" s="3">
        <v>6535831.0</v>
      </c>
      <c r="E242" s="8">
        <v>13.84</v>
      </c>
      <c r="F242" s="3">
        <v>180.0</v>
      </c>
      <c r="G242" s="7">
        <v>43004.0</v>
      </c>
      <c r="H242" s="3" t="s">
        <v>4</v>
      </c>
      <c r="I242" s="8">
        <v>2951048.68</v>
      </c>
      <c r="J242" s="6" t="s">
        <v>208</v>
      </c>
      <c r="K242" s="3" t="s">
        <v>568</v>
      </c>
    </row>
    <row r="243" ht="15.75" customHeight="1">
      <c r="A243" s="6" t="s">
        <v>3521</v>
      </c>
      <c r="B243" s="6" t="s">
        <v>944</v>
      </c>
      <c r="C243" s="3" t="s">
        <v>12</v>
      </c>
      <c r="D243" s="3">
        <v>832622.0</v>
      </c>
      <c r="E243" s="8">
        <v>10.55</v>
      </c>
      <c r="F243" s="3">
        <v>60.0</v>
      </c>
      <c r="G243" s="7">
        <v>43332.0</v>
      </c>
      <c r="H243" s="3" t="s">
        <v>5</v>
      </c>
      <c r="I243" s="8">
        <v>0.0</v>
      </c>
      <c r="J243" s="6" t="s">
        <v>129</v>
      </c>
      <c r="K243" s="3" t="s">
        <v>568</v>
      </c>
    </row>
    <row r="244" ht="15.75" customHeight="1">
      <c r="A244" s="6" t="s">
        <v>3528</v>
      </c>
      <c r="B244" s="6" t="s">
        <v>1916</v>
      </c>
      <c r="C244" s="3" t="s">
        <v>12</v>
      </c>
      <c r="D244" s="3">
        <v>974569.0</v>
      </c>
      <c r="E244" s="8">
        <v>10.69</v>
      </c>
      <c r="F244" s="3">
        <v>12.0</v>
      </c>
      <c r="G244" s="7">
        <v>44783.0</v>
      </c>
      <c r="H244" s="3" t="s">
        <v>7</v>
      </c>
      <c r="I244" s="8">
        <v>671018.07</v>
      </c>
      <c r="J244" s="6" t="s">
        <v>333</v>
      </c>
      <c r="K244" s="3" t="s">
        <v>568</v>
      </c>
    </row>
    <row r="245" ht="15.75" customHeight="1">
      <c r="A245" s="6" t="s">
        <v>3540</v>
      </c>
      <c r="B245" s="6" t="s">
        <v>1462</v>
      </c>
      <c r="C245" s="3" t="s">
        <v>13</v>
      </c>
      <c r="D245" s="3">
        <v>488567.0</v>
      </c>
      <c r="E245" s="8">
        <v>14.08</v>
      </c>
      <c r="F245" s="3">
        <v>120.0</v>
      </c>
      <c r="G245" s="7">
        <v>42405.0</v>
      </c>
      <c r="H245" s="3" t="s">
        <v>4</v>
      </c>
      <c r="I245" s="8">
        <v>84181.02</v>
      </c>
      <c r="J245" s="6" t="s">
        <v>179</v>
      </c>
      <c r="K245" s="3" t="s">
        <v>568</v>
      </c>
    </row>
    <row r="246" ht="15.75" customHeight="1">
      <c r="A246" s="6" t="s">
        <v>3549</v>
      </c>
      <c r="B246" s="6" t="s">
        <v>3552</v>
      </c>
      <c r="C246" s="3" t="s">
        <v>15</v>
      </c>
      <c r="D246" s="3">
        <v>6791148.0</v>
      </c>
      <c r="E246" s="8">
        <v>10.65</v>
      </c>
      <c r="F246" s="3">
        <v>120.0</v>
      </c>
      <c r="G246" s="7">
        <v>41674.0</v>
      </c>
      <c r="H246" s="3" t="s">
        <v>5</v>
      </c>
      <c r="I246" s="8">
        <v>0.0</v>
      </c>
      <c r="J246" s="6" t="s">
        <v>36</v>
      </c>
      <c r="K246" s="3" t="s">
        <v>568</v>
      </c>
    </row>
    <row r="247" ht="15.75" customHeight="1">
      <c r="A247" s="6" t="s">
        <v>3577</v>
      </c>
      <c r="B247" s="6" t="s">
        <v>3579</v>
      </c>
      <c r="C247" s="3" t="s">
        <v>12</v>
      </c>
      <c r="D247" s="3">
        <v>1090604.0</v>
      </c>
      <c r="E247" s="8">
        <v>8.14</v>
      </c>
      <c r="F247" s="3">
        <v>240.0</v>
      </c>
      <c r="G247" s="7">
        <v>41988.0</v>
      </c>
      <c r="H247" s="3" t="s">
        <v>4</v>
      </c>
      <c r="I247" s="8">
        <v>835197.63</v>
      </c>
      <c r="J247" s="6" t="s">
        <v>60</v>
      </c>
      <c r="K247" s="3" t="s">
        <v>568</v>
      </c>
    </row>
    <row r="248" ht="15.75" customHeight="1">
      <c r="A248" s="6" t="s">
        <v>3592</v>
      </c>
      <c r="B248" s="6" t="s">
        <v>2881</v>
      </c>
      <c r="C248" s="3" t="s">
        <v>10</v>
      </c>
      <c r="D248" s="3">
        <v>269201.0</v>
      </c>
      <c r="E248" s="8">
        <v>12.56</v>
      </c>
      <c r="F248" s="3">
        <v>60.0</v>
      </c>
      <c r="G248" s="7">
        <v>43767.0</v>
      </c>
      <c r="H248" s="3" t="s">
        <v>4</v>
      </c>
      <c r="I248" s="8">
        <v>128150.07</v>
      </c>
      <c r="J248" s="6" t="s">
        <v>311</v>
      </c>
      <c r="K248" s="3" t="s">
        <v>568</v>
      </c>
    </row>
    <row r="249" ht="15.75" customHeight="1">
      <c r="A249" s="6" t="s">
        <v>3603</v>
      </c>
      <c r="B249" s="6" t="s">
        <v>2441</v>
      </c>
      <c r="C249" s="3" t="s">
        <v>12</v>
      </c>
      <c r="D249" s="3">
        <v>1612366.0</v>
      </c>
      <c r="E249" s="8">
        <v>15.51</v>
      </c>
      <c r="F249" s="3">
        <v>180.0</v>
      </c>
      <c r="G249" s="7">
        <v>45359.0</v>
      </c>
      <c r="H249" s="3" t="s">
        <v>5</v>
      </c>
      <c r="I249" s="8">
        <v>0.0</v>
      </c>
      <c r="J249" s="6" t="s">
        <v>60</v>
      </c>
      <c r="K249" s="3" t="s">
        <v>568</v>
      </c>
    </row>
    <row r="250" ht="15.75" customHeight="1">
      <c r="A250" s="6" t="s">
        <v>3617</v>
      </c>
      <c r="B250" s="6" t="s">
        <v>1498</v>
      </c>
      <c r="C250" s="3" t="s">
        <v>11</v>
      </c>
      <c r="D250" s="3">
        <v>4212031.0</v>
      </c>
      <c r="E250" s="8">
        <v>16.18</v>
      </c>
      <c r="F250" s="3">
        <v>84.0</v>
      </c>
      <c r="G250" s="7">
        <v>44503.0</v>
      </c>
      <c r="H250" s="3" t="s">
        <v>4</v>
      </c>
      <c r="I250" s="8">
        <v>377021.34</v>
      </c>
      <c r="J250" s="6" t="s">
        <v>163</v>
      </c>
      <c r="K250" s="3" t="s">
        <v>568</v>
      </c>
    </row>
    <row r="251" ht="15.75" customHeight="1">
      <c r="A251" s="6" t="s">
        <v>3624</v>
      </c>
      <c r="B251" s="6" t="s">
        <v>1591</v>
      </c>
      <c r="C251" s="3" t="s">
        <v>11</v>
      </c>
      <c r="D251" s="3">
        <v>1710489.0</v>
      </c>
      <c r="E251" s="8">
        <v>12.87</v>
      </c>
      <c r="F251" s="3">
        <v>60.0</v>
      </c>
      <c r="G251" s="7">
        <v>44301.0</v>
      </c>
      <c r="H251" s="3" t="s">
        <v>4</v>
      </c>
      <c r="I251" s="8">
        <v>529284.17</v>
      </c>
      <c r="J251" s="6" t="s">
        <v>277</v>
      </c>
      <c r="K251" s="3" t="s">
        <v>568</v>
      </c>
    </row>
    <row r="252" ht="15.75" customHeight="1">
      <c r="A252" s="6" t="s">
        <v>3634</v>
      </c>
      <c r="B252" s="6" t="s">
        <v>1937</v>
      </c>
      <c r="C252" s="3" t="s">
        <v>15</v>
      </c>
      <c r="D252" s="3">
        <v>7494314.0</v>
      </c>
      <c r="E252" s="8">
        <v>10.37</v>
      </c>
      <c r="F252" s="3">
        <v>24.0</v>
      </c>
      <c r="G252" s="7">
        <v>43401.0</v>
      </c>
      <c r="H252" s="3" t="s">
        <v>4</v>
      </c>
      <c r="I252" s="8">
        <v>2274218.93</v>
      </c>
      <c r="J252" s="6" t="s">
        <v>397</v>
      </c>
      <c r="K252" s="3" t="s">
        <v>568</v>
      </c>
    </row>
    <row r="253" ht="15.75" customHeight="1">
      <c r="A253" s="6" t="s">
        <v>3644</v>
      </c>
      <c r="B253" s="6" t="s">
        <v>1927</v>
      </c>
      <c r="C253" s="3" t="s">
        <v>11</v>
      </c>
      <c r="D253" s="3">
        <v>4107288.0</v>
      </c>
      <c r="E253" s="8">
        <v>8.56</v>
      </c>
      <c r="F253" s="3">
        <v>180.0</v>
      </c>
      <c r="G253" s="7">
        <v>45278.0</v>
      </c>
      <c r="H253" s="3" t="s">
        <v>4</v>
      </c>
      <c r="I253" s="8">
        <v>2992554.92</v>
      </c>
      <c r="J253" s="6" t="s">
        <v>146</v>
      </c>
      <c r="K253" s="3" t="s">
        <v>568</v>
      </c>
    </row>
    <row r="254" ht="15.75" customHeight="1">
      <c r="A254" s="6" t="s">
        <v>3661</v>
      </c>
      <c r="B254" s="6" t="s">
        <v>116</v>
      </c>
      <c r="C254" s="3" t="s">
        <v>15</v>
      </c>
      <c r="D254" s="3">
        <v>2477745.0</v>
      </c>
      <c r="E254" s="8">
        <v>13.43</v>
      </c>
      <c r="F254" s="3">
        <v>240.0</v>
      </c>
      <c r="G254" s="7">
        <v>45340.0</v>
      </c>
      <c r="H254" s="3" t="s">
        <v>5</v>
      </c>
      <c r="I254" s="8">
        <v>0.0</v>
      </c>
      <c r="J254" s="6" t="s">
        <v>277</v>
      </c>
      <c r="K254" s="3" t="s">
        <v>568</v>
      </c>
    </row>
    <row r="255" ht="15.75" customHeight="1">
      <c r="A255" s="6" t="s">
        <v>3669</v>
      </c>
      <c r="B255" s="6" t="s">
        <v>2829</v>
      </c>
      <c r="C255" s="3" t="s">
        <v>13</v>
      </c>
      <c r="D255" s="3">
        <v>50635.0</v>
      </c>
      <c r="E255" s="8">
        <v>8.77</v>
      </c>
      <c r="F255" s="3">
        <v>240.0</v>
      </c>
      <c r="G255" s="7">
        <v>44601.0</v>
      </c>
      <c r="H255" s="3" t="s">
        <v>5</v>
      </c>
      <c r="I255" s="8">
        <v>0.0</v>
      </c>
      <c r="J255" s="6" t="s">
        <v>60</v>
      </c>
      <c r="K255" s="3" t="s">
        <v>568</v>
      </c>
    </row>
    <row r="256" ht="15.75" customHeight="1">
      <c r="A256" s="6" t="s">
        <v>3680</v>
      </c>
      <c r="B256" s="6" t="s">
        <v>2923</v>
      </c>
      <c r="C256" s="3" t="s">
        <v>15</v>
      </c>
      <c r="D256" s="3">
        <v>6584376.0</v>
      </c>
      <c r="E256" s="8">
        <v>11.17</v>
      </c>
      <c r="F256" s="3">
        <v>84.0</v>
      </c>
      <c r="G256" s="7">
        <v>41121.0</v>
      </c>
      <c r="H256" s="3" t="s">
        <v>5</v>
      </c>
      <c r="I256" s="8">
        <v>0.0</v>
      </c>
      <c r="J256" s="6" t="s">
        <v>36</v>
      </c>
      <c r="K256" s="3" t="s">
        <v>568</v>
      </c>
    </row>
    <row r="257" ht="15.75" customHeight="1">
      <c r="A257" s="6" t="s">
        <v>3693</v>
      </c>
      <c r="B257" s="6" t="s">
        <v>212</v>
      </c>
      <c r="C257" s="3" t="s">
        <v>10</v>
      </c>
      <c r="D257" s="3">
        <v>203914.0</v>
      </c>
      <c r="E257" s="8">
        <v>14.17</v>
      </c>
      <c r="F257" s="3">
        <v>120.0</v>
      </c>
      <c r="G257" s="7">
        <v>42404.0</v>
      </c>
      <c r="H257" s="3" t="s">
        <v>4</v>
      </c>
      <c r="I257" s="8">
        <v>134730.01</v>
      </c>
      <c r="J257" s="6" t="s">
        <v>136</v>
      </c>
      <c r="K257" s="3" t="s">
        <v>568</v>
      </c>
    </row>
    <row r="258" ht="15.75" customHeight="1">
      <c r="A258" s="6" t="s">
        <v>3712</v>
      </c>
      <c r="B258" s="6" t="s">
        <v>1014</v>
      </c>
      <c r="C258" s="3" t="s">
        <v>11</v>
      </c>
      <c r="D258" s="3">
        <v>4986704.0</v>
      </c>
      <c r="E258" s="8">
        <v>15.45</v>
      </c>
      <c r="F258" s="3">
        <v>84.0</v>
      </c>
      <c r="G258" s="7">
        <v>40999.0</v>
      </c>
      <c r="H258" s="3" t="s">
        <v>4</v>
      </c>
      <c r="I258" s="8">
        <v>2609809.4</v>
      </c>
      <c r="J258" s="6" t="s">
        <v>385</v>
      </c>
      <c r="K258" s="3" t="s">
        <v>568</v>
      </c>
    </row>
    <row r="259" ht="15.75" customHeight="1">
      <c r="A259" s="6" t="s">
        <v>3723</v>
      </c>
      <c r="B259" s="6" t="s">
        <v>1017</v>
      </c>
      <c r="C259" s="3" t="s">
        <v>15</v>
      </c>
      <c r="D259" s="3">
        <v>4941936.0</v>
      </c>
      <c r="E259" s="8">
        <v>14.35</v>
      </c>
      <c r="F259" s="3">
        <v>240.0</v>
      </c>
      <c r="G259" s="7">
        <v>44991.0</v>
      </c>
      <c r="H259" s="3" t="s">
        <v>4</v>
      </c>
      <c r="I259" s="8">
        <v>143087.0</v>
      </c>
      <c r="J259" s="6" t="s">
        <v>163</v>
      </c>
      <c r="K259" s="3" t="s">
        <v>568</v>
      </c>
    </row>
    <row r="260" ht="15.75" customHeight="1">
      <c r="A260" s="6" t="s">
        <v>3730</v>
      </c>
      <c r="B260" s="6" t="s">
        <v>1916</v>
      </c>
      <c r="C260" s="3" t="s">
        <v>22</v>
      </c>
      <c r="D260" s="3">
        <v>108785.0</v>
      </c>
      <c r="E260" s="8">
        <v>10.04</v>
      </c>
      <c r="F260" s="3">
        <v>180.0</v>
      </c>
      <c r="G260" s="7">
        <v>45225.0</v>
      </c>
      <c r="H260" s="3" t="s">
        <v>4</v>
      </c>
      <c r="I260" s="8">
        <v>1914.87</v>
      </c>
      <c r="J260" s="6" t="s">
        <v>136</v>
      </c>
      <c r="K260" s="3" t="s">
        <v>568</v>
      </c>
    </row>
    <row r="261" ht="15.75" customHeight="1">
      <c r="A261" s="6" t="s">
        <v>3746</v>
      </c>
      <c r="B261" s="6" t="s">
        <v>1500</v>
      </c>
      <c r="C261" s="3" t="s">
        <v>10</v>
      </c>
      <c r="D261" s="3">
        <v>628148.0</v>
      </c>
      <c r="E261" s="8">
        <v>15.05</v>
      </c>
      <c r="F261" s="3">
        <v>84.0</v>
      </c>
      <c r="G261" s="7">
        <v>43315.0</v>
      </c>
      <c r="H261" s="3" t="s">
        <v>4</v>
      </c>
      <c r="I261" s="8">
        <v>67986.98</v>
      </c>
      <c r="J261" s="6" t="s">
        <v>221</v>
      </c>
      <c r="K261" s="3" t="s">
        <v>568</v>
      </c>
    </row>
    <row r="262" ht="15.75" customHeight="1">
      <c r="A262" s="6" t="s">
        <v>3758</v>
      </c>
      <c r="B262" s="6" t="s">
        <v>3759</v>
      </c>
      <c r="C262" s="3" t="s">
        <v>15</v>
      </c>
      <c r="D262" s="3">
        <v>3330776.0</v>
      </c>
      <c r="E262" s="8">
        <v>11.86</v>
      </c>
      <c r="F262" s="3">
        <v>12.0</v>
      </c>
      <c r="G262" s="7">
        <v>41163.0</v>
      </c>
      <c r="H262" s="3" t="s">
        <v>5</v>
      </c>
      <c r="I262" s="8">
        <v>0.0</v>
      </c>
      <c r="J262" s="6" t="s">
        <v>262</v>
      </c>
      <c r="K262" s="3" t="s">
        <v>568</v>
      </c>
    </row>
    <row r="263" ht="15.75" customHeight="1">
      <c r="A263" s="6" t="s">
        <v>3769</v>
      </c>
      <c r="B263" s="6" t="s">
        <v>1039</v>
      </c>
      <c r="C263" s="3" t="s">
        <v>11</v>
      </c>
      <c r="D263" s="3">
        <v>763249.0</v>
      </c>
      <c r="E263" s="8">
        <v>15.69</v>
      </c>
      <c r="F263" s="3">
        <v>24.0</v>
      </c>
      <c r="G263" s="7">
        <v>42092.0</v>
      </c>
      <c r="H263" s="3" t="s">
        <v>4</v>
      </c>
      <c r="I263" s="8">
        <v>554423.88</v>
      </c>
      <c r="J263" s="6" t="s">
        <v>129</v>
      </c>
      <c r="K263" s="3" t="s">
        <v>568</v>
      </c>
    </row>
    <row r="264" ht="15.75" customHeight="1">
      <c r="A264" s="6" t="s">
        <v>3780</v>
      </c>
      <c r="B264" s="6" t="s">
        <v>3781</v>
      </c>
      <c r="C264" s="3" t="s">
        <v>15</v>
      </c>
      <c r="D264" s="3">
        <v>5558106.0</v>
      </c>
      <c r="E264" s="8">
        <v>13.61</v>
      </c>
      <c r="F264" s="3">
        <v>120.0</v>
      </c>
      <c r="G264" s="7">
        <v>44942.0</v>
      </c>
      <c r="H264" s="3" t="s">
        <v>4</v>
      </c>
      <c r="I264" s="8">
        <v>520134.29</v>
      </c>
      <c r="J264" s="6" t="s">
        <v>311</v>
      </c>
      <c r="K264" s="3" t="s">
        <v>568</v>
      </c>
    </row>
    <row r="265" ht="15.75" customHeight="1">
      <c r="A265" s="6" t="s">
        <v>3794</v>
      </c>
      <c r="B265" s="6" t="s">
        <v>2453</v>
      </c>
      <c r="C265" s="3" t="s">
        <v>12</v>
      </c>
      <c r="D265" s="3">
        <v>1792379.0</v>
      </c>
      <c r="E265" s="8">
        <v>11.31</v>
      </c>
      <c r="F265" s="3">
        <v>60.0</v>
      </c>
      <c r="G265" s="7">
        <v>44728.0</v>
      </c>
      <c r="H265" s="3" t="s">
        <v>5</v>
      </c>
      <c r="I265" s="8">
        <v>0.0</v>
      </c>
      <c r="J265" s="6" t="s">
        <v>97</v>
      </c>
      <c r="K265" s="3" t="s">
        <v>568</v>
      </c>
    </row>
    <row r="266" ht="15.75" customHeight="1">
      <c r="A266" s="6" t="s">
        <v>3805</v>
      </c>
      <c r="B266" s="6" t="s">
        <v>2200</v>
      </c>
      <c r="C266" s="3" t="s">
        <v>13</v>
      </c>
      <c r="D266" s="3">
        <v>466484.0</v>
      </c>
      <c r="E266" s="8">
        <v>13.19</v>
      </c>
      <c r="F266" s="3">
        <v>24.0</v>
      </c>
      <c r="G266" s="7">
        <v>42633.0</v>
      </c>
      <c r="H266" s="3" t="s">
        <v>7</v>
      </c>
      <c r="I266" s="8">
        <v>45505.65</v>
      </c>
      <c r="J266" s="6" t="s">
        <v>323</v>
      </c>
      <c r="K266" s="3" t="s">
        <v>568</v>
      </c>
    </row>
    <row r="267" ht="15.75" customHeight="1">
      <c r="A267" s="6" t="s">
        <v>3815</v>
      </c>
      <c r="B267" s="6" t="s">
        <v>2090</v>
      </c>
      <c r="C267" s="3" t="s">
        <v>11</v>
      </c>
      <c r="D267" s="3">
        <v>1960613.0</v>
      </c>
      <c r="E267" s="8">
        <v>8.14</v>
      </c>
      <c r="F267" s="3">
        <v>240.0</v>
      </c>
      <c r="G267" s="7">
        <v>43612.0</v>
      </c>
      <c r="H267" s="3" t="s">
        <v>6</v>
      </c>
      <c r="I267" s="8">
        <v>1586903.2</v>
      </c>
      <c r="J267" s="6" t="s">
        <v>97</v>
      </c>
      <c r="K267" s="3" t="s">
        <v>568</v>
      </c>
    </row>
    <row r="268" ht="15.75" customHeight="1">
      <c r="A268" s="6" t="s">
        <v>3824</v>
      </c>
      <c r="B268" s="6" t="s">
        <v>1058</v>
      </c>
      <c r="C268" s="3" t="s">
        <v>12</v>
      </c>
      <c r="D268" s="3">
        <v>1114912.0</v>
      </c>
      <c r="E268" s="8">
        <v>12.23</v>
      </c>
      <c r="F268" s="3">
        <v>24.0</v>
      </c>
      <c r="G268" s="7">
        <v>45064.0</v>
      </c>
      <c r="H268" s="3" t="s">
        <v>4</v>
      </c>
      <c r="I268" s="8">
        <v>511819.57</v>
      </c>
      <c r="J268" s="6" t="s">
        <v>385</v>
      </c>
      <c r="K268" s="3" t="s">
        <v>568</v>
      </c>
    </row>
    <row r="269" ht="15.75" customHeight="1">
      <c r="A269" s="6" t="s">
        <v>3837</v>
      </c>
      <c r="B269" s="6" t="s">
        <v>3395</v>
      </c>
      <c r="C269" s="3" t="s">
        <v>12</v>
      </c>
      <c r="D269" s="3">
        <v>1463295.0</v>
      </c>
      <c r="E269" s="8">
        <v>13.7</v>
      </c>
      <c r="F269" s="3">
        <v>120.0</v>
      </c>
      <c r="G269" s="7">
        <v>43820.0</v>
      </c>
      <c r="H269" s="3" t="s">
        <v>4</v>
      </c>
      <c r="I269" s="8">
        <v>1174804.88</v>
      </c>
      <c r="J269" s="6" t="s">
        <v>301</v>
      </c>
      <c r="K269" s="3" t="s">
        <v>568</v>
      </c>
    </row>
    <row r="270" ht="15.75" customHeight="1">
      <c r="A270" s="6" t="s">
        <v>3850</v>
      </c>
      <c r="B270" s="6" t="s">
        <v>1357</v>
      </c>
      <c r="C270" s="3" t="s">
        <v>22</v>
      </c>
      <c r="D270" s="3">
        <v>172367.0</v>
      </c>
      <c r="E270" s="8">
        <v>16.05</v>
      </c>
      <c r="F270" s="3">
        <v>84.0</v>
      </c>
      <c r="G270" s="7">
        <v>44341.0</v>
      </c>
      <c r="H270" s="3" t="s">
        <v>5</v>
      </c>
      <c r="I270" s="8">
        <v>0.0</v>
      </c>
      <c r="J270" s="6" t="s">
        <v>179</v>
      </c>
      <c r="K270" s="3" t="s">
        <v>568</v>
      </c>
    </row>
    <row r="271" ht="15.75" customHeight="1">
      <c r="A271" s="6" t="s">
        <v>3860</v>
      </c>
      <c r="B271" s="6" t="s">
        <v>748</v>
      </c>
      <c r="C271" s="3" t="s">
        <v>13</v>
      </c>
      <c r="D271" s="3">
        <v>115991.0</v>
      </c>
      <c r="E271" s="8">
        <v>13.69</v>
      </c>
      <c r="F271" s="3">
        <v>120.0</v>
      </c>
      <c r="G271" s="7">
        <v>45184.0</v>
      </c>
      <c r="H271" s="3" t="s">
        <v>7</v>
      </c>
      <c r="I271" s="8">
        <v>88820.48</v>
      </c>
      <c r="J271" s="6" t="s">
        <v>80</v>
      </c>
      <c r="K271" s="3" t="s">
        <v>568</v>
      </c>
    </row>
    <row r="272" ht="15.75" customHeight="1">
      <c r="A272" s="6" t="s">
        <v>3869</v>
      </c>
      <c r="B272" s="6" t="s">
        <v>2923</v>
      </c>
      <c r="C272" s="3" t="s">
        <v>15</v>
      </c>
      <c r="D272" s="3">
        <v>5788433.0</v>
      </c>
      <c r="E272" s="8">
        <v>10.32</v>
      </c>
      <c r="F272" s="3">
        <v>60.0</v>
      </c>
      <c r="G272" s="7">
        <v>44004.0</v>
      </c>
      <c r="H272" s="3" t="s">
        <v>5</v>
      </c>
      <c r="I272" s="8">
        <v>0.0</v>
      </c>
      <c r="J272" s="6" t="s">
        <v>146</v>
      </c>
      <c r="K272" s="3" t="s">
        <v>568</v>
      </c>
    </row>
    <row r="273" ht="15.75" customHeight="1">
      <c r="A273" s="6" t="s">
        <v>3873</v>
      </c>
      <c r="B273" s="6" t="s">
        <v>3053</v>
      </c>
      <c r="C273" s="3" t="s">
        <v>13</v>
      </c>
      <c r="D273" s="3">
        <v>125846.0</v>
      </c>
      <c r="E273" s="8">
        <v>16.15</v>
      </c>
      <c r="F273" s="3">
        <v>240.0</v>
      </c>
      <c r="G273" s="7">
        <v>40987.0</v>
      </c>
      <c r="H273" s="3" t="s">
        <v>4</v>
      </c>
      <c r="I273" s="8">
        <v>23090.96</v>
      </c>
      <c r="J273" s="6" t="s">
        <v>197</v>
      </c>
      <c r="K273" s="3" t="s">
        <v>568</v>
      </c>
    </row>
    <row r="274" ht="15.75" customHeight="1">
      <c r="A274" s="6" t="s">
        <v>3879</v>
      </c>
      <c r="B274" s="6" t="s">
        <v>3881</v>
      </c>
      <c r="C274" s="3" t="s">
        <v>22</v>
      </c>
      <c r="D274" s="3">
        <v>53503.0</v>
      </c>
      <c r="E274" s="8">
        <v>13.33</v>
      </c>
      <c r="F274" s="3">
        <v>240.0</v>
      </c>
      <c r="G274" s="7">
        <v>42373.0</v>
      </c>
      <c r="H274" s="3" t="s">
        <v>5</v>
      </c>
      <c r="I274" s="8">
        <v>0.0</v>
      </c>
      <c r="J274" s="6" t="s">
        <v>401</v>
      </c>
      <c r="K274" s="3" t="s">
        <v>568</v>
      </c>
    </row>
    <row r="275" ht="15.75" customHeight="1">
      <c r="A275" s="6" t="s">
        <v>3886</v>
      </c>
      <c r="B275" s="6" t="s">
        <v>2584</v>
      </c>
      <c r="C275" s="3" t="s">
        <v>12</v>
      </c>
      <c r="D275" s="3">
        <v>1734676.0</v>
      </c>
      <c r="E275" s="8">
        <v>13.29</v>
      </c>
      <c r="F275" s="3">
        <v>240.0</v>
      </c>
      <c r="G275" s="7">
        <v>44959.0</v>
      </c>
      <c r="H275" s="3" t="s">
        <v>5</v>
      </c>
      <c r="I275" s="8">
        <v>0.0</v>
      </c>
      <c r="J275" s="6" t="s">
        <v>163</v>
      </c>
      <c r="K275" s="3" t="s">
        <v>568</v>
      </c>
    </row>
    <row r="276" ht="15.75" customHeight="1">
      <c r="A276" s="6" t="s">
        <v>3898</v>
      </c>
      <c r="B276" s="6" t="s">
        <v>2700</v>
      </c>
      <c r="C276" s="3" t="s">
        <v>15</v>
      </c>
      <c r="D276" s="3">
        <v>1686829.0</v>
      </c>
      <c r="E276" s="8">
        <v>15.73</v>
      </c>
      <c r="F276" s="3">
        <v>24.0</v>
      </c>
      <c r="G276" s="7">
        <v>41558.0</v>
      </c>
      <c r="H276" s="3" t="s">
        <v>4</v>
      </c>
      <c r="I276" s="8">
        <v>1145360.9</v>
      </c>
      <c r="J276" s="6" t="s">
        <v>109</v>
      </c>
      <c r="K276" s="3" t="s">
        <v>568</v>
      </c>
    </row>
    <row r="277" ht="15.75" customHeight="1">
      <c r="A277" s="6" t="s">
        <v>3910</v>
      </c>
      <c r="B277" s="6" t="s">
        <v>3911</v>
      </c>
      <c r="C277" s="3" t="s">
        <v>12</v>
      </c>
      <c r="D277" s="3">
        <v>1916812.0</v>
      </c>
      <c r="E277" s="8">
        <v>11.18</v>
      </c>
      <c r="F277" s="3">
        <v>84.0</v>
      </c>
      <c r="G277" s="7">
        <v>44440.0</v>
      </c>
      <c r="H277" s="3" t="s">
        <v>5</v>
      </c>
      <c r="I277" s="8">
        <v>0.0</v>
      </c>
      <c r="J277" s="6" t="s">
        <v>245</v>
      </c>
      <c r="K277" s="3" t="s">
        <v>568</v>
      </c>
    </row>
    <row r="278" ht="15.75" customHeight="1">
      <c r="A278" s="6" t="s">
        <v>3919</v>
      </c>
      <c r="B278" s="6" t="s">
        <v>1728</v>
      </c>
      <c r="C278" s="3" t="s">
        <v>10</v>
      </c>
      <c r="D278" s="3">
        <v>268163.0</v>
      </c>
      <c r="E278" s="8">
        <v>13.3</v>
      </c>
      <c r="F278" s="3">
        <v>24.0</v>
      </c>
      <c r="G278" s="7">
        <v>45654.0</v>
      </c>
      <c r="H278" s="3" t="s">
        <v>5</v>
      </c>
      <c r="I278" s="8">
        <v>0.0</v>
      </c>
      <c r="J278" s="6" t="s">
        <v>179</v>
      </c>
      <c r="K278" s="3" t="s">
        <v>568</v>
      </c>
    </row>
    <row r="279" ht="15.75" customHeight="1">
      <c r="A279" s="6" t="s">
        <v>3926</v>
      </c>
      <c r="B279" s="6" t="s">
        <v>2039</v>
      </c>
      <c r="C279" s="3" t="s">
        <v>11</v>
      </c>
      <c r="D279" s="3">
        <v>3346084.0</v>
      </c>
      <c r="E279" s="8">
        <v>14.91</v>
      </c>
      <c r="F279" s="3">
        <v>36.0</v>
      </c>
      <c r="G279" s="7">
        <v>41512.0</v>
      </c>
      <c r="H279" s="3" t="s">
        <v>4</v>
      </c>
      <c r="I279" s="8">
        <v>2116365.11</v>
      </c>
      <c r="J279" s="6" t="s">
        <v>284</v>
      </c>
      <c r="K279" s="3" t="s">
        <v>568</v>
      </c>
    </row>
    <row r="280" ht="15.75" customHeight="1">
      <c r="A280" s="6" t="s">
        <v>3936</v>
      </c>
      <c r="B280" s="6" t="s">
        <v>3207</v>
      </c>
      <c r="C280" s="3" t="s">
        <v>12</v>
      </c>
      <c r="D280" s="3">
        <v>256809.0</v>
      </c>
      <c r="E280" s="8">
        <v>13.61</v>
      </c>
      <c r="F280" s="3">
        <v>24.0</v>
      </c>
      <c r="G280" s="7">
        <v>42024.0</v>
      </c>
      <c r="H280" s="3" t="s">
        <v>4</v>
      </c>
      <c r="I280" s="8">
        <v>221379.29</v>
      </c>
      <c r="J280" s="6" t="s">
        <v>311</v>
      </c>
      <c r="K280" s="3" t="s">
        <v>568</v>
      </c>
    </row>
    <row r="281" ht="15.75" customHeight="1">
      <c r="A281" s="6" t="s">
        <v>3950</v>
      </c>
      <c r="B281" s="6" t="s">
        <v>1766</v>
      </c>
      <c r="C281" s="3" t="s">
        <v>15</v>
      </c>
      <c r="D281" s="3">
        <v>3576636.0</v>
      </c>
      <c r="E281" s="8">
        <v>14.59</v>
      </c>
      <c r="F281" s="3">
        <v>36.0</v>
      </c>
      <c r="G281" s="7">
        <v>41300.0</v>
      </c>
      <c r="H281" s="3" t="s">
        <v>5</v>
      </c>
      <c r="I281" s="8">
        <v>0.0</v>
      </c>
      <c r="J281" s="6" t="s">
        <v>171</v>
      </c>
      <c r="K281" s="3" t="s">
        <v>568</v>
      </c>
    </row>
    <row r="282" ht="15.75" customHeight="1">
      <c r="A282" s="6" t="s">
        <v>3959</v>
      </c>
      <c r="B282" s="6" t="s">
        <v>676</v>
      </c>
      <c r="C282" s="3" t="s">
        <v>12</v>
      </c>
      <c r="D282" s="3">
        <v>474779.0</v>
      </c>
      <c r="E282" s="8">
        <v>9.44</v>
      </c>
      <c r="F282" s="3">
        <v>24.0</v>
      </c>
      <c r="G282" s="7">
        <v>41599.0</v>
      </c>
      <c r="H282" s="3" t="s">
        <v>5</v>
      </c>
      <c r="I282" s="8">
        <v>0.0</v>
      </c>
      <c r="J282" s="6" t="s">
        <v>323</v>
      </c>
      <c r="K282" s="3" t="s">
        <v>568</v>
      </c>
    </row>
    <row r="283" ht="15.75" customHeight="1">
      <c r="A283" s="6" t="s">
        <v>3968</v>
      </c>
      <c r="B283" s="6" t="s">
        <v>805</v>
      </c>
      <c r="C283" s="3" t="s">
        <v>13</v>
      </c>
      <c r="D283" s="3">
        <v>413928.0</v>
      </c>
      <c r="E283" s="8">
        <v>12.94</v>
      </c>
      <c r="F283" s="3">
        <v>84.0</v>
      </c>
      <c r="G283" s="7">
        <v>43263.0</v>
      </c>
      <c r="H283" s="3" t="s">
        <v>7</v>
      </c>
      <c r="I283" s="8">
        <v>184248.14</v>
      </c>
      <c r="J283" s="6" t="s">
        <v>266</v>
      </c>
      <c r="K283" s="3" t="s">
        <v>568</v>
      </c>
    </row>
    <row r="284" ht="15.75" customHeight="1">
      <c r="A284" s="6" t="s">
        <v>3976</v>
      </c>
      <c r="B284" s="6" t="s">
        <v>1928</v>
      </c>
      <c r="C284" s="3" t="s">
        <v>10</v>
      </c>
      <c r="D284" s="3">
        <v>593278.0</v>
      </c>
      <c r="E284" s="8">
        <v>16.07</v>
      </c>
      <c r="F284" s="3">
        <v>120.0</v>
      </c>
      <c r="G284" s="7">
        <v>45597.0</v>
      </c>
      <c r="H284" s="3" t="s">
        <v>4</v>
      </c>
      <c r="I284" s="8">
        <v>195208.24</v>
      </c>
      <c r="J284" s="6" t="s">
        <v>245</v>
      </c>
      <c r="K284" s="3" t="s">
        <v>568</v>
      </c>
    </row>
    <row r="285" ht="15.75" customHeight="1">
      <c r="A285" s="6" t="s">
        <v>3985</v>
      </c>
      <c r="B285" s="6" t="s">
        <v>1731</v>
      </c>
      <c r="C285" s="3" t="s">
        <v>11</v>
      </c>
      <c r="D285" s="3">
        <v>3671115.0</v>
      </c>
      <c r="E285" s="8">
        <v>11.8</v>
      </c>
      <c r="F285" s="3">
        <v>24.0</v>
      </c>
      <c r="G285" s="7">
        <v>42334.0</v>
      </c>
      <c r="H285" s="3" t="s">
        <v>4</v>
      </c>
      <c r="I285" s="8">
        <v>364668.35</v>
      </c>
      <c r="J285" s="6" t="s">
        <v>301</v>
      </c>
      <c r="K285" s="3" t="s">
        <v>568</v>
      </c>
    </row>
    <row r="286" ht="15.75" customHeight="1">
      <c r="A286" s="6" t="s">
        <v>3992</v>
      </c>
      <c r="B286" s="6" t="s">
        <v>3993</v>
      </c>
      <c r="C286" s="3" t="s">
        <v>11</v>
      </c>
      <c r="D286" s="3">
        <v>2900243.0</v>
      </c>
      <c r="E286" s="8">
        <v>12.74</v>
      </c>
      <c r="F286" s="3">
        <v>60.0</v>
      </c>
      <c r="G286" s="7">
        <v>45504.0</v>
      </c>
      <c r="H286" s="3" t="s">
        <v>5</v>
      </c>
      <c r="I286" s="8">
        <v>0.0</v>
      </c>
      <c r="J286" s="6" t="s">
        <v>129</v>
      </c>
      <c r="K286" s="3" t="s">
        <v>568</v>
      </c>
    </row>
    <row r="287" ht="15.75" customHeight="1">
      <c r="A287" s="6" t="s">
        <v>4007</v>
      </c>
      <c r="B287" s="6" t="s">
        <v>4009</v>
      </c>
      <c r="C287" s="3" t="s">
        <v>10</v>
      </c>
      <c r="D287" s="3">
        <v>223286.0</v>
      </c>
      <c r="E287" s="8">
        <v>15.96</v>
      </c>
      <c r="F287" s="3">
        <v>120.0</v>
      </c>
      <c r="G287" s="7">
        <v>43952.0</v>
      </c>
      <c r="H287" s="3" t="s">
        <v>5</v>
      </c>
      <c r="I287" s="8">
        <v>0.0</v>
      </c>
      <c r="J287" s="6" t="s">
        <v>266</v>
      </c>
      <c r="K287" s="3" t="s">
        <v>568</v>
      </c>
    </row>
    <row r="288" ht="15.75" customHeight="1">
      <c r="A288" s="6" t="s">
        <v>4018</v>
      </c>
      <c r="B288" s="6" t="s">
        <v>3742</v>
      </c>
      <c r="C288" s="3" t="s">
        <v>15</v>
      </c>
      <c r="D288" s="3">
        <v>2885984.0</v>
      </c>
      <c r="E288" s="8">
        <v>10.93</v>
      </c>
      <c r="F288" s="3">
        <v>12.0</v>
      </c>
      <c r="G288" s="7">
        <v>41258.0</v>
      </c>
      <c r="H288" s="3" t="s">
        <v>4</v>
      </c>
      <c r="I288" s="8">
        <v>1456251.17</v>
      </c>
      <c r="J288" s="6" t="s">
        <v>311</v>
      </c>
      <c r="K288" s="3" t="s">
        <v>568</v>
      </c>
    </row>
    <row r="289" ht="15.75" customHeight="1">
      <c r="A289" s="6" t="s">
        <v>4027</v>
      </c>
      <c r="B289" s="6" t="s">
        <v>2158</v>
      </c>
      <c r="C289" s="3" t="s">
        <v>13</v>
      </c>
      <c r="D289" s="3">
        <v>187730.0</v>
      </c>
      <c r="E289" s="8">
        <v>12.7</v>
      </c>
      <c r="F289" s="3">
        <v>60.0</v>
      </c>
      <c r="G289" s="7">
        <v>45560.0</v>
      </c>
      <c r="H289" s="3" t="s">
        <v>4</v>
      </c>
      <c r="I289" s="8">
        <v>93092.35</v>
      </c>
      <c r="J289" s="6" t="s">
        <v>60</v>
      </c>
      <c r="K289" s="3" t="s">
        <v>568</v>
      </c>
    </row>
    <row r="290" ht="15.75" customHeight="1">
      <c r="A290" s="6" t="s">
        <v>4039</v>
      </c>
      <c r="B290" s="6" t="s">
        <v>2480</v>
      </c>
      <c r="C290" s="3" t="s">
        <v>10</v>
      </c>
      <c r="D290" s="3">
        <v>830451.0</v>
      </c>
      <c r="E290" s="8">
        <v>13.64</v>
      </c>
      <c r="F290" s="3">
        <v>84.0</v>
      </c>
      <c r="G290" s="7">
        <v>44328.0</v>
      </c>
      <c r="H290" s="3" t="s">
        <v>4</v>
      </c>
      <c r="I290" s="8">
        <v>662515.64</v>
      </c>
      <c r="J290" s="6" t="s">
        <v>277</v>
      </c>
      <c r="K290" s="3" t="s">
        <v>568</v>
      </c>
    </row>
    <row r="291" ht="15.75" customHeight="1">
      <c r="A291" s="6" t="s">
        <v>4043</v>
      </c>
      <c r="B291" s="6" t="s">
        <v>974</v>
      </c>
      <c r="C291" s="3" t="s">
        <v>11</v>
      </c>
      <c r="D291" s="3">
        <v>2561631.0</v>
      </c>
      <c r="E291" s="8">
        <v>8.46</v>
      </c>
      <c r="F291" s="3">
        <v>180.0</v>
      </c>
      <c r="G291" s="7">
        <v>41056.0</v>
      </c>
      <c r="H291" s="3" t="s">
        <v>4</v>
      </c>
      <c r="I291" s="8">
        <v>974141.55</v>
      </c>
      <c r="J291" s="6" t="s">
        <v>179</v>
      </c>
      <c r="K291" s="3" t="s">
        <v>568</v>
      </c>
    </row>
    <row r="292" ht="15.75" customHeight="1">
      <c r="A292" s="6" t="s">
        <v>4052</v>
      </c>
      <c r="B292" s="6" t="s">
        <v>3167</v>
      </c>
      <c r="C292" s="3" t="s">
        <v>12</v>
      </c>
      <c r="D292" s="3">
        <v>161478.0</v>
      </c>
      <c r="E292" s="8">
        <v>9.01</v>
      </c>
      <c r="F292" s="3">
        <v>240.0</v>
      </c>
      <c r="G292" s="7">
        <v>40945.0</v>
      </c>
      <c r="H292" s="3" t="s">
        <v>4</v>
      </c>
      <c r="I292" s="8">
        <v>81685.05</v>
      </c>
      <c r="J292" s="6" t="s">
        <v>109</v>
      </c>
      <c r="K292" s="3" t="s">
        <v>568</v>
      </c>
    </row>
    <row r="293" ht="15.75" customHeight="1">
      <c r="A293" s="6" t="s">
        <v>4059</v>
      </c>
      <c r="B293" s="6" t="s">
        <v>4062</v>
      </c>
      <c r="C293" s="3" t="s">
        <v>12</v>
      </c>
      <c r="D293" s="3">
        <v>743230.0</v>
      </c>
      <c r="E293" s="8">
        <v>16.41</v>
      </c>
      <c r="F293" s="3">
        <v>120.0</v>
      </c>
      <c r="G293" s="7">
        <v>43249.0</v>
      </c>
      <c r="H293" s="3" t="s">
        <v>4</v>
      </c>
      <c r="I293" s="8">
        <v>411252.88</v>
      </c>
      <c r="J293" s="6" t="s">
        <v>129</v>
      </c>
      <c r="K293" s="3" t="s">
        <v>568</v>
      </c>
    </row>
    <row r="294" ht="15.75" customHeight="1">
      <c r="A294" s="6" t="s">
        <v>4072</v>
      </c>
      <c r="B294" s="6" t="s">
        <v>3405</v>
      </c>
      <c r="C294" s="3" t="s">
        <v>10</v>
      </c>
      <c r="D294" s="3">
        <v>216487.0</v>
      </c>
      <c r="E294" s="8">
        <v>10.43</v>
      </c>
      <c r="F294" s="3">
        <v>60.0</v>
      </c>
      <c r="G294" s="7">
        <v>43308.0</v>
      </c>
      <c r="H294" s="3" t="s">
        <v>4</v>
      </c>
      <c r="I294" s="8">
        <v>106809.75</v>
      </c>
      <c r="J294" s="6" t="s">
        <v>266</v>
      </c>
      <c r="K294" s="3" t="s">
        <v>568</v>
      </c>
    </row>
    <row r="295" ht="15.75" customHeight="1">
      <c r="A295" s="6" t="s">
        <v>4084</v>
      </c>
      <c r="B295" s="6" t="s">
        <v>1227</v>
      </c>
      <c r="C295" s="3" t="s">
        <v>12</v>
      </c>
      <c r="D295" s="3">
        <v>602754.0</v>
      </c>
      <c r="E295" s="8">
        <v>15.07</v>
      </c>
      <c r="F295" s="3">
        <v>60.0</v>
      </c>
      <c r="G295" s="7">
        <v>42016.0</v>
      </c>
      <c r="H295" s="3" t="s">
        <v>4</v>
      </c>
      <c r="I295" s="8">
        <v>91365.89</v>
      </c>
      <c r="J295" s="6" t="s">
        <v>385</v>
      </c>
      <c r="K295" s="3" t="s">
        <v>568</v>
      </c>
    </row>
    <row r="296" ht="15.75" customHeight="1">
      <c r="A296" s="6" t="s">
        <v>4099</v>
      </c>
      <c r="B296" s="6" t="s">
        <v>4101</v>
      </c>
      <c r="C296" s="3" t="s">
        <v>22</v>
      </c>
      <c r="D296" s="3">
        <v>754752.0</v>
      </c>
      <c r="E296" s="8">
        <v>15.52</v>
      </c>
      <c r="F296" s="3">
        <v>84.0</v>
      </c>
      <c r="G296" s="7">
        <v>44925.0</v>
      </c>
      <c r="H296" s="3" t="s">
        <v>5</v>
      </c>
      <c r="I296" s="8">
        <v>0.0</v>
      </c>
      <c r="J296" s="6" t="s">
        <v>266</v>
      </c>
      <c r="K296" s="3" t="s">
        <v>568</v>
      </c>
    </row>
    <row r="297" ht="15.75" customHeight="1">
      <c r="A297" s="6" t="s">
        <v>4112</v>
      </c>
      <c r="B297" s="6" t="s">
        <v>1987</v>
      </c>
      <c r="C297" s="3" t="s">
        <v>10</v>
      </c>
      <c r="D297" s="3">
        <v>500715.0</v>
      </c>
      <c r="E297" s="8">
        <v>9.0</v>
      </c>
      <c r="F297" s="3">
        <v>60.0</v>
      </c>
      <c r="G297" s="7">
        <v>42977.0</v>
      </c>
      <c r="H297" s="3" t="s">
        <v>7</v>
      </c>
      <c r="I297" s="8">
        <v>100802.32</v>
      </c>
      <c r="J297" s="6" t="s">
        <v>284</v>
      </c>
      <c r="K297" s="3" t="s">
        <v>568</v>
      </c>
    </row>
    <row r="298" ht="15.75" customHeight="1">
      <c r="A298" s="6" t="s">
        <v>4126</v>
      </c>
      <c r="B298" s="6" t="s">
        <v>2625</v>
      </c>
      <c r="C298" s="3" t="s">
        <v>13</v>
      </c>
      <c r="D298" s="3">
        <v>92660.0</v>
      </c>
      <c r="E298" s="8">
        <v>10.07</v>
      </c>
      <c r="F298" s="3">
        <v>36.0</v>
      </c>
      <c r="G298" s="7">
        <v>43149.0</v>
      </c>
      <c r="H298" s="3" t="s">
        <v>5</v>
      </c>
      <c r="I298" s="8">
        <v>0.0</v>
      </c>
      <c r="J298" s="6" t="s">
        <v>109</v>
      </c>
      <c r="K298" s="3" t="s">
        <v>568</v>
      </c>
    </row>
    <row r="299" ht="15.75" customHeight="1">
      <c r="A299" s="6" t="s">
        <v>4135</v>
      </c>
      <c r="B299" s="6" t="s">
        <v>2980</v>
      </c>
      <c r="C299" s="3" t="s">
        <v>22</v>
      </c>
      <c r="D299" s="3">
        <v>350479.0</v>
      </c>
      <c r="E299" s="8">
        <v>10.24</v>
      </c>
      <c r="F299" s="3">
        <v>60.0</v>
      </c>
      <c r="G299" s="7">
        <v>42915.0</v>
      </c>
      <c r="H299" s="3" t="s">
        <v>4</v>
      </c>
      <c r="I299" s="8">
        <v>74459.59</v>
      </c>
      <c r="J299" s="6" t="s">
        <v>262</v>
      </c>
      <c r="K299" s="3" t="s">
        <v>568</v>
      </c>
    </row>
    <row r="300" ht="15.75" customHeight="1">
      <c r="A300" s="6" t="s">
        <v>4146</v>
      </c>
      <c r="B300" s="6" t="s">
        <v>2394</v>
      </c>
      <c r="C300" s="3" t="s">
        <v>13</v>
      </c>
      <c r="D300" s="3">
        <v>365254.0</v>
      </c>
      <c r="E300" s="8">
        <v>11.99</v>
      </c>
      <c r="F300" s="3">
        <v>24.0</v>
      </c>
      <c r="G300" s="7">
        <v>43984.0</v>
      </c>
      <c r="H300" s="3" t="s">
        <v>4</v>
      </c>
      <c r="I300" s="8">
        <v>292447.55</v>
      </c>
      <c r="J300" s="6" t="s">
        <v>197</v>
      </c>
      <c r="K300" s="3" t="s">
        <v>568</v>
      </c>
    </row>
    <row r="301" ht="15.75" customHeight="1">
      <c r="A301" s="6" t="s">
        <v>4157</v>
      </c>
      <c r="B301" s="6" t="s">
        <v>1199</v>
      </c>
      <c r="C301" s="3" t="s">
        <v>13</v>
      </c>
      <c r="D301" s="3">
        <v>134801.0</v>
      </c>
      <c r="E301" s="8">
        <v>14.08</v>
      </c>
      <c r="F301" s="3">
        <v>24.0</v>
      </c>
      <c r="G301" s="7">
        <v>45064.0</v>
      </c>
      <c r="H301" s="3" t="s">
        <v>4</v>
      </c>
      <c r="I301" s="8">
        <v>62546.24</v>
      </c>
      <c r="J301" s="6" t="s">
        <v>301</v>
      </c>
      <c r="K301" s="3" t="s">
        <v>568</v>
      </c>
    </row>
    <row r="302" ht="15.75" customHeight="1">
      <c r="A302" s="6" t="s">
        <v>4169</v>
      </c>
      <c r="B302" s="6" t="s">
        <v>2266</v>
      </c>
      <c r="C302" s="3" t="s">
        <v>13</v>
      </c>
      <c r="D302" s="3">
        <v>445981.0</v>
      </c>
      <c r="E302" s="8">
        <v>10.71</v>
      </c>
      <c r="F302" s="3">
        <v>60.0</v>
      </c>
      <c r="G302" s="7">
        <v>44491.0</v>
      </c>
      <c r="H302" s="3" t="s">
        <v>5</v>
      </c>
      <c r="I302" s="8">
        <v>0.0</v>
      </c>
      <c r="J302" s="6" t="s">
        <v>129</v>
      </c>
      <c r="K302" s="3" t="s">
        <v>568</v>
      </c>
    </row>
    <row r="303" ht="15.75" customHeight="1">
      <c r="A303" s="6" t="s">
        <v>4177</v>
      </c>
      <c r="B303" s="6" t="s">
        <v>2014</v>
      </c>
      <c r="C303" s="3" t="s">
        <v>22</v>
      </c>
      <c r="D303" s="3">
        <v>779836.0</v>
      </c>
      <c r="E303" s="8">
        <v>14.41</v>
      </c>
      <c r="F303" s="3">
        <v>240.0</v>
      </c>
      <c r="G303" s="7">
        <v>42714.0</v>
      </c>
      <c r="H303" s="3" t="s">
        <v>5</v>
      </c>
      <c r="I303" s="8">
        <v>0.0</v>
      </c>
      <c r="J303" s="6" t="s">
        <v>385</v>
      </c>
      <c r="K303" s="3" t="s">
        <v>568</v>
      </c>
    </row>
    <row r="304" ht="15.75" customHeight="1">
      <c r="A304" s="6" t="s">
        <v>4184</v>
      </c>
      <c r="B304" s="6" t="s">
        <v>4185</v>
      </c>
      <c r="C304" s="3" t="s">
        <v>15</v>
      </c>
      <c r="D304" s="3">
        <v>8389621.0</v>
      </c>
      <c r="E304" s="8">
        <v>14.97</v>
      </c>
      <c r="F304" s="3">
        <v>120.0</v>
      </c>
      <c r="G304" s="7">
        <v>45280.0</v>
      </c>
      <c r="H304" s="3" t="s">
        <v>4</v>
      </c>
      <c r="I304" s="8">
        <v>2080881.26</v>
      </c>
      <c r="J304" s="6" t="s">
        <v>136</v>
      </c>
      <c r="K304" s="3" t="s">
        <v>568</v>
      </c>
    </row>
    <row r="305" ht="15.75" customHeight="1">
      <c r="A305" s="6" t="s">
        <v>4198</v>
      </c>
      <c r="B305" s="6" t="s">
        <v>132</v>
      </c>
      <c r="C305" s="3" t="s">
        <v>13</v>
      </c>
      <c r="D305" s="3">
        <v>93867.0</v>
      </c>
      <c r="E305" s="8">
        <v>11.9</v>
      </c>
      <c r="F305" s="3">
        <v>60.0</v>
      </c>
      <c r="G305" s="7">
        <v>44704.0</v>
      </c>
      <c r="H305" s="3" t="s">
        <v>5</v>
      </c>
      <c r="I305" s="8">
        <v>0.0</v>
      </c>
      <c r="J305" s="6" t="s">
        <v>129</v>
      </c>
      <c r="K305" s="3" t="s">
        <v>568</v>
      </c>
    </row>
    <row r="306" ht="15.75" customHeight="1">
      <c r="A306" s="6" t="s">
        <v>4207</v>
      </c>
      <c r="B306" s="6" t="s">
        <v>1317</v>
      </c>
      <c r="C306" s="3" t="s">
        <v>22</v>
      </c>
      <c r="D306" s="3">
        <v>889946.0</v>
      </c>
      <c r="E306" s="8">
        <v>16.4</v>
      </c>
      <c r="F306" s="3">
        <v>120.0</v>
      </c>
      <c r="G306" s="7">
        <v>43800.0</v>
      </c>
      <c r="H306" s="3" t="s">
        <v>4</v>
      </c>
      <c r="I306" s="8">
        <v>358338.89</v>
      </c>
      <c r="J306" s="6" t="s">
        <v>208</v>
      </c>
      <c r="K306" s="3" t="s">
        <v>568</v>
      </c>
    </row>
    <row r="307" ht="15.75" customHeight="1">
      <c r="A307" s="6" t="s">
        <v>4216</v>
      </c>
      <c r="B307" s="6" t="s">
        <v>3906</v>
      </c>
      <c r="C307" s="3" t="s">
        <v>15</v>
      </c>
      <c r="D307" s="3">
        <v>3444993.0</v>
      </c>
      <c r="E307" s="8">
        <v>9.44</v>
      </c>
      <c r="F307" s="3">
        <v>120.0</v>
      </c>
      <c r="G307" s="7">
        <v>44098.0</v>
      </c>
      <c r="H307" s="3" t="s">
        <v>7</v>
      </c>
      <c r="I307" s="8">
        <v>449841.29</v>
      </c>
      <c r="J307" s="6" t="s">
        <v>234</v>
      </c>
      <c r="K307" s="3" t="s">
        <v>568</v>
      </c>
    </row>
    <row r="308" ht="15.75" customHeight="1">
      <c r="A308" s="6" t="s">
        <v>4229</v>
      </c>
      <c r="B308" s="6" t="s">
        <v>1708</v>
      </c>
      <c r="C308" s="3" t="s">
        <v>13</v>
      </c>
      <c r="D308" s="3">
        <v>460015.0</v>
      </c>
      <c r="E308" s="8">
        <v>8.46</v>
      </c>
      <c r="F308" s="3">
        <v>240.0</v>
      </c>
      <c r="G308" s="7">
        <v>43811.0</v>
      </c>
      <c r="H308" s="3" t="s">
        <v>4</v>
      </c>
      <c r="I308" s="8">
        <v>359182.71</v>
      </c>
      <c r="J308" s="6" t="s">
        <v>323</v>
      </c>
      <c r="K308" s="3" t="s">
        <v>568</v>
      </c>
    </row>
    <row r="309" ht="15.75" customHeight="1">
      <c r="A309" s="6" t="s">
        <v>4241</v>
      </c>
      <c r="B309" s="6" t="s">
        <v>2983</v>
      </c>
      <c r="C309" s="3" t="s">
        <v>15</v>
      </c>
      <c r="D309" s="3">
        <v>6971266.0</v>
      </c>
      <c r="E309" s="8">
        <v>10.53</v>
      </c>
      <c r="F309" s="3">
        <v>120.0</v>
      </c>
      <c r="G309" s="7">
        <v>42276.0</v>
      </c>
      <c r="H309" s="3" t="s">
        <v>4</v>
      </c>
      <c r="I309" s="8">
        <v>767915.32</v>
      </c>
      <c r="J309" s="6" t="s">
        <v>197</v>
      </c>
      <c r="K309" s="3" t="s">
        <v>568</v>
      </c>
    </row>
    <row r="310" ht="15.75" customHeight="1">
      <c r="A310" s="6" t="s">
        <v>4247</v>
      </c>
      <c r="B310" s="6" t="s">
        <v>361</v>
      </c>
      <c r="C310" s="3" t="s">
        <v>15</v>
      </c>
      <c r="D310" s="3">
        <v>7882495.0</v>
      </c>
      <c r="E310" s="8">
        <v>11.47</v>
      </c>
      <c r="F310" s="3">
        <v>60.0</v>
      </c>
      <c r="G310" s="7">
        <v>41548.0</v>
      </c>
      <c r="H310" s="3" t="s">
        <v>4</v>
      </c>
      <c r="I310" s="8">
        <v>5829932.01</v>
      </c>
      <c r="J310" s="6" t="s">
        <v>333</v>
      </c>
      <c r="K310" s="3" t="s">
        <v>568</v>
      </c>
    </row>
    <row r="311" ht="15.75" customHeight="1">
      <c r="A311" s="6" t="s">
        <v>4256</v>
      </c>
      <c r="B311" s="6" t="s">
        <v>515</v>
      </c>
      <c r="C311" s="3" t="s">
        <v>13</v>
      </c>
      <c r="D311" s="3">
        <v>258596.0</v>
      </c>
      <c r="E311" s="8">
        <v>15.15</v>
      </c>
      <c r="F311" s="3">
        <v>36.0</v>
      </c>
      <c r="G311" s="7">
        <v>45333.0</v>
      </c>
      <c r="H311" s="3" t="s">
        <v>4</v>
      </c>
      <c r="I311" s="8">
        <v>146794.82</v>
      </c>
      <c r="J311" s="6" t="s">
        <v>234</v>
      </c>
      <c r="K311" s="3" t="s">
        <v>568</v>
      </c>
    </row>
    <row r="312" ht="15.75" customHeight="1">
      <c r="A312" s="6" t="s">
        <v>4266</v>
      </c>
      <c r="B312" s="6" t="s">
        <v>702</v>
      </c>
      <c r="C312" s="3" t="s">
        <v>11</v>
      </c>
      <c r="D312" s="3">
        <v>3771521.0</v>
      </c>
      <c r="E312" s="8">
        <v>13.12</v>
      </c>
      <c r="F312" s="3">
        <v>12.0</v>
      </c>
      <c r="G312" s="7">
        <v>44846.0</v>
      </c>
      <c r="H312" s="3" t="s">
        <v>4</v>
      </c>
      <c r="I312" s="8">
        <v>3298181.03</v>
      </c>
      <c r="J312" s="6" t="s">
        <v>288</v>
      </c>
      <c r="K312" s="3" t="s">
        <v>568</v>
      </c>
    </row>
    <row r="313" ht="15.75" customHeight="1">
      <c r="A313" s="6" t="s">
        <v>4280</v>
      </c>
      <c r="B313" s="6" t="s">
        <v>1833</v>
      </c>
      <c r="C313" s="3" t="s">
        <v>12</v>
      </c>
      <c r="D313" s="3">
        <v>1670930.0</v>
      </c>
      <c r="E313" s="8">
        <v>12.69</v>
      </c>
      <c r="F313" s="3">
        <v>24.0</v>
      </c>
      <c r="G313" s="7">
        <v>44425.0</v>
      </c>
      <c r="H313" s="3" t="s">
        <v>4</v>
      </c>
      <c r="I313" s="8">
        <v>939876.95</v>
      </c>
      <c r="J313" s="6" t="s">
        <v>80</v>
      </c>
      <c r="K313" s="3" t="s">
        <v>568</v>
      </c>
    </row>
    <row r="314" ht="15.75" customHeight="1">
      <c r="A314" s="6" t="s">
        <v>4292</v>
      </c>
      <c r="B314" s="6" t="s">
        <v>4294</v>
      </c>
      <c r="C314" s="3" t="s">
        <v>15</v>
      </c>
      <c r="D314" s="3">
        <v>1651027.0</v>
      </c>
      <c r="E314" s="8">
        <v>10.38</v>
      </c>
      <c r="F314" s="3">
        <v>60.0</v>
      </c>
      <c r="G314" s="7">
        <v>45218.0</v>
      </c>
      <c r="H314" s="3" t="s">
        <v>5</v>
      </c>
      <c r="I314" s="8">
        <v>0.0</v>
      </c>
      <c r="J314" s="6" t="s">
        <v>401</v>
      </c>
      <c r="K314" s="3" t="s">
        <v>568</v>
      </c>
    </row>
    <row r="315" ht="15.75" customHeight="1">
      <c r="A315" s="6" t="s">
        <v>4299</v>
      </c>
      <c r="B315" s="6" t="s">
        <v>4302</v>
      </c>
      <c r="C315" s="3" t="s">
        <v>12</v>
      </c>
      <c r="D315" s="3">
        <v>1395393.0</v>
      </c>
      <c r="E315" s="8">
        <v>9.22</v>
      </c>
      <c r="F315" s="3">
        <v>180.0</v>
      </c>
      <c r="G315" s="7">
        <v>45010.0</v>
      </c>
      <c r="H315" s="3" t="s">
        <v>4</v>
      </c>
      <c r="I315" s="8">
        <v>863088.95</v>
      </c>
      <c r="J315" s="6" t="s">
        <v>401</v>
      </c>
      <c r="K315" s="3" t="s">
        <v>568</v>
      </c>
    </row>
    <row r="316" ht="15.75" customHeight="1">
      <c r="A316" s="6" t="s">
        <v>4312</v>
      </c>
      <c r="B316" s="6" t="s">
        <v>1217</v>
      </c>
      <c r="C316" s="3" t="s">
        <v>15</v>
      </c>
      <c r="D316" s="3">
        <v>8578128.0</v>
      </c>
      <c r="E316" s="8">
        <v>9.04</v>
      </c>
      <c r="F316" s="3">
        <v>60.0</v>
      </c>
      <c r="G316" s="7">
        <v>42435.0</v>
      </c>
      <c r="H316" s="3" t="s">
        <v>4</v>
      </c>
      <c r="I316" s="8">
        <v>4636253.65</v>
      </c>
      <c r="J316" s="6" t="s">
        <v>311</v>
      </c>
      <c r="K316" s="3" t="s">
        <v>568</v>
      </c>
    </row>
    <row r="317" ht="15.75" customHeight="1">
      <c r="A317" s="6" t="s">
        <v>4328</v>
      </c>
      <c r="B317" s="6" t="s">
        <v>3270</v>
      </c>
      <c r="C317" s="3" t="s">
        <v>15</v>
      </c>
      <c r="D317" s="3">
        <v>8425378.0</v>
      </c>
      <c r="E317" s="8">
        <v>10.55</v>
      </c>
      <c r="F317" s="3">
        <v>24.0</v>
      </c>
      <c r="G317" s="7">
        <v>41817.0</v>
      </c>
      <c r="H317" s="3" t="s">
        <v>7</v>
      </c>
      <c r="I317" s="8">
        <v>7542283.34</v>
      </c>
      <c r="J317" s="6" t="s">
        <v>97</v>
      </c>
      <c r="K317" s="3" t="s">
        <v>568</v>
      </c>
    </row>
    <row r="318" ht="15.75" customHeight="1">
      <c r="A318" s="6" t="s">
        <v>4338</v>
      </c>
      <c r="B318" s="6" t="s">
        <v>4340</v>
      </c>
      <c r="C318" s="3" t="s">
        <v>13</v>
      </c>
      <c r="D318" s="3">
        <v>337227.0</v>
      </c>
      <c r="E318" s="8">
        <v>14.49</v>
      </c>
      <c r="F318" s="3">
        <v>180.0</v>
      </c>
      <c r="G318" s="7">
        <v>42480.0</v>
      </c>
      <c r="H318" s="3" t="s">
        <v>7</v>
      </c>
      <c r="I318" s="8">
        <v>281383.5</v>
      </c>
      <c r="J318" s="6" t="s">
        <v>109</v>
      </c>
      <c r="K318" s="3" t="s">
        <v>568</v>
      </c>
    </row>
    <row r="319" ht="15.75" customHeight="1">
      <c r="A319" s="6" t="s">
        <v>4351</v>
      </c>
      <c r="B319" s="6" t="s">
        <v>4326</v>
      </c>
      <c r="C319" s="3" t="s">
        <v>12</v>
      </c>
      <c r="D319" s="3">
        <v>1205294.0</v>
      </c>
      <c r="E319" s="8">
        <v>9.19</v>
      </c>
      <c r="F319" s="3">
        <v>60.0</v>
      </c>
      <c r="G319" s="7">
        <v>40934.0</v>
      </c>
      <c r="H319" s="3" t="s">
        <v>4</v>
      </c>
      <c r="I319" s="8">
        <v>451478.67</v>
      </c>
      <c r="J319" s="6" t="s">
        <v>277</v>
      </c>
      <c r="K319" s="3" t="s">
        <v>568</v>
      </c>
    </row>
    <row r="320" ht="15.75" customHeight="1">
      <c r="A320" s="6" t="s">
        <v>4356</v>
      </c>
      <c r="B320" s="6" t="s">
        <v>4278</v>
      </c>
      <c r="C320" s="3" t="s">
        <v>11</v>
      </c>
      <c r="D320" s="3">
        <v>978368.0</v>
      </c>
      <c r="E320" s="8">
        <v>9.71</v>
      </c>
      <c r="F320" s="3">
        <v>240.0</v>
      </c>
      <c r="G320" s="7">
        <v>43099.0</v>
      </c>
      <c r="H320" s="3" t="s">
        <v>5</v>
      </c>
      <c r="I320" s="8">
        <v>0.0</v>
      </c>
      <c r="J320" s="6" t="s">
        <v>146</v>
      </c>
      <c r="K320" s="3" t="s">
        <v>568</v>
      </c>
    </row>
    <row r="321" ht="15.75" customHeight="1">
      <c r="A321" s="6" t="s">
        <v>4369</v>
      </c>
      <c r="B321" s="6" t="s">
        <v>4371</v>
      </c>
      <c r="C321" s="3" t="s">
        <v>11</v>
      </c>
      <c r="D321" s="3">
        <v>1145926.0</v>
      </c>
      <c r="E321" s="8">
        <v>15.36</v>
      </c>
      <c r="F321" s="3">
        <v>84.0</v>
      </c>
      <c r="G321" s="7">
        <v>40975.0</v>
      </c>
      <c r="H321" s="3" t="s">
        <v>4</v>
      </c>
      <c r="I321" s="8">
        <v>758970.27</v>
      </c>
      <c r="J321" s="6" t="s">
        <v>385</v>
      </c>
      <c r="K321" s="3" t="s">
        <v>568</v>
      </c>
    </row>
    <row r="322" ht="15.75" customHeight="1">
      <c r="A322" s="6" t="s">
        <v>4378</v>
      </c>
      <c r="B322" s="6" t="s">
        <v>3821</v>
      </c>
      <c r="C322" s="3" t="s">
        <v>22</v>
      </c>
      <c r="D322" s="3">
        <v>823466.0</v>
      </c>
      <c r="E322" s="8">
        <v>8.83</v>
      </c>
      <c r="F322" s="3">
        <v>240.0</v>
      </c>
      <c r="G322" s="7">
        <v>41079.0</v>
      </c>
      <c r="H322" s="3" t="s">
        <v>5</v>
      </c>
      <c r="I322" s="8">
        <v>0.0</v>
      </c>
      <c r="J322" s="6" t="s">
        <v>146</v>
      </c>
      <c r="K322" s="3" t="s">
        <v>568</v>
      </c>
    </row>
    <row r="323" ht="15.75" customHeight="1">
      <c r="A323" s="6" t="s">
        <v>4392</v>
      </c>
      <c r="B323" s="6" t="s">
        <v>3944</v>
      </c>
      <c r="C323" s="3" t="s">
        <v>13</v>
      </c>
      <c r="D323" s="3">
        <v>40560.0</v>
      </c>
      <c r="E323" s="8">
        <v>7.55</v>
      </c>
      <c r="F323" s="3">
        <v>24.0</v>
      </c>
      <c r="G323" s="7">
        <v>43873.0</v>
      </c>
      <c r="H323" s="3" t="s">
        <v>4</v>
      </c>
      <c r="I323" s="8">
        <v>15148.31</v>
      </c>
      <c r="J323" s="6" t="s">
        <v>311</v>
      </c>
      <c r="K323" s="3" t="s">
        <v>568</v>
      </c>
    </row>
    <row r="324" ht="15.75" customHeight="1">
      <c r="A324" s="6" t="s">
        <v>4405</v>
      </c>
      <c r="B324" s="6" t="s">
        <v>772</v>
      </c>
      <c r="C324" s="3" t="s">
        <v>12</v>
      </c>
      <c r="D324" s="3">
        <v>1281473.0</v>
      </c>
      <c r="E324" s="8">
        <v>12.73</v>
      </c>
      <c r="F324" s="3">
        <v>12.0</v>
      </c>
      <c r="G324" s="7">
        <v>42174.0</v>
      </c>
      <c r="H324" s="3" t="s">
        <v>4</v>
      </c>
      <c r="I324" s="8">
        <v>776422.34</v>
      </c>
      <c r="J324" s="6" t="s">
        <v>234</v>
      </c>
      <c r="K324" s="3" t="s">
        <v>568</v>
      </c>
    </row>
    <row r="325" ht="15.75" customHeight="1">
      <c r="A325" s="6" t="s">
        <v>4417</v>
      </c>
      <c r="B325" s="6" t="s">
        <v>1069</v>
      </c>
      <c r="C325" s="3" t="s">
        <v>12</v>
      </c>
      <c r="D325" s="3">
        <v>315079.0</v>
      </c>
      <c r="E325" s="8">
        <v>9.31</v>
      </c>
      <c r="F325" s="3">
        <v>120.0</v>
      </c>
      <c r="G325" s="7">
        <v>43448.0</v>
      </c>
      <c r="H325" s="3" t="s">
        <v>5</v>
      </c>
      <c r="I325" s="8">
        <v>0.0</v>
      </c>
      <c r="J325" s="6" t="s">
        <v>352</v>
      </c>
      <c r="K325" s="3" t="s">
        <v>568</v>
      </c>
    </row>
    <row r="326" ht="15.75" customHeight="1">
      <c r="A326" s="6" t="s">
        <v>4427</v>
      </c>
      <c r="B326" s="6" t="s">
        <v>2307</v>
      </c>
      <c r="C326" s="3" t="s">
        <v>13</v>
      </c>
      <c r="D326" s="3">
        <v>221146.0</v>
      </c>
      <c r="E326" s="8">
        <v>11.76</v>
      </c>
      <c r="F326" s="3">
        <v>36.0</v>
      </c>
      <c r="G326" s="7">
        <v>42891.0</v>
      </c>
      <c r="H326" s="3" t="s">
        <v>4</v>
      </c>
      <c r="I326" s="8">
        <v>51458.17</v>
      </c>
      <c r="J326" s="6" t="s">
        <v>129</v>
      </c>
      <c r="K326" s="3" t="s">
        <v>568</v>
      </c>
    </row>
    <row r="327" ht="15.75" customHeight="1">
      <c r="A327" s="6" t="s">
        <v>4438</v>
      </c>
      <c r="B327" s="6" t="s">
        <v>721</v>
      </c>
      <c r="C327" s="3" t="s">
        <v>13</v>
      </c>
      <c r="D327" s="3">
        <v>445297.0</v>
      </c>
      <c r="E327" s="8">
        <v>16.28</v>
      </c>
      <c r="F327" s="3">
        <v>36.0</v>
      </c>
      <c r="G327" s="7">
        <v>42778.0</v>
      </c>
      <c r="H327" s="3" t="s">
        <v>4</v>
      </c>
      <c r="I327" s="8">
        <v>183688.29</v>
      </c>
      <c r="J327" s="6" t="s">
        <v>333</v>
      </c>
      <c r="K327" s="3" t="s">
        <v>568</v>
      </c>
    </row>
    <row r="328" ht="15.75" customHeight="1">
      <c r="A328" s="6" t="s">
        <v>4452</v>
      </c>
      <c r="B328" s="6" t="s">
        <v>2197</v>
      </c>
      <c r="C328" s="3" t="s">
        <v>10</v>
      </c>
      <c r="D328" s="3">
        <v>744178.0</v>
      </c>
      <c r="E328" s="8">
        <v>16.43</v>
      </c>
      <c r="F328" s="3">
        <v>60.0</v>
      </c>
      <c r="G328" s="7">
        <v>43255.0</v>
      </c>
      <c r="H328" s="3" t="s">
        <v>4</v>
      </c>
      <c r="I328" s="8">
        <v>6083.92</v>
      </c>
      <c r="J328" s="6" t="s">
        <v>245</v>
      </c>
      <c r="K328" s="3" t="s">
        <v>568</v>
      </c>
    </row>
    <row r="329" ht="15.75" customHeight="1">
      <c r="A329" s="6" t="s">
        <v>4461</v>
      </c>
      <c r="B329" s="6" t="s">
        <v>1058</v>
      </c>
      <c r="C329" s="3" t="s">
        <v>13</v>
      </c>
      <c r="D329" s="3">
        <v>274229.0</v>
      </c>
      <c r="E329" s="8">
        <v>15.07</v>
      </c>
      <c r="F329" s="3">
        <v>36.0</v>
      </c>
      <c r="G329" s="7">
        <v>42241.0</v>
      </c>
      <c r="H329" s="3" t="s">
        <v>4</v>
      </c>
      <c r="I329" s="8">
        <v>162297.47</v>
      </c>
      <c r="J329" s="6" t="s">
        <v>179</v>
      </c>
      <c r="K329" s="3" t="s">
        <v>568</v>
      </c>
    </row>
    <row r="330" ht="15.75" customHeight="1">
      <c r="A330" s="6" t="s">
        <v>4470</v>
      </c>
      <c r="B330" s="6" t="s">
        <v>3322</v>
      </c>
      <c r="C330" s="3" t="s">
        <v>11</v>
      </c>
      <c r="D330" s="3">
        <v>1297786.0</v>
      </c>
      <c r="E330" s="8">
        <v>14.59</v>
      </c>
      <c r="F330" s="3">
        <v>60.0</v>
      </c>
      <c r="G330" s="7">
        <v>41746.0</v>
      </c>
      <c r="H330" s="3" t="s">
        <v>5</v>
      </c>
      <c r="I330" s="8">
        <v>0.0</v>
      </c>
      <c r="J330" s="6" t="s">
        <v>92</v>
      </c>
      <c r="K330" s="3" t="s">
        <v>568</v>
      </c>
    </row>
    <row r="331" ht="15.75" customHeight="1">
      <c r="A331" s="6" t="s">
        <v>4478</v>
      </c>
      <c r="B331" s="6" t="s">
        <v>1657</v>
      </c>
      <c r="C331" s="3" t="s">
        <v>15</v>
      </c>
      <c r="D331" s="3">
        <v>2704572.0</v>
      </c>
      <c r="E331" s="8">
        <v>15.89</v>
      </c>
      <c r="F331" s="3">
        <v>60.0</v>
      </c>
      <c r="G331" s="7">
        <v>42328.0</v>
      </c>
      <c r="H331" s="3" t="s">
        <v>4</v>
      </c>
      <c r="I331" s="8">
        <v>564890.07</v>
      </c>
      <c r="J331" s="6" t="s">
        <v>109</v>
      </c>
      <c r="K331" s="3" t="s">
        <v>568</v>
      </c>
    </row>
    <row r="332" ht="15.75" customHeight="1">
      <c r="A332" s="6" t="s">
        <v>4487</v>
      </c>
      <c r="B332" s="6" t="s">
        <v>4490</v>
      </c>
      <c r="C332" s="3" t="s">
        <v>22</v>
      </c>
      <c r="D332" s="3">
        <v>955483.0</v>
      </c>
      <c r="E332" s="8">
        <v>11.26</v>
      </c>
      <c r="F332" s="3">
        <v>36.0</v>
      </c>
      <c r="G332" s="7">
        <v>41983.0</v>
      </c>
      <c r="H332" s="3" t="s">
        <v>5</v>
      </c>
      <c r="I332" s="8">
        <v>0.0</v>
      </c>
      <c r="J332" s="6" t="s">
        <v>179</v>
      </c>
      <c r="K332" s="3" t="s">
        <v>568</v>
      </c>
    </row>
    <row r="333" ht="15.75" customHeight="1">
      <c r="A333" s="6" t="s">
        <v>4498</v>
      </c>
      <c r="B333" s="6" t="s">
        <v>4500</v>
      </c>
      <c r="C333" s="3" t="s">
        <v>13</v>
      </c>
      <c r="D333" s="3">
        <v>210462.0</v>
      </c>
      <c r="E333" s="8">
        <v>14.29</v>
      </c>
      <c r="F333" s="3">
        <v>120.0</v>
      </c>
      <c r="G333" s="7">
        <v>44107.0</v>
      </c>
      <c r="H333" s="3" t="s">
        <v>4</v>
      </c>
      <c r="I333" s="8">
        <v>85614.86</v>
      </c>
      <c r="J333" s="6" t="s">
        <v>234</v>
      </c>
      <c r="K333" s="3" t="s">
        <v>568</v>
      </c>
    </row>
    <row r="334" ht="15.75" customHeight="1">
      <c r="A334" s="6" t="s">
        <v>4504</v>
      </c>
      <c r="B334" s="6" t="s">
        <v>4505</v>
      </c>
      <c r="C334" s="3" t="s">
        <v>15</v>
      </c>
      <c r="D334" s="3">
        <v>6804004.0</v>
      </c>
      <c r="E334" s="8">
        <v>8.62</v>
      </c>
      <c r="F334" s="3">
        <v>36.0</v>
      </c>
      <c r="G334" s="7">
        <v>43381.0</v>
      </c>
      <c r="H334" s="3" t="s">
        <v>4</v>
      </c>
      <c r="I334" s="8">
        <v>3315609.54</v>
      </c>
      <c r="J334" s="6" t="s">
        <v>288</v>
      </c>
      <c r="K334" s="3" t="s">
        <v>568</v>
      </c>
    </row>
    <row r="335" ht="15.75" customHeight="1">
      <c r="A335" s="6" t="s">
        <v>4519</v>
      </c>
      <c r="B335" s="6" t="s">
        <v>4437</v>
      </c>
      <c r="C335" s="3" t="s">
        <v>11</v>
      </c>
      <c r="D335" s="3">
        <v>523847.0</v>
      </c>
      <c r="E335" s="8">
        <v>9.85</v>
      </c>
      <c r="F335" s="3">
        <v>180.0</v>
      </c>
      <c r="G335" s="7">
        <v>44326.0</v>
      </c>
      <c r="H335" s="3" t="s">
        <v>5</v>
      </c>
      <c r="I335" s="8">
        <v>0.0</v>
      </c>
      <c r="J335" s="6" t="s">
        <v>36</v>
      </c>
      <c r="K335" s="3" t="s">
        <v>568</v>
      </c>
    </row>
    <row r="336" ht="15.75" customHeight="1">
      <c r="A336" s="6" t="s">
        <v>4533</v>
      </c>
      <c r="B336" s="6" t="s">
        <v>2189</v>
      </c>
      <c r="C336" s="3" t="s">
        <v>22</v>
      </c>
      <c r="D336" s="3">
        <v>920853.0</v>
      </c>
      <c r="E336" s="8">
        <v>8.5</v>
      </c>
      <c r="F336" s="3">
        <v>120.0</v>
      </c>
      <c r="G336" s="7">
        <v>45491.0</v>
      </c>
      <c r="H336" s="3" t="s">
        <v>4</v>
      </c>
      <c r="I336" s="8">
        <v>519289.06</v>
      </c>
      <c r="J336" s="6" t="s">
        <v>245</v>
      </c>
      <c r="K336" s="3" t="s">
        <v>568</v>
      </c>
    </row>
    <row r="337" ht="15.75" customHeight="1">
      <c r="A337" s="6" t="s">
        <v>4546</v>
      </c>
      <c r="B337" s="6" t="s">
        <v>1064</v>
      </c>
      <c r="C337" s="3" t="s">
        <v>13</v>
      </c>
      <c r="D337" s="3">
        <v>166973.0</v>
      </c>
      <c r="E337" s="8">
        <v>14.57</v>
      </c>
      <c r="F337" s="3">
        <v>120.0</v>
      </c>
      <c r="G337" s="7">
        <v>43927.0</v>
      </c>
      <c r="H337" s="3" t="s">
        <v>4</v>
      </c>
      <c r="I337" s="8">
        <v>88020.42</v>
      </c>
      <c r="J337" s="6" t="s">
        <v>352</v>
      </c>
      <c r="K337" s="3" t="s">
        <v>568</v>
      </c>
    </row>
    <row r="338" ht="15.75" customHeight="1">
      <c r="A338" s="6" t="s">
        <v>4554</v>
      </c>
      <c r="B338" s="6" t="s">
        <v>2772</v>
      </c>
      <c r="C338" s="3" t="s">
        <v>12</v>
      </c>
      <c r="D338" s="3">
        <v>870920.0</v>
      </c>
      <c r="E338" s="8">
        <v>15.08</v>
      </c>
      <c r="F338" s="3">
        <v>240.0</v>
      </c>
      <c r="G338" s="7">
        <v>42102.0</v>
      </c>
      <c r="H338" s="3" t="s">
        <v>5</v>
      </c>
      <c r="I338" s="8">
        <v>0.0</v>
      </c>
      <c r="J338" s="6" t="s">
        <v>245</v>
      </c>
      <c r="K338" s="3" t="s">
        <v>568</v>
      </c>
    </row>
    <row r="339" ht="15.75" customHeight="1">
      <c r="A339" s="6" t="s">
        <v>4562</v>
      </c>
      <c r="B339" s="6" t="s">
        <v>885</v>
      </c>
      <c r="C339" s="3" t="s">
        <v>11</v>
      </c>
      <c r="D339" s="3">
        <v>3085447.0</v>
      </c>
      <c r="E339" s="8">
        <v>10.91</v>
      </c>
      <c r="F339" s="3">
        <v>240.0</v>
      </c>
      <c r="G339" s="7">
        <v>43770.0</v>
      </c>
      <c r="H339" s="3" t="s">
        <v>4</v>
      </c>
      <c r="I339" s="8">
        <v>817632.1</v>
      </c>
      <c r="J339" s="6" t="s">
        <v>129</v>
      </c>
      <c r="K339" s="3" t="s">
        <v>568</v>
      </c>
    </row>
    <row r="340" ht="15.75" customHeight="1">
      <c r="A340" s="6" t="s">
        <v>4571</v>
      </c>
      <c r="B340" s="6" t="s">
        <v>4573</v>
      </c>
      <c r="C340" s="3" t="s">
        <v>15</v>
      </c>
      <c r="D340" s="3">
        <v>1901124.0</v>
      </c>
      <c r="E340" s="8">
        <v>9.61</v>
      </c>
      <c r="F340" s="3">
        <v>24.0</v>
      </c>
      <c r="G340" s="7">
        <v>42213.0</v>
      </c>
      <c r="H340" s="3" t="s">
        <v>4</v>
      </c>
      <c r="I340" s="8">
        <v>220850.23</v>
      </c>
      <c r="J340" s="6" t="s">
        <v>136</v>
      </c>
      <c r="K340" s="3" t="s">
        <v>568</v>
      </c>
    </row>
    <row r="341" ht="15.75" customHeight="1">
      <c r="A341" s="6" t="s">
        <v>4578</v>
      </c>
      <c r="B341" s="6" t="s">
        <v>4419</v>
      </c>
      <c r="C341" s="3" t="s">
        <v>15</v>
      </c>
      <c r="D341" s="3">
        <v>3913705.0</v>
      </c>
      <c r="E341" s="8">
        <v>16.32</v>
      </c>
      <c r="F341" s="3">
        <v>12.0</v>
      </c>
      <c r="G341" s="7">
        <v>44943.0</v>
      </c>
      <c r="H341" s="3" t="s">
        <v>4</v>
      </c>
      <c r="I341" s="8">
        <v>2852437.36</v>
      </c>
      <c r="J341" s="6" t="s">
        <v>352</v>
      </c>
      <c r="K341" s="3" t="s">
        <v>568</v>
      </c>
    </row>
    <row r="342" ht="15.75" customHeight="1">
      <c r="A342" s="6" t="s">
        <v>4589</v>
      </c>
      <c r="B342" s="6" t="s">
        <v>2134</v>
      </c>
      <c r="C342" s="3" t="s">
        <v>12</v>
      </c>
      <c r="D342" s="3">
        <v>504540.0</v>
      </c>
      <c r="E342" s="8">
        <v>9.23</v>
      </c>
      <c r="F342" s="3">
        <v>12.0</v>
      </c>
      <c r="G342" s="7">
        <v>42097.0</v>
      </c>
      <c r="H342" s="3" t="s">
        <v>7</v>
      </c>
      <c r="I342" s="8">
        <v>121907.52</v>
      </c>
      <c r="J342" s="6" t="s">
        <v>352</v>
      </c>
      <c r="K342" s="3" t="s">
        <v>568</v>
      </c>
    </row>
    <row r="343" ht="15.75" customHeight="1">
      <c r="A343" s="6" t="s">
        <v>4604</v>
      </c>
      <c r="B343" s="6" t="s">
        <v>2293</v>
      </c>
      <c r="C343" s="3" t="s">
        <v>12</v>
      </c>
      <c r="D343" s="3">
        <v>1614735.0</v>
      </c>
      <c r="E343" s="8">
        <v>15.43</v>
      </c>
      <c r="F343" s="3">
        <v>120.0</v>
      </c>
      <c r="G343" s="7">
        <v>41637.0</v>
      </c>
      <c r="H343" s="3" t="s">
        <v>4</v>
      </c>
      <c r="I343" s="8">
        <v>262299.67</v>
      </c>
      <c r="J343" s="6" t="s">
        <v>60</v>
      </c>
      <c r="K343" s="3" t="s">
        <v>568</v>
      </c>
    </row>
    <row r="344" ht="15.75" customHeight="1">
      <c r="A344" s="6" t="s">
        <v>4615</v>
      </c>
      <c r="B344" s="6" t="s">
        <v>879</v>
      </c>
      <c r="C344" s="3" t="s">
        <v>11</v>
      </c>
      <c r="D344" s="3">
        <v>382236.0</v>
      </c>
      <c r="E344" s="8">
        <v>8.6</v>
      </c>
      <c r="F344" s="3">
        <v>240.0</v>
      </c>
      <c r="G344" s="7">
        <v>42230.0</v>
      </c>
      <c r="H344" s="3" t="s">
        <v>4</v>
      </c>
      <c r="I344" s="8">
        <v>42462.49</v>
      </c>
      <c r="J344" s="6" t="s">
        <v>311</v>
      </c>
      <c r="K344" s="3" t="s">
        <v>568</v>
      </c>
    </row>
    <row r="345" ht="15.75" customHeight="1">
      <c r="A345" s="6" t="s">
        <v>4631</v>
      </c>
      <c r="B345" s="6" t="s">
        <v>4594</v>
      </c>
      <c r="C345" s="3" t="s">
        <v>11</v>
      </c>
      <c r="D345" s="3">
        <v>4857227.0</v>
      </c>
      <c r="E345" s="8">
        <v>9.94</v>
      </c>
      <c r="F345" s="3">
        <v>180.0</v>
      </c>
      <c r="G345" s="7">
        <v>44595.0</v>
      </c>
      <c r="H345" s="3" t="s">
        <v>4</v>
      </c>
      <c r="I345" s="8">
        <v>4229658.49</v>
      </c>
      <c r="J345" s="6" t="s">
        <v>352</v>
      </c>
      <c r="K345" s="3" t="s">
        <v>568</v>
      </c>
    </row>
    <row r="346" ht="15.75" customHeight="1">
      <c r="A346" s="6" t="s">
        <v>4650</v>
      </c>
      <c r="B346" s="6" t="s">
        <v>1911</v>
      </c>
      <c r="C346" s="3" t="s">
        <v>13</v>
      </c>
      <c r="D346" s="3">
        <v>229204.0</v>
      </c>
      <c r="E346" s="8">
        <v>10.37</v>
      </c>
      <c r="F346" s="3">
        <v>180.0</v>
      </c>
      <c r="G346" s="7">
        <v>41993.0</v>
      </c>
      <c r="H346" s="3" t="s">
        <v>4</v>
      </c>
      <c r="I346" s="8">
        <v>179118.34</v>
      </c>
      <c r="J346" s="6" t="s">
        <v>266</v>
      </c>
      <c r="K346" s="3" t="s">
        <v>568</v>
      </c>
    </row>
    <row r="347" ht="15.75" customHeight="1">
      <c r="A347" s="6" t="s">
        <v>4667</v>
      </c>
      <c r="B347" s="6" t="s">
        <v>4671</v>
      </c>
      <c r="C347" s="3" t="s">
        <v>15</v>
      </c>
      <c r="D347" s="3">
        <v>3786504.0</v>
      </c>
      <c r="E347" s="8">
        <v>11.45</v>
      </c>
      <c r="F347" s="3">
        <v>240.0</v>
      </c>
      <c r="G347" s="7">
        <v>42838.0</v>
      </c>
      <c r="H347" s="3" t="s">
        <v>4</v>
      </c>
      <c r="I347" s="8">
        <v>2731264.5</v>
      </c>
      <c r="J347" s="6" t="s">
        <v>60</v>
      </c>
      <c r="K347" s="3" t="s">
        <v>568</v>
      </c>
    </row>
    <row r="348" ht="15.75" customHeight="1">
      <c r="A348" s="6" t="s">
        <v>4680</v>
      </c>
      <c r="B348" s="6" t="s">
        <v>2084</v>
      </c>
      <c r="C348" s="3" t="s">
        <v>15</v>
      </c>
      <c r="D348" s="3">
        <v>1552319.0</v>
      </c>
      <c r="E348" s="8">
        <v>14.75</v>
      </c>
      <c r="F348" s="3">
        <v>60.0</v>
      </c>
      <c r="G348" s="7">
        <v>44241.0</v>
      </c>
      <c r="H348" s="3" t="s">
        <v>4</v>
      </c>
      <c r="I348" s="8">
        <v>873871.18</v>
      </c>
      <c r="J348" s="6" t="s">
        <v>146</v>
      </c>
      <c r="K348" s="3" t="s">
        <v>568</v>
      </c>
    </row>
    <row r="349" ht="15.75" customHeight="1">
      <c r="A349" s="6" t="s">
        <v>4689</v>
      </c>
      <c r="B349" s="6" t="s">
        <v>1094</v>
      </c>
      <c r="C349" s="3" t="s">
        <v>11</v>
      </c>
      <c r="D349" s="3">
        <v>1928684.0</v>
      </c>
      <c r="E349" s="8">
        <v>16.23</v>
      </c>
      <c r="F349" s="3">
        <v>60.0</v>
      </c>
      <c r="G349" s="7">
        <v>43342.0</v>
      </c>
      <c r="H349" s="3" t="s">
        <v>4</v>
      </c>
      <c r="I349" s="8">
        <v>1132995.5</v>
      </c>
      <c r="J349" s="6" t="s">
        <v>234</v>
      </c>
      <c r="K349" s="3" t="s">
        <v>568</v>
      </c>
    </row>
    <row r="350" ht="15.75" customHeight="1">
      <c r="A350" s="6" t="s">
        <v>4695</v>
      </c>
      <c r="B350" s="6" t="s">
        <v>1894</v>
      </c>
      <c r="C350" s="3" t="s">
        <v>22</v>
      </c>
      <c r="D350" s="3">
        <v>266578.0</v>
      </c>
      <c r="E350" s="8">
        <v>7.79</v>
      </c>
      <c r="F350" s="3">
        <v>240.0</v>
      </c>
      <c r="G350" s="7">
        <v>41228.0</v>
      </c>
      <c r="H350" s="3" t="s">
        <v>5</v>
      </c>
      <c r="I350" s="8">
        <v>0.0</v>
      </c>
      <c r="J350" s="6" t="s">
        <v>262</v>
      </c>
      <c r="K350" s="3" t="s">
        <v>568</v>
      </c>
    </row>
    <row r="351" ht="15.75" customHeight="1">
      <c r="A351" s="6" t="s">
        <v>4705</v>
      </c>
      <c r="B351" s="6" t="s">
        <v>1515</v>
      </c>
      <c r="C351" s="3" t="s">
        <v>12</v>
      </c>
      <c r="D351" s="3">
        <v>190914.0</v>
      </c>
      <c r="E351" s="8">
        <v>7.65</v>
      </c>
      <c r="F351" s="3">
        <v>180.0</v>
      </c>
      <c r="G351" s="7">
        <v>44531.0</v>
      </c>
      <c r="H351" s="3" t="s">
        <v>4</v>
      </c>
      <c r="I351" s="8">
        <v>122791.66</v>
      </c>
      <c r="J351" s="6" t="s">
        <v>234</v>
      </c>
      <c r="K351" s="3" t="s">
        <v>568</v>
      </c>
    </row>
    <row r="352" ht="15.75" customHeight="1">
      <c r="A352" s="6" t="s">
        <v>4711</v>
      </c>
      <c r="B352" s="6" t="s">
        <v>3057</v>
      </c>
      <c r="C352" s="3" t="s">
        <v>13</v>
      </c>
      <c r="D352" s="3">
        <v>330236.0</v>
      </c>
      <c r="E352" s="8">
        <v>12.66</v>
      </c>
      <c r="F352" s="3">
        <v>84.0</v>
      </c>
      <c r="G352" s="7">
        <v>41439.0</v>
      </c>
      <c r="H352" s="3" t="s">
        <v>5</v>
      </c>
      <c r="I352" s="8">
        <v>0.0</v>
      </c>
      <c r="J352" s="6" t="s">
        <v>179</v>
      </c>
      <c r="K352" s="3" t="s">
        <v>568</v>
      </c>
    </row>
    <row r="353" ht="15.75" customHeight="1">
      <c r="A353" s="6" t="s">
        <v>4717</v>
      </c>
      <c r="B353" s="6" t="s">
        <v>1705</v>
      </c>
      <c r="C353" s="3" t="s">
        <v>11</v>
      </c>
      <c r="D353" s="3">
        <v>3561170.0</v>
      </c>
      <c r="E353" s="8">
        <v>14.61</v>
      </c>
      <c r="F353" s="3">
        <v>36.0</v>
      </c>
      <c r="G353" s="7">
        <v>41266.0</v>
      </c>
      <c r="H353" s="3" t="s">
        <v>4</v>
      </c>
      <c r="I353" s="8">
        <v>1406013.56</v>
      </c>
      <c r="J353" s="6" t="s">
        <v>245</v>
      </c>
      <c r="K353" s="3" t="s">
        <v>568</v>
      </c>
    </row>
    <row r="354" ht="15.75" customHeight="1">
      <c r="A354" s="6" t="s">
        <v>4724</v>
      </c>
      <c r="B354" s="6" t="s">
        <v>1224</v>
      </c>
      <c r="C354" s="3" t="s">
        <v>13</v>
      </c>
      <c r="D354" s="3">
        <v>253549.0</v>
      </c>
      <c r="E354" s="8">
        <v>13.97</v>
      </c>
      <c r="F354" s="3">
        <v>84.0</v>
      </c>
      <c r="G354" s="7">
        <v>41788.0</v>
      </c>
      <c r="H354" s="3" t="s">
        <v>7</v>
      </c>
      <c r="I354" s="8">
        <v>227559.99</v>
      </c>
      <c r="J354" s="6" t="s">
        <v>311</v>
      </c>
      <c r="K354" s="3" t="s">
        <v>568</v>
      </c>
    </row>
    <row r="355" ht="15.75" customHeight="1">
      <c r="A355" s="6" t="s">
        <v>4732</v>
      </c>
      <c r="B355" s="6" t="s">
        <v>4733</v>
      </c>
      <c r="C355" s="3" t="s">
        <v>15</v>
      </c>
      <c r="D355" s="3">
        <v>5139514.0</v>
      </c>
      <c r="E355" s="8">
        <v>15.39</v>
      </c>
      <c r="F355" s="3">
        <v>180.0</v>
      </c>
      <c r="G355" s="7">
        <v>41630.0</v>
      </c>
      <c r="H355" s="3" t="s">
        <v>4</v>
      </c>
      <c r="I355" s="8">
        <v>361527.78</v>
      </c>
      <c r="J355" s="6" t="s">
        <v>92</v>
      </c>
      <c r="K355" s="3" t="s">
        <v>568</v>
      </c>
    </row>
    <row r="356" ht="15.75" customHeight="1">
      <c r="A356" s="6" t="s">
        <v>4744</v>
      </c>
      <c r="B356" s="6" t="s">
        <v>4093</v>
      </c>
      <c r="C356" s="3" t="s">
        <v>22</v>
      </c>
      <c r="D356" s="3">
        <v>257265.0</v>
      </c>
      <c r="E356" s="8">
        <v>9.92</v>
      </c>
      <c r="F356" s="3">
        <v>12.0</v>
      </c>
      <c r="G356" s="7">
        <v>42322.0</v>
      </c>
      <c r="H356" s="3" t="s">
        <v>4</v>
      </c>
      <c r="I356" s="8">
        <v>50838.79</v>
      </c>
      <c r="J356" s="6" t="s">
        <v>234</v>
      </c>
      <c r="K356" s="3" t="s">
        <v>568</v>
      </c>
    </row>
    <row r="357" ht="15.75" customHeight="1">
      <c r="A357" s="6" t="s">
        <v>4751</v>
      </c>
      <c r="B357" s="6" t="s">
        <v>2772</v>
      </c>
      <c r="C357" s="3" t="s">
        <v>10</v>
      </c>
      <c r="D357" s="3">
        <v>985360.0</v>
      </c>
      <c r="E357" s="8">
        <v>15.69</v>
      </c>
      <c r="F357" s="3">
        <v>180.0</v>
      </c>
      <c r="G357" s="7">
        <v>43148.0</v>
      </c>
      <c r="H357" s="3" t="s">
        <v>4</v>
      </c>
      <c r="I357" s="8">
        <v>701178.98</v>
      </c>
      <c r="J357" s="6" t="s">
        <v>245</v>
      </c>
      <c r="K357" s="3" t="s">
        <v>568</v>
      </c>
    </row>
    <row r="358" ht="15.75" customHeight="1">
      <c r="A358" s="6" t="s">
        <v>4756</v>
      </c>
      <c r="B358" s="6" t="s">
        <v>3465</v>
      </c>
      <c r="C358" s="3" t="s">
        <v>11</v>
      </c>
      <c r="D358" s="3">
        <v>3333682.0</v>
      </c>
      <c r="E358" s="8">
        <v>13.72</v>
      </c>
      <c r="F358" s="3">
        <v>240.0</v>
      </c>
      <c r="G358" s="7">
        <v>41058.0</v>
      </c>
      <c r="H358" s="3" t="s">
        <v>4</v>
      </c>
      <c r="I358" s="8">
        <v>1763038.0</v>
      </c>
      <c r="J358" s="6" t="s">
        <v>323</v>
      </c>
      <c r="K358" s="3" t="s">
        <v>568</v>
      </c>
    </row>
    <row r="359" ht="15.75" customHeight="1">
      <c r="A359" s="6" t="s">
        <v>4762</v>
      </c>
      <c r="B359" s="6" t="s">
        <v>1658</v>
      </c>
      <c r="C359" s="3" t="s">
        <v>13</v>
      </c>
      <c r="D359" s="3">
        <v>370859.0</v>
      </c>
      <c r="E359" s="8">
        <v>8.75</v>
      </c>
      <c r="F359" s="3">
        <v>24.0</v>
      </c>
      <c r="G359" s="7">
        <v>45354.0</v>
      </c>
      <c r="H359" s="3" t="s">
        <v>5</v>
      </c>
      <c r="I359" s="8">
        <v>0.0</v>
      </c>
      <c r="J359" s="6" t="s">
        <v>234</v>
      </c>
      <c r="K359" s="3" t="s">
        <v>568</v>
      </c>
    </row>
    <row r="360" ht="15.75" customHeight="1">
      <c r="A360" s="6" t="s">
        <v>4769</v>
      </c>
      <c r="B360" s="6" t="s">
        <v>655</v>
      </c>
      <c r="C360" s="3" t="s">
        <v>15</v>
      </c>
      <c r="D360" s="3">
        <v>2802841.0</v>
      </c>
      <c r="E360" s="8">
        <v>8.1</v>
      </c>
      <c r="F360" s="3">
        <v>240.0</v>
      </c>
      <c r="G360" s="7">
        <v>45327.0</v>
      </c>
      <c r="H360" s="3" t="s">
        <v>4</v>
      </c>
      <c r="I360" s="8">
        <v>1200632.78</v>
      </c>
      <c r="J360" s="6" t="s">
        <v>311</v>
      </c>
      <c r="K360" s="3" t="s">
        <v>568</v>
      </c>
    </row>
    <row r="361" ht="15.75" customHeight="1">
      <c r="A361" s="6" t="s">
        <v>4777</v>
      </c>
      <c r="B361" s="6" t="s">
        <v>3732</v>
      </c>
      <c r="C361" s="3" t="s">
        <v>12</v>
      </c>
      <c r="D361" s="3">
        <v>1740828.0</v>
      </c>
      <c r="E361" s="8">
        <v>15.08</v>
      </c>
      <c r="F361" s="3">
        <v>36.0</v>
      </c>
      <c r="G361" s="7">
        <v>41063.0</v>
      </c>
      <c r="H361" s="3" t="s">
        <v>5</v>
      </c>
      <c r="I361" s="8">
        <v>0.0</v>
      </c>
      <c r="J361" s="6" t="s">
        <v>311</v>
      </c>
      <c r="K361" s="3" t="s">
        <v>568</v>
      </c>
    </row>
    <row r="362" ht="15.75" customHeight="1">
      <c r="A362" s="6" t="s">
        <v>4786</v>
      </c>
      <c r="B362" s="6" t="s">
        <v>4787</v>
      </c>
      <c r="C362" s="3" t="s">
        <v>12</v>
      </c>
      <c r="D362" s="3">
        <v>736339.0</v>
      </c>
      <c r="E362" s="8">
        <v>13.46</v>
      </c>
      <c r="F362" s="3">
        <v>180.0</v>
      </c>
      <c r="G362" s="7">
        <v>45470.0</v>
      </c>
      <c r="H362" s="3" t="s">
        <v>5</v>
      </c>
      <c r="I362" s="8">
        <v>0.0</v>
      </c>
      <c r="J362" s="6" t="s">
        <v>234</v>
      </c>
      <c r="K362" s="3" t="s">
        <v>568</v>
      </c>
    </row>
    <row r="363" ht="15.75" customHeight="1">
      <c r="A363" s="6" t="s">
        <v>4790</v>
      </c>
      <c r="B363" s="6" t="s">
        <v>4792</v>
      </c>
      <c r="C363" s="3" t="s">
        <v>15</v>
      </c>
      <c r="D363" s="3">
        <v>2688727.0</v>
      </c>
      <c r="E363" s="8">
        <v>8.77</v>
      </c>
      <c r="F363" s="3">
        <v>24.0</v>
      </c>
      <c r="G363" s="7">
        <v>43809.0</v>
      </c>
      <c r="H363" s="3" t="s">
        <v>4</v>
      </c>
      <c r="I363" s="8">
        <v>899459.69</v>
      </c>
      <c r="J363" s="6" t="s">
        <v>397</v>
      </c>
      <c r="K363" s="3" t="s">
        <v>568</v>
      </c>
    </row>
    <row r="364" ht="15.75" customHeight="1">
      <c r="A364" s="6" t="s">
        <v>4797</v>
      </c>
      <c r="B364" s="6" t="s">
        <v>3119</v>
      </c>
      <c r="C364" s="3" t="s">
        <v>22</v>
      </c>
      <c r="D364" s="3">
        <v>810073.0</v>
      </c>
      <c r="E364" s="8">
        <v>15.76</v>
      </c>
      <c r="F364" s="3">
        <v>36.0</v>
      </c>
      <c r="G364" s="7">
        <v>43160.0</v>
      </c>
      <c r="H364" s="3" t="s">
        <v>4</v>
      </c>
      <c r="I364" s="8">
        <v>592743.14</v>
      </c>
      <c r="J364" s="6" t="s">
        <v>234</v>
      </c>
      <c r="K364" s="3" t="s">
        <v>568</v>
      </c>
    </row>
    <row r="365" ht="15.75" customHeight="1">
      <c r="A365" s="6" t="s">
        <v>4823</v>
      </c>
      <c r="B365" s="6" t="s">
        <v>1297</v>
      </c>
      <c r="C365" s="3" t="s">
        <v>11</v>
      </c>
      <c r="D365" s="3">
        <v>1326126.0</v>
      </c>
      <c r="E365" s="8">
        <v>12.96</v>
      </c>
      <c r="F365" s="3">
        <v>24.0</v>
      </c>
      <c r="G365" s="7">
        <v>45230.0</v>
      </c>
      <c r="H365" s="3" t="s">
        <v>4</v>
      </c>
      <c r="I365" s="8">
        <v>1073587.19</v>
      </c>
      <c r="J365" s="6" t="s">
        <v>179</v>
      </c>
      <c r="K365" s="3" t="s">
        <v>568</v>
      </c>
    </row>
    <row r="366" ht="15.75" customHeight="1">
      <c r="A366" s="6" t="s">
        <v>4833</v>
      </c>
      <c r="B366" s="6" t="s">
        <v>2337</v>
      </c>
      <c r="C366" s="3" t="s">
        <v>10</v>
      </c>
      <c r="D366" s="3">
        <v>686456.0</v>
      </c>
      <c r="E366" s="8">
        <v>16.09</v>
      </c>
      <c r="F366" s="3">
        <v>240.0</v>
      </c>
      <c r="G366" s="7">
        <v>42007.0</v>
      </c>
      <c r="H366" s="3" t="s">
        <v>5</v>
      </c>
      <c r="I366" s="8">
        <v>0.0</v>
      </c>
      <c r="J366" s="6" t="s">
        <v>171</v>
      </c>
      <c r="K366" s="3" t="s">
        <v>568</v>
      </c>
    </row>
    <row r="367" ht="15.75" customHeight="1">
      <c r="A367" s="6" t="s">
        <v>4839</v>
      </c>
      <c r="B367" s="6" t="s">
        <v>3601</v>
      </c>
      <c r="C367" s="3" t="s">
        <v>15</v>
      </c>
      <c r="D367" s="3">
        <v>3736559.0</v>
      </c>
      <c r="E367" s="8">
        <v>8.11</v>
      </c>
      <c r="F367" s="3">
        <v>84.0</v>
      </c>
      <c r="G367" s="7">
        <v>43748.0</v>
      </c>
      <c r="H367" s="3" t="s">
        <v>5</v>
      </c>
      <c r="I367" s="8">
        <v>0.0</v>
      </c>
      <c r="J367" s="6" t="s">
        <v>323</v>
      </c>
      <c r="K367" s="3" t="s">
        <v>568</v>
      </c>
    </row>
    <row r="368" ht="15.75" customHeight="1">
      <c r="A368" s="6" t="s">
        <v>4848</v>
      </c>
      <c r="B368" s="6" t="s">
        <v>4849</v>
      </c>
      <c r="C368" s="3" t="s">
        <v>13</v>
      </c>
      <c r="D368" s="3">
        <v>67612.0</v>
      </c>
      <c r="E368" s="8">
        <v>11.32</v>
      </c>
      <c r="F368" s="3">
        <v>84.0</v>
      </c>
      <c r="G368" s="7">
        <v>43230.0</v>
      </c>
      <c r="H368" s="3" t="s">
        <v>5</v>
      </c>
      <c r="I368" s="8">
        <v>0.0</v>
      </c>
      <c r="J368" s="6" t="s">
        <v>284</v>
      </c>
      <c r="K368" s="3" t="s">
        <v>568</v>
      </c>
    </row>
    <row r="369" ht="15.75" customHeight="1">
      <c r="A369" s="6" t="s">
        <v>4860</v>
      </c>
      <c r="B369" s="6" t="s">
        <v>4861</v>
      </c>
      <c r="C369" s="3" t="s">
        <v>11</v>
      </c>
      <c r="D369" s="3">
        <v>1373903.0</v>
      </c>
      <c r="E369" s="8">
        <v>8.97</v>
      </c>
      <c r="F369" s="3">
        <v>120.0</v>
      </c>
      <c r="G369" s="7">
        <v>42843.0</v>
      </c>
      <c r="H369" s="3" t="s">
        <v>6</v>
      </c>
      <c r="I369" s="8">
        <v>801070.61</v>
      </c>
      <c r="J369" s="6" t="s">
        <v>80</v>
      </c>
      <c r="K369" s="3" t="s">
        <v>568</v>
      </c>
    </row>
    <row r="370" ht="15.75" customHeight="1">
      <c r="A370" s="6" t="s">
        <v>4871</v>
      </c>
      <c r="B370" s="6" t="s">
        <v>3579</v>
      </c>
      <c r="C370" s="3" t="s">
        <v>10</v>
      </c>
      <c r="D370" s="3">
        <v>671393.0</v>
      </c>
      <c r="E370" s="8">
        <v>14.86</v>
      </c>
      <c r="F370" s="3">
        <v>240.0</v>
      </c>
      <c r="G370" s="7">
        <v>43455.0</v>
      </c>
      <c r="H370" s="3" t="s">
        <v>7</v>
      </c>
      <c r="I370" s="8">
        <v>351689.12</v>
      </c>
      <c r="J370" s="6" t="s">
        <v>397</v>
      </c>
      <c r="K370" s="3" t="s">
        <v>568</v>
      </c>
    </row>
    <row r="371" ht="15.75" customHeight="1">
      <c r="A371" s="6" t="s">
        <v>4881</v>
      </c>
      <c r="B371" s="6" t="s">
        <v>1683</v>
      </c>
      <c r="C371" s="3" t="s">
        <v>15</v>
      </c>
      <c r="D371" s="3">
        <v>3660780.0</v>
      </c>
      <c r="E371" s="8">
        <v>14.61</v>
      </c>
      <c r="F371" s="3">
        <v>24.0</v>
      </c>
      <c r="G371" s="7">
        <v>42774.0</v>
      </c>
      <c r="H371" s="3" t="s">
        <v>4</v>
      </c>
      <c r="I371" s="3"/>
      <c r="J371" s="6" t="s">
        <v>333</v>
      </c>
      <c r="K371" s="3" t="s">
        <v>2614</v>
      </c>
    </row>
    <row r="372" ht="15.75" customHeight="1">
      <c r="A372" s="6" t="s">
        <v>4885</v>
      </c>
      <c r="B372" s="6" t="s">
        <v>3031</v>
      </c>
      <c r="C372" s="3" t="s">
        <v>15</v>
      </c>
      <c r="D372" s="3">
        <v>4135211.0</v>
      </c>
      <c r="E372" s="8">
        <v>15.64</v>
      </c>
      <c r="F372" s="3">
        <v>36.0</v>
      </c>
      <c r="G372" s="7">
        <v>42911.0</v>
      </c>
      <c r="H372" s="3" t="s">
        <v>5</v>
      </c>
      <c r="I372" s="8">
        <v>0.0</v>
      </c>
      <c r="J372" s="6" t="s">
        <v>323</v>
      </c>
      <c r="K372" s="3" t="s">
        <v>568</v>
      </c>
    </row>
    <row r="373" ht="15.75" customHeight="1">
      <c r="A373" s="6" t="s">
        <v>4895</v>
      </c>
      <c r="B373" s="6" t="s">
        <v>1131</v>
      </c>
      <c r="C373" s="3" t="s">
        <v>15</v>
      </c>
      <c r="D373" s="3">
        <v>2591250.0</v>
      </c>
      <c r="E373" s="8">
        <v>9.32</v>
      </c>
      <c r="F373" s="3">
        <v>84.0</v>
      </c>
      <c r="G373" s="7">
        <v>45184.0</v>
      </c>
      <c r="H373" s="3" t="s">
        <v>4</v>
      </c>
      <c r="I373" s="8">
        <v>7825.74</v>
      </c>
      <c r="J373" s="6" t="s">
        <v>80</v>
      </c>
      <c r="K373" s="3" t="s">
        <v>568</v>
      </c>
    </row>
    <row r="374" ht="15.75" customHeight="1">
      <c r="A374" s="6" t="s">
        <v>4904</v>
      </c>
      <c r="B374" s="6" t="s">
        <v>1028</v>
      </c>
      <c r="C374" s="3" t="s">
        <v>10</v>
      </c>
      <c r="D374" s="3">
        <v>1069391.0</v>
      </c>
      <c r="E374" s="8">
        <v>12.76</v>
      </c>
      <c r="F374" s="3">
        <v>12.0</v>
      </c>
      <c r="G374" s="7">
        <v>40946.0</v>
      </c>
      <c r="H374" s="3" t="s">
        <v>4</v>
      </c>
      <c r="I374" s="8">
        <v>50201.48</v>
      </c>
      <c r="J374" s="6" t="s">
        <v>262</v>
      </c>
      <c r="K374" s="3" t="s">
        <v>568</v>
      </c>
    </row>
    <row r="375" ht="15.75" customHeight="1">
      <c r="A375" s="6" t="s">
        <v>4915</v>
      </c>
      <c r="B375" s="6" t="s">
        <v>2667</v>
      </c>
      <c r="C375" s="3" t="s">
        <v>12</v>
      </c>
      <c r="D375" s="3">
        <v>1435929.0</v>
      </c>
      <c r="E375" s="8">
        <v>14.82</v>
      </c>
      <c r="F375" s="3">
        <v>36.0</v>
      </c>
      <c r="G375" s="7">
        <v>45584.0</v>
      </c>
      <c r="H375" s="3" t="s">
        <v>4</v>
      </c>
      <c r="I375" s="8">
        <v>72250.48</v>
      </c>
      <c r="J375" s="6" t="s">
        <v>385</v>
      </c>
      <c r="K375" s="3" t="s">
        <v>568</v>
      </c>
    </row>
    <row r="376" ht="15.75" customHeight="1">
      <c r="A376" s="6" t="s">
        <v>4926</v>
      </c>
      <c r="B376" s="6" t="s">
        <v>4927</v>
      </c>
      <c r="C376" s="3" t="s">
        <v>11</v>
      </c>
      <c r="D376" s="3">
        <v>588883.0</v>
      </c>
      <c r="E376" s="8">
        <v>14.84</v>
      </c>
      <c r="F376" s="3">
        <v>24.0</v>
      </c>
      <c r="G376" s="7">
        <v>42316.0</v>
      </c>
      <c r="H376" s="3" t="s">
        <v>4</v>
      </c>
      <c r="I376" s="8">
        <v>245781.88</v>
      </c>
      <c r="J376" s="6" t="s">
        <v>323</v>
      </c>
      <c r="K376" s="3" t="s">
        <v>568</v>
      </c>
    </row>
    <row r="377" ht="15.75" customHeight="1">
      <c r="A377" s="6" t="s">
        <v>4934</v>
      </c>
      <c r="B377" s="6" t="s">
        <v>4936</v>
      </c>
      <c r="C377" s="3" t="s">
        <v>13</v>
      </c>
      <c r="D377" s="3">
        <v>284023.0</v>
      </c>
      <c r="E377" s="8">
        <v>11.38</v>
      </c>
      <c r="F377" s="3">
        <v>12.0</v>
      </c>
      <c r="G377" s="7">
        <v>45468.0</v>
      </c>
      <c r="H377" s="3" t="s">
        <v>7</v>
      </c>
      <c r="I377" s="8">
        <v>231731.97</v>
      </c>
      <c r="J377" s="6" t="s">
        <v>333</v>
      </c>
      <c r="K377" s="3" t="s">
        <v>568</v>
      </c>
    </row>
    <row r="378" ht="15.75" customHeight="1">
      <c r="A378" s="6" t="s">
        <v>4942</v>
      </c>
      <c r="B378" s="6" t="s">
        <v>1869</v>
      </c>
      <c r="C378" s="3" t="s">
        <v>10</v>
      </c>
      <c r="D378" s="3">
        <v>976804.0</v>
      </c>
      <c r="E378" s="8">
        <v>11.42</v>
      </c>
      <c r="F378" s="3">
        <v>36.0</v>
      </c>
      <c r="G378" s="7">
        <v>41320.0</v>
      </c>
      <c r="H378" s="3" t="s">
        <v>7</v>
      </c>
      <c r="I378" s="8">
        <v>782028.19</v>
      </c>
      <c r="J378" s="6" t="s">
        <v>171</v>
      </c>
      <c r="K378" s="3" t="s">
        <v>568</v>
      </c>
    </row>
    <row r="379" ht="15.75" customHeight="1">
      <c r="A379" s="6" t="s">
        <v>4953</v>
      </c>
      <c r="B379" s="6" t="s">
        <v>1161</v>
      </c>
      <c r="C379" s="3" t="s">
        <v>22</v>
      </c>
      <c r="D379" s="3">
        <v>529569.0</v>
      </c>
      <c r="E379" s="8">
        <v>9.83</v>
      </c>
      <c r="F379" s="3">
        <v>120.0</v>
      </c>
      <c r="G379" s="7">
        <v>45547.0</v>
      </c>
      <c r="H379" s="3" t="s">
        <v>5</v>
      </c>
      <c r="I379" s="8">
        <v>0.0</v>
      </c>
      <c r="J379" s="6" t="s">
        <v>97</v>
      </c>
      <c r="K379" s="3" t="s">
        <v>568</v>
      </c>
    </row>
    <row r="380" ht="15.75" customHeight="1">
      <c r="A380" s="6" t="s">
        <v>4957</v>
      </c>
      <c r="B380" s="6" t="s">
        <v>4959</v>
      </c>
      <c r="C380" s="3" t="s">
        <v>13</v>
      </c>
      <c r="D380" s="3">
        <v>303049.0</v>
      </c>
      <c r="E380" s="8">
        <v>15.45</v>
      </c>
      <c r="F380" s="3">
        <v>24.0</v>
      </c>
      <c r="G380" s="7">
        <v>45145.0</v>
      </c>
      <c r="H380" s="3" t="s">
        <v>4</v>
      </c>
      <c r="I380" s="8">
        <v>211916.07</v>
      </c>
      <c r="J380" s="6" t="s">
        <v>92</v>
      </c>
      <c r="K380" s="3" t="s">
        <v>568</v>
      </c>
    </row>
    <row r="381" ht="15.75" customHeight="1">
      <c r="A381" s="6" t="s">
        <v>4965</v>
      </c>
      <c r="B381" s="6" t="s">
        <v>843</v>
      </c>
      <c r="C381" s="3" t="s">
        <v>11</v>
      </c>
      <c r="D381" s="3">
        <v>2325535.0</v>
      </c>
      <c r="E381" s="8">
        <v>12.96</v>
      </c>
      <c r="F381" s="3">
        <v>84.0</v>
      </c>
      <c r="G381" s="7">
        <v>43326.0</v>
      </c>
      <c r="H381" s="3" t="s">
        <v>7</v>
      </c>
      <c r="I381" s="8">
        <v>328124.99</v>
      </c>
      <c r="J381" s="6" t="s">
        <v>352</v>
      </c>
      <c r="K381" s="3" t="s">
        <v>568</v>
      </c>
    </row>
    <row r="382" ht="15.75" customHeight="1">
      <c r="A382" s="6" t="s">
        <v>4977</v>
      </c>
      <c r="B382" s="6" t="s">
        <v>1265</v>
      </c>
      <c r="C382" s="3" t="s">
        <v>11</v>
      </c>
      <c r="D382" s="3">
        <v>1155213.0</v>
      </c>
      <c r="E382" s="8">
        <v>12.32</v>
      </c>
      <c r="F382" s="3">
        <v>24.0</v>
      </c>
      <c r="G382" s="7">
        <v>41930.0</v>
      </c>
      <c r="H382" s="3" t="s">
        <v>5</v>
      </c>
      <c r="I382" s="8">
        <v>0.0</v>
      </c>
      <c r="J382" s="6" t="s">
        <v>60</v>
      </c>
      <c r="K382" s="3" t="s">
        <v>568</v>
      </c>
    </row>
    <row r="383" ht="15.75" customHeight="1">
      <c r="A383" s="6" t="s">
        <v>4983</v>
      </c>
      <c r="B383" s="6" t="s">
        <v>4334</v>
      </c>
      <c r="C383" s="3" t="s">
        <v>15</v>
      </c>
      <c r="D383" s="3">
        <v>8470638.0</v>
      </c>
      <c r="E383" s="8">
        <v>12.46</v>
      </c>
      <c r="F383" s="3">
        <v>240.0</v>
      </c>
      <c r="G383" s="7">
        <v>42889.0</v>
      </c>
      <c r="H383" s="3" t="s">
        <v>5</v>
      </c>
      <c r="I383" s="8">
        <v>0.0</v>
      </c>
      <c r="J383" s="6" t="s">
        <v>221</v>
      </c>
      <c r="K383" s="3" t="s">
        <v>568</v>
      </c>
    </row>
    <row r="384" ht="15.75" customHeight="1">
      <c r="A384" s="6" t="s">
        <v>4989</v>
      </c>
      <c r="B384" s="6" t="s">
        <v>1110</v>
      </c>
      <c r="C384" s="3" t="s">
        <v>13</v>
      </c>
      <c r="D384" s="3">
        <v>193726.0</v>
      </c>
      <c r="E384" s="8">
        <v>9.22</v>
      </c>
      <c r="F384" s="3">
        <v>12.0</v>
      </c>
      <c r="G384" s="7">
        <v>45553.0</v>
      </c>
      <c r="H384" s="3" t="s">
        <v>4</v>
      </c>
      <c r="I384" s="8">
        <v>12063.59</v>
      </c>
      <c r="J384" s="6" t="s">
        <v>352</v>
      </c>
      <c r="K384" s="3" t="s">
        <v>568</v>
      </c>
    </row>
    <row r="385" ht="15.75" customHeight="1">
      <c r="A385" s="6" t="s">
        <v>5001</v>
      </c>
      <c r="B385" s="6" t="s">
        <v>3352</v>
      </c>
      <c r="C385" s="3" t="s">
        <v>10</v>
      </c>
      <c r="D385" s="3">
        <v>1006883.0</v>
      </c>
      <c r="E385" s="8">
        <v>10.6</v>
      </c>
      <c r="F385" s="3">
        <v>36.0</v>
      </c>
      <c r="G385" s="7">
        <v>44882.0</v>
      </c>
      <c r="H385" s="3" t="s">
        <v>4</v>
      </c>
      <c r="I385" s="8">
        <v>534097.5</v>
      </c>
      <c r="J385" s="6" t="s">
        <v>146</v>
      </c>
      <c r="K385" s="3" t="s">
        <v>568</v>
      </c>
    </row>
    <row r="386" ht="15.75" customHeight="1">
      <c r="A386" s="6" t="s">
        <v>5009</v>
      </c>
      <c r="B386" s="6" t="s">
        <v>4062</v>
      </c>
      <c r="C386" s="3" t="s">
        <v>10</v>
      </c>
      <c r="D386" s="3">
        <v>659347.0</v>
      </c>
      <c r="E386" s="8">
        <v>13.46</v>
      </c>
      <c r="F386" s="3">
        <v>24.0</v>
      </c>
      <c r="G386" s="7">
        <v>43856.0</v>
      </c>
      <c r="H386" s="3" t="s">
        <v>4</v>
      </c>
      <c r="I386" s="8">
        <v>27599.11</v>
      </c>
      <c r="J386" s="6" t="s">
        <v>311</v>
      </c>
      <c r="K386" s="3" t="s">
        <v>568</v>
      </c>
    </row>
    <row r="387" ht="15.75" customHeight="1">
      <c r="A387" s="6" t="s">
        <v>5020</v>
      </c>
      <c r="B387" s="6" t="s">
        <v>949</v>
      </c>
      <c r="C387" s="3" t="s">
        <v>15</v>
      </c>
      <c r="D387" s="3">
        <v>2965175.0</v>
      </c>
      <c r="E387" s="8">
        <v>8.35</v>
      </c>
      <c r="F387" s="3">
        <v>180.0</v>
      </c>
      <c r="G387" s="7">
        <v>45191.0</v>
      </c>
      <c r="H387" s="3" t="s">
        <v>5</v>
      </c>
      <c r="I387" s="8">
        <v>0.0</v>
      </c>
      <c r="J387" s="6" t="s">
        <v>146</v>
      </c>
      <c r="K387" s="3" t="s">
        <v>568</v>
      </c>
    </row>
    <row r="388" ht="15.75" customHeight="1">
      <c r="A388" s="6" t="s">
        <v>5030</v>
      </c>
      <c r="B388" s="6" t="s">
        <v>157</v>
      </c>
      <c r="C388" s="3" t="s">
        <v>10</v>
      </c>
      <c r="D388" s="3">
        <v>1153345.0</v>
      </c>
      <c r="E388" s="8">
        <v>8.02</v>
      </c>
      <c r="F388" s="3">
        <v>36.0</v>
      </c>
      <c r="G388" s="7">
        <v>41664.0</v>
      </c>
      <c r="H388" s="3" t="s">
        <v>7</v>
      </c>
      <c r="I388" s="8">
        <v>711606.57</v>
      </c>
      <c r="J388" s="6" t="s">
        <v>301</v>
      </c>
      <c r="K388" s="3" t="s">
        <v>568</v>
      </c>
    </row>
    <row r="389" ht="15.75" customHeight="1">
      <c r="A389" s="6" t="s">
        <v>5037</v>
      </c>
      <c r="B389" s="6" t="s">
        <v>2772</v>
      </c>
      <c r="C389" s="3" t="s">
        <v>22</v>
      </c>
      <c r="D389" s="3">
        <v>548850.0</v>
      </c>
      <c r="E389" s="8">
        <v>9.75</v>
      </c>
      <c r="F389" s="3">
        <v>120.0</v>
      </c>
      <c r="G389" s="7">
        <v>43387.0</v>
      </c>
      <c r="H389" s="3" t="s">
        <v>4</v>
      </c>
      <c r="I389" s="8">
        <v>358503.73</v>
      </c>
      <c r="J389" s="6" t="s">
        <v>92</v>
      </c>
      <c r="K389" s="3" t="s">
        <v>568</v>
      </c>
    </row>
    <row r="390" ht="15.75" customHeight="1">
      <c r="A390" s="6" t="s">
        <v>5044</v>
      </c>
      <c r="B390" s="6" t="s">
        <v>1362</v>
      </c>
      <c r="C390" s="3" t="s">
        <v>11</v>
      </c>
      <c r="D390" s="3">
        <v>1912102.0</v>
      </c>
      <c r="E390" s="8">
        <v>9.21</v>
      </c>
      <c r="F390" s="3">
        <v>12.0</v>
      </c>
      <c r="G390" s="7">
        <v>41296.0</v>
      </c>
      <c r="H390" s="3" t="s">
        <v>5</v>
      </c>
      <c r="I390" s="8">
        <v>0.0</v>
      </c>
      <c r="J390" s="6" t="s">
        <v>146</v>
      </c>
      <c r="K390" s="3" t="s">
        <v>568</v>
      </c>
    </row>
    <row r="391" ht="15.75" customHeight="1">
      <c r="A391" s="6" t="s">
        <v>5052</v>
      </c>
      <c r="B391" s="6" t="s">
        <v>3003</v>
      </c>
      <c r="C391" s="3" t="s">
        <v>12</v>
      </c>
      <c r="D391" s="3">
        <v>1103280.0</v>
      </c>
      <c r="E391" s="8">
        <v>15.96</v>
      </c>
      <c r="F391" s="3">
        <v>12.0</v>
      </c>
      <c r="G391" s="7">
        <v>41431.0</v>
      </c>
      <c r="H391" s="3" t="s">
        <v>4</v>
      </c>
      <c r="I391" s="8">
        <v>783237.29</v>
      </c>
      <c r="J391" s="6" t="s">
        <v>288</v>
      </c>
      <c r="K391" s="3" t="s">
        <v>568</v>
      </c>
    </row>
    <row r="392" ht="15.75" customHeight="1">
      <c r="A392" s="6" t="s">
        <v>5062</v>
      </c>
      <c r="B392" s="6" t="s">
        <v>1043</v>
      </c>
      <c r="C392" s="3" t="s">
        <v>22</v>
      </c>
      <c r="D392" s="3">
        <v>858365.0</v>
      </c>
      <c r="E392" s="8">
        <v>9.88</v>
      </c>
      <c r="F392" s="3">
        <v>180.0</v>
      </c>
      <c r="G392" s="7">
        <v>43389.0</v>
      </c>
      <c r="H392" s="3" t="s">
        <v>4</v>
      </c>
      <c r="I392" s="8">
        <v>598758.28</v>
      </c>
      <c r="J392" s="6" t="s">
        <v>171</v>
      </c>
      <c r="K392" s="3" t="s">
        <v>568</v>
      </c>
    </row>
    <row r="393" ht="15.75" customHeight="1">
      <c r="A393" s="6" t="s">
        <v>5073</v>
      </c>
      <c r="B393" s="6" t="s">
        <v>918</v>
      </c>
      <c r="C393" s="3" t="s">
        <v>10</v>
      </c>
      <c r="D393" s="3">
        <v>339556.0</v>
      </c>
      <c r="E393" s="8">
        <v>10.29</v>
      </c>
      <c r="F393" s="3">
        <v>240.0</v>
      </c>
      <c r="G393" s="7">
        <v>44355.0</v>
      </c>
      <c r="H393" s="3" t="s">
        <v>6</v>
      </c>
      <c r="I393" s="8">
        <v>328989.84</v>
      </c>
      <c r="J393" s="6" t="s">
        <v>401</v>
      </c>
      <c r="K393" s="3" t="s">
        <v>568</v>
      </c>
    </row>
    <row r="394" ht="15.75" customHeight="1">
      <c r="A394" s="6" t="s">
        <v>5080</v>
      </c>
      <c r="B394" s="6" t="s">
        <v>4500</v>
      </c>
      <c r="C394" s="3" t="s">
        <v>15</v>
      </c>
      <c r="D394" s="3">
        <v>3793605.0</v>
      </c>
      <c r="E394" s="8">
        <v>10.61</v>
      </c>
      <c r="F394" s="3">
        <v>180.0</v>
      </c>
      <c r="G394" s="7">
        <v>41946.0</v>
      </c>
      <c r="H394" s="3" t="s">
        <v>4</v>
      </c>
      <c r="I394" s="8">
        <v>2669299.11</v>
      </c>
      <c r="J394" s="6" t="s">
        <v>179</v>
      </c>
      <c r="K394" s="3" t="s">
        <v>568</v>
      </c>
    </row>
    <row r="395" ht="15.75" customHeight="1">
      <c r="A395" s="6" t="s">
        <v>5113</v>
      </c>
      <c r="B395" s="6" t="s">
        <v>1606</v>
      </c>
      <c r="C395" s="3" t="s">
        <v>12</v>
      </c>
      <c r="D395" s="3">
        <v>1498610.0</v>
      </c>
      <c r="E395" s="8">
        <v>15.83</v>
      </c>
      <c r="F395" s="3">
        <v>84.0</v>
      </c>
      <c r="G395" s="7">
        <v>44325.0</v>
      </c>
      <c r="H395" s="3" t="s">
        <v>5</v>
      </c>
      <c r="I395" s="8">
        <v>0.0</v>
      </c>
      <c r="J395" s="6" t="s">
        <v>129</v>
      </c>
      <c r="K395" s="3" t="s">
        <v>568</v>
      </c>
    </row>
    <row r="396" ht="15.75" customHeight="1">
      <c r="A396" s="6" t="s">
        <v>5124</v>
      </c>
      <c r="B396" s="6" t="s">
        <v>3001</v>
      </c>
      <c r="C396" s="3" t="s">
        <v>10</v>
      </c>
      <c r="D396" s="3">
        <v>554883.0</v>
      </c>
      <c r="E396" s="8">
        <v>7.76</v>
      </c>
      <c r="F396" s="3">
        <v>84.0</v>
      </c>
      <c r="G396" s="7">
        <v>42129.0</v>
      </c>
      <c r="H396" s="3" t="s">
        <v>5</v>
      </c>
      <c r="I396" s="8">
        <v>0.0</v>
      </c>
      <c r="J396" s="6" t="s">
        <v>277</v>
      </c>
      <c r="K396" s="3" t="s">
        <v>568</v>
      </c>
    </row>
    <row r="397" ht="15.75" customHeight="1">
      <c r="A397" s="6" t="s">
        <v>5132</v>
      </c>
      <c r="B397" s="6" t="s">
        <v>5134</v>
      </c>
      <c r="C397" s="3" t="s">
        <v>13</v>
      </c>
      <c r="D397" s="3">
        <v>482022.0</v>
      </c>
      <c r="E397" s="8">
        <v>13.04</v>
      </c>
      <c r="F397" s="3">
        <v>60.0</v>
      </c>
      <c r="G397" s="7">
        <v>43219.0</v>
      </c>
      <c r="H397" s="3" t="s">
        <v>6</v>
      </c>
      <c r="I397" s="8">
        <v>266360.63</v>
      </c>
      <c r="J397" s="6" t="s">
        <v>92</v>
      </c>
      <c r="K397" s="3" t="s">
        <v>568</v>
      </c>
    </row>
    <row r="398" ht="15.75" customHeight="1">
      <c r="A398" s="6" t="s">
        <v>5139</v>
      </c>
      <c r="B398" s="6" t="s">
        <v>5142</v>
      </c>
      <c r="C398" s="3" t="s">
        <v>15</v>
      </c>
      <c r="D398" s="3">
        <v>2746075.0</v>
      </c>
      <c r="E398" s="8">
        <v>8.06</v>
      </c>
      <c r="F398" s="3">
        <v>12.0</v>
      </c>
      <c r="G398" s="7">
        <v>41977.0</v>
      </c>
      <c r="H398" s="3" t="s">
        <v>4</v>
      </c>
      <c r="I398" s="8">
        <v>1404960.26</v>
      </c>
      <c r="J398" s="6" t="s">
        <v>385</v>
      </c>
      <c r="K398" s="3" t="s">
        <v>568</v>
      </c>
    </row>
    <row r="399" ht="15.75" customHeight="1">
      <c r="A399" s="6" t="s">
        <v>5144</v>
      </c>
      <c r="B399" s="6" t="s">
        <v>1498</v>
      </c>
      <c r="C399" s="3" t="s">
        <v>12</v>
      </c>
      <c r="D399" s="3">
        <v>1408357.0</v>
      </c>
      <c r="E399" s="8">
        <v>8.76</v>
      </c>
      <c r="F399" s="3">
        <v>60.0</v>
      </c>
      <c r="G399" s="7">
        <v>45082.0</v>
      </c>
      <c r="H399" s="3" t="s">
        <v>4</v>
      </c>
      <c r="I399" s="8">
        <v>717741.58</v>
      </c>
      <c r="J399" s="6" t="s">
        <v>301</v>
      </c>
      <c r="K399" s="3" t="s">
        <v>568</v>
      </c>
    </row>
    <row r="400" ht="15.75" customHeight="1">
      <c r="A400" s="6" t="s">
        <v>5149</v>
      </c>
      <c r="B400" s="6" t="s">
        <v>2207</v>
      </c>
      <c r="C400" s="3" t="s">
        <v>13</v>
      </c>
      <c r="D400" s="3">
        <v>485100.0</v>
      </c>
      <c r="E400" s="8">
        <v>14.27</v>
      </c>
      <c r="F400" s="3">
        <v>24.0</v>
      </c>
      <c r="G400" s="7">
        <v>41432.0</v>
      </c>
      <c r="H400" s="3" t="s">
        <v>4</v>
      </c>
      <c r="I400" s="8">
        <v>252240.75</v>
      </c>
      <c r="J400" s="6" t="s">
        <v>197</v>
      </c>
      <c r="K400" s="3" t="s">
        <v>568</v>
      </c>
    </row>
    <row r="401" ht="15.75" customHeight="1">
      <c r="A401" s="6" t="s">
        <v>5159</v>
      </c>
      <c r="B401" s="6" t="s">
        <v>1070</v>
      </c>
      <c r="C401" s="3" t="s">
        <v>13</v>
      </c>
      <c r="D401" s="3">
        <v>262889.0</v>
      </c>
      <c r="E401" s="8">
        <v>14.21</v>
      </c>
      <c r="F401" s="3">
        <v>84.0</v>
      </c>
      <c r="G401" s="7">
        <v>44776.0</v>
      </c>
      <c r="H401" s="3" t="s">
        <v>4</v>
      </c>
      <c r="I401" s="8">
        <v>92100.54</v>
      </c>
      <c r="J401" s="6" t="s">
        <v>36</v>
      </c>
      <c r="K401" s="3" t="s">
        <v>568</v>
      </c>
    </row>
    <row r="402" ht="15.75" customHeight="1">
      <c r="A402" s="6" t="s">
        <v>5164</v>
      </c>
      <c r="B402" s="6" t="s">
        <v>5166</v>
      </c>
      <c r="C402" s="3" t="s">
        <v>13</v>
      </c>
      <c r="D402" s="3">
        <v>462086.0</v>
      </c>
      <c r="E402" s="8">
        <v>11.85</v>
      </c>
      <c r="F402" s="3">
        <v>36.0</v>
      </c>
      <c r="G402" s="7">
        <v>41509.0</v>
      </c>
      <c r="H402" s="3" t="s">
        <v>5</v>
      </c>
      <c r="I402" s="8">
        <v>0.0</v>
      </c>
      <c r="J402" s="6" t="s">
        <v>60</v>
      </c>
      <c r="K402" s="3" t="s">
        <v>568</v>
      </c>
    </row>
    <row r="403" ht="15.75" customHeight="1">
      <c r="A403" s="6" t="s">
        <v>5187</v>
      </c>
      <c r="B403" s="6" t="s">
        <v>1172</v>
      </c>
      <c r="C403" s="3" t="s">
        <v>12</v>
      </c>
      <c r="D403" s="3">
        <v>1878696.0</v>
      </c>
      <c r="E403" s="8">
        <v>10.21</v>
      </c>
      <c r="F403" s="3">
        <v>60.0</v>
      </c>
      <c r="G403" s="7">
        <v>45001.0</v>
      </c>
      <c r="H403" s="3" t="s">
        <v>4</v>
      </c>
      <c r="I403" s="8">
        <v>1118251.36</v>
      </c>
      <c r="J403" s="6" t="s">
        <v>221</v>
      </c>
      <c r="K403" s="3" t="s">
        <v>568</v>
      </c>
    </row>
    <row r="404" ht="15.75" customHeight="1">
      <c r="A404" s="6" t="s">
        <v>5191</v>
      </c>
      <c r="B404" s="6" t="s">
        <v>5193</v>
      </c>
      <c r="C404" s="3" t="s">
        <v>11</v>
      </c>
      <c r="D404" s="3">
        <v>1114824.0</v>
      </c>
      <c r="E404" s="8">
        <v>10.09</v>
      </c>
      <c r="F404" s="3">
        <v>120.0</v>
      </c>
      <c r="G404" s="7">
        <v>42671.0</v>
      </c>
      <c r="H404" s="3" t="s">
        <v>4</v>
      </c>
      <c r="I404" s="8">
        <v>614106.06</v>
      </c>
      <c r="J404" s="6" t="s">
        <v>266</v>
      </c>
      <c r="K404" s="3" t="s">
        <v>568</v>
      </c>
    </row>
    <row r="405" ht="15.75" customHeight="1">
      <c r="A405" s="6" t="s">
        <v>5198</v>
      </c>
      <c r="B405" s="6" t="s">
        <v>2307</v>
      </c>
      <c r="C405" s="3" t="s">
        <v>10</v>
      </c>
      <c r="D405" s="3">
        <v>809886.0</v>
      </c>
      <c r="E405" s="8">
        <v>15.36</v>
      </c>
      <c r="F405" s="3">
        <v>24.0</v>
      </c>
      <c r="G405" s="7">
        <v>45627.0</v>
      </c>
      <c r="H405" s="3" t="s">
        <v>4</v>
      </c>
      <c r="I405" s="8">
        <v>272270.74</v>
      </c>
      <c r="J405" s="6" t="s">
        <v>245</v>
      </c>
      <c r="K405" s="3" t="s">
        <v>568</v>
      </c>
    </row>
    <row r="406" ht="15.75" customHeight="1">
      <c r="A406" s="6" t="s">
        <v>5206</v>
      </c>
      <c r="B406" s="6" t="s">
        <v>819</v>
      </c>
      <c r="C406" s="3" t="s">
        <v>11</v>
      </c>
      <c r="D406" s="3">
        <v>1518707.0</v>
      </c>
      <c r="E406" s="8">
        <v>7.53</v>
      </c>
      <c r="F406" s="3">
        <v>180.0</v>
      </c>
      <c r="G406" s="7">
        <v>43299.0</v>
      </c>
      <c r="H406" s="3" t="s">
        <v>5</v>
      </c>
      <c r="I406" s="8">
        <v>0.0</v>
      </c>
      <c r="J406" s="6" t="s">
        <v>234</v>
      </c>
      <c r="K406" s="3" t="s">
        <v>568</v>
      </c>
    </row>
    <row r="407" ht="15.75" customHeight="1">
      <c r="A407" s="6" t="s">
        <v>5218</v>
      </c>
      <c r="B407" s="6" t="s">
        <v>4360</v>
      </c>
      <c r="C407" s="3" t="s">
        <v>13</v>
      </c>
      <c r="D407" s="3">
        <v>89882.0</v>
      </c>
      <c r="E407" s="8">
        <v>14.32</v>
      </c>
      <c r="F407" s="3">
        <v>12.0</v>
      </c>
      <c r="G407" s="7">
        <v>45180.0</v>
      </c>
      <c r="H407" s="3" t="s">
        <v>4</v>
      </c>
      <c r="I407" s="8">
        <v>8794.46</v>
      </c>
      <c r="J407" s="6" t="s">
        <v>311</v>
      </c>
      <c r="K407" s="3" t="s">
        <v>568</v>
      </c>
    </row>
    <row r="408" ht="15.75" customHeight="1">
      <c r="A408" s="6" t="s">
        <v>5224</v>
      </c>
      <c r="B408" s="6" t="s">
        <v>5225</v>
      </c>
      <c r="C408" s="3" t="s">
        <v>12</v>
      </c>
      <c r="D408" s="3">
        <v>1368667.0</v>
      </c>
      <c r="E408" s="8">
        <v>10.37</v>
      </c>
      <c r="F408" s="3">
        <v>24.0</v>
      </c>
      <c r="G408" s="7">
        <v>45471.0</v>
      </c>
      <c r="H408" s="3" t="s">
        <v>5</v>
      </c>
      <c r="I408" s="8">
        <v>0.0</v>
      </c>
      <c r="J408" s="6" t="s">
        <v>97</v>
      </c>
      <c r="K408" s="3" t="s">
        <v>568</v>
      </c>
    </row>
    <row r="409" ht="15.75" customHeight="1">
      <c r="A409" s="6" t="s">
        <v>5230</v>
      </c>
      <c r="B409" s="6" t="s">
        <v>1795</v>
      </c>
      <c r="C409" s="3" t="s">
        <v>15</v>
      </c>
      <c r="D409" s="3">
        <v>2106766.0</v>
      </c>
      <c r="E409" s="8">
        <v>8.25</v>
      </c>
      <c r="F409" s="3">
        <v>180.0</v>
      </c>
      <c r="G409" s="7">
        <v>42583.0</v>
      </c>
      <c r="H409" s="3" t="s">
        <v>4</v>
      </c>
      <c r="I409" s="8">
        <v>1895137.51</v>
      </c>
      <c r="J409" s="6" t="s">
        <v>197</v>
      </c>
      <c r="K409" s="3" t="s">
        <v>568</v>
      </c>
    </row>
    <row r="410" ht="15.75" customHeight="1">
      <c r="A410" s="6" t="s">
        <v>5242</v>
      </c>
      <c r="B410" s="6" t="s">
        <v>350</v>
      </c>
      <c r="C410" s="3" t="s">
        <v>15</v>
      </c>
      <c r="D410" s="3">
        <v>8213495.0</v>
      </c>
      <c r="E410" s="8">
        <v>10.99</v>
      </c>
      <c r="F410" s="3">
        <v>60.0</v>
      </c>
      <c r="G410" s="7">
        <v>42307.0</v>
      </c>
      <c r="H410" s="3" t="s">
        <v>4</v>
      </c>
      <c r="I410" s="8">
        <v>4750933.6</v>
      </c>
      <c r="J410" s="6" t="s">
        <v>97</v>
      </c>
      <c r="K410" s="3" t="s">
        <v>568</v>
      </c>
    </row>
    <row r="411" ht="15.75" customHeight="1">
      <c r="A411" s="6" t="s">
        <v>5255</v>
      </c>
      <c r="B411" s="6" t="s">
        <v>1357</v>
      </c>
      <c r="C411" s="3" t="s">
        <v>13</v>
      </c>
      <c r="D411" s="3">
        <v>439246.0</v>
      </c>
      <c r="E411" s="8">
        <v>7.74</v>
      </c>
      <c r="F411" s="3">
        <v>60.0</v>
      </c>
      <c r="G411" s="7">
        <v>41344.0</v>
      </c>
      <c r="H411" s="3" t="s">
        <v>4</v>
      </c>
      <c r="I411" s="8">
        <v>90530.58</v>
      </c>
      <c r="J411" s="6" t="s">
        <v>352</v>
      </c>
      <c r="K411" s="3" t="s">
        <v>568</v>
      </c>
    </row>
    <row r="412" ht="15.75" customHeight="1">
      <c r="A412" s="6" t="s">
        <v>5263</v>
      </c>
      <c r="B412" s="6" t="s">
        <v>676</v>
      </c>
      <c r="C412" s="3" t="s">
        <v>11</v>
      </c>
      <c r="D412" s="3">
        <v>1220057.0</v>
      </c>
      <c r="E412" s="8">
        <v>12.22</v>
      </c>
      <c r="F412" s="3">
        <v>240.0</v>
      </c>
      <c r="G412" s="7">
        <v>44325.0</v>
      </c>
      <c r="H412" s="3" t="s">
        <v>4</v>
      </c>
      <c r="I412" s="8">
        <v>418095.13</v>
      </c>
      <c r="J412" s="6" t="s">
        <v>92</v>
      </c>
      <c r="K412" s="3" t="s">
        <v>568</v>
      </c>
    </row>
    <row r="413" ht="15.75" customHeight="1">
      <c r="A413" s="6" t="s">
        <v>5272</v>
      </c>
      <c r="B413" s="6" t="s">
        <v>2618</v>
      </c>
      <c r="C413" s="3" t="s">
        <v>10</v>
      </c>
      <c r="D413" s="3">
        <v>1344381.0</v>
      </c>
      <c r="E413" s="8">
        <v>7.99</v>
      </c>
      <c r="F413" s="3">
        <v>12.0</v>
      </c>
      <c r="G413" s="7">
        <v>44947.0</v>
      </c>
      <c r="H413" s="3" t="s">
        <v>5</v>
      </c>
      <c r="I413" s="8">
        <v>0.0</v>
      </c>
      <c r="J413" s="6" t="s">
        <v>401</v>
      </c>
      <c r="K413" s="3" t="s">
        <v>568</v>
      </c>
    </row>
    <row r="414" ht="15.75" customHeight="1">
      <c r="A414" s="6" t="s">
        <v>5277</v>
      </c>
      <c r="B414" s="6" t="s">
        <v>4340</v>
      </c>
      <c r="C414" s="3" t="s">
        <v>15</v>
      </c>
      <c r="D414" s="3">
        <v>8291576.0</v>
      </c>
      <c r="E414" s="8">
        <v>15.51</v>
      </c>
      <c r="F414" s="3">
        <v>240.0</v>
      </c>
      <c r="G414" s="7">
        <v>41919.0</v>
      </c>
      <c r="H414" s="3" t="s">
        <v>5</v>
      </c>
      <c r="I414" s="8">
        <v>0.0</v>
      </c>
      <c r="J414" s="6" t="s">
        <v>234</v>
      </c>
      <c r="K414" s="3" t="s">
        <v>568</v>
      </c>
    </row>
    <row r="415" ht="15.75" customHeight="1">
      <c r="A415" s="6" t="s">
        <v>5286</v>
      </c>
      <c r="B415" s="6" t="s">
        <v>2009</v>
      </c>
      <c r="C415" s="3" t="s">
        <v>22</v>
      </c>
      <c r="D415" s="3">
        <v>279597.0</v>
      </c>
      <c r="E415" s="8">
        <v>12.49</v>
      </c>
      <c r="F415" s="3">
        <v>36.0</v>
      </c>
      <c r="G415" s="7">
        <v>42744.0</v>
      </c>
      <c r="H415" s="3" t="s">
        <v>4</v>
      </c>
      <c r="I415" s="8">
        <v>65151.66</v>
      </c>
      <c r="J415" s="6" t="s">
        <v>245</v>
      </c>
      <c r="K415" s="3" t="s">
        <v>568</v>
      </c>
    </row>
    <row r="416" ht="15.75" customHeight="1">
      <c r="A416" s="6" t="s">
        <v>5299</v>
      </c>
      <c r="B416" s="6" t="s">
        <v>2824</v>
      </c>
      <c r="C416" s="3" t="s">
        <v>13</v>
      </c>
      <c r="D416" s="3">
        <v>24898.0</v>
      </c>
      <c r="E416" s="8">
        <v>15.82</v>
      </c>
      <c r="F416" s="3">
        <v>120.0</v>
      </c>
      <c r="G416" s="7">
        <v>45348.0</v>
      </c>
      <c r="H416" s="3" t="s">
        <v>4</v>
      </c>
      <c r="I416" s="3"/>
      <c r="J416" s="6" t="s">
        <v>92</v>
      </c>
      <c r="K416" s="3" t="s">
        <v>2614</v>
      </c>
    </row>
    <row r="417" ht="15.75" customHeight="1">
      <c r="A417" s="6" t="s">
        <v>5310</v>
      </c>
      <c r="B417" s="6" t="s">
        <v>2681</v>
      </c>
      <c r="C417" s="3" t="s">
        <v>22</v>
      </c>
      <c r="D417" s="3">
        <v>445887.0</v>
      </c>
      <c r="E417" s="8">
        <v>9.93</v>
      </c>
      <c r="F417" s="3">
        <v>24.0</v>
      </c>
      <c r="G417" s="7">
        <v>41012.0</v>
      </c>
      <c r="H417" s="3" t="s">
        <v>4</v>
      </c>
      <c r="I417" s="8">
        <v>248246.7</v>
      </c>
      <c r="J417" s="6" t="s">
        <v>92</v>
      </c>
      <c r="K417" s="3" t="s">
        <v>568</v>
      </c>
    </row>
    <row r="418" ht="15.75" customHeight="1">
      <c r="A418" s="6" t="s">
        <v>5321</v>
      </c>
      <c r="B418" s="6" t="s">
        <v>804</v>
      </c>
      <c r="C418" s="3" t="s">
        <v>13</v>
      </c>
      <c r="D418" s="3">
        <v>418121.0</v>
      </c>
      <c r="E418" s="8">
        <v>16.25</v>
      </c>
      <c r="F418" s="3">
        <v>24.0</v>
      </c>
      <c r="G418" s="7">
        <v>44944.0</v>
      </c>
      <c r="H418" s="3" t="s">
        <v>7</v>
      </c>
      <c r="I418" s="8">
        <v>54673.87</v>
      </c>
      <c r="J418" s="6" t="s">
        <v>163</v>
      </c>
      <c r="K418" s="3" t="s">
        <v>568</v>
      </c>
    </row>
    <row r="419" ht="15.75" customHeight="1">
      <c r="A419" s="6" t="s">
        <v>5387</v>
      </c>
      <c r="B419" s="6" t="s">
        <v>1022</v>
      </c>
      <c r="C419" s="3" t="s">
        <v>22</v>
      </c>
      <c r="D419" s="3">
        <v>640746.0</v>
      </c>
      <c r="E419" s="8">
        <v>11.28</v>
      </c>
      <c r="F419" s="3">
        <v>60.0</v>
      </c>
      <c r="G419" s="7">
        <v>45645.0</v>
      </c>
      <c r="H419" s="3" t="s">
        <v>5</v>
      </c>
      <c r="I419" s="8">
        <v>0.0</v>
      </c>
      <c r="J419" s="6" t="s">
        <v>179</v>
      </c>
      <c r="K419" s="3" t="s">
        <v>568</v>
      </c>
    </row>
    <row r="420" ht="15.75" customHeight="1">
      <c r="A420" s="6" t="s">
        <v>5394</v>
      </c>
      <c r="B420" s="6" t="s">
        <v>671</v>
      </c>
      <c r="C420" s="3" t="s">
        <v>22</v>
      </c>
      <c r="D420" s="3">
        <v>381434.0</v>
      </c>
      <c r="E420" s="8">
        <v>12.79</v>
      </c>
      <c r="F420" s="3">
        <v>12.0</v>
      </c>
      <c r="G420" s="7">
        <v>41454.0</v>
      </c>
      <c r="H420" s="3" t="s">
        <v>5</v>
      </c>
      <c r="I420" s="8">
        <v>0.0</v>
      </c>
      <c r="J420" s="6" t="s">
        <v>277</v>
      </c>
      <c r="K420" s="3" t="s">
        <v>568</v>
      </c>
    </row>
    <row r="421" ht="15.75" customHeight="1">
      <c r="A421" s="6" t="s">
        <v>5401</v>
      </c>
      <c r="B421" s="6" t="s">
        <v>4009</v>
      </c>
      <c r="C421" s="3" t="s">
        <v>13</v>
      </c>
      <c r="D421" s="3">
        <v>365154.0</v>
      </c>
      <c r="E421" s="8">
        <v>16.29</v>
      </c>
      <c r="F421" s="3">
        <v>60.0</v>
      </c>
      <c r="G421" s="7">
        <v>42474.0</v>
      </c>
      <c r="H421" s="3" t="s">
        <v>7</v>
      </c>
      <c r="I421" s="8">
        <v>140613.04</v>
      </c>
      <c r="J421" s="6" t="s">
        <v>352</v>
      </c>
      <c r="K421" s="3" t="s">
        <v>568</v>
      </c>
    </row>
    <row r="422" ht="15.75" customHeight="1">
      <c r="A422" s="6" t="s">
        <v>5404</v>
      </c>
      <c r="B422" s="6" t="s">
        <v>5405</v>
      </c>
      <c r="C422" s="3" t="s">
        <v>22</v>
      </c>
      <c r="D422" s="3">
        <v>840974.0</v>
      </c>
      <c r="E422" s="8">
        <v>9.41</v>
      </c>
      <c r="F422" s="3">
        <v>240.0</v>
      </c>
      <c r="G422" s="7">
        <v>44596.0</v>
      </c>
      <c r="H422" s="3" t="s">
        <v>4</v>
      </c>
      <c r="I422" s="8">
        <v>65831.18</v>
      </c>
      <c r="J422" s="6" t="s">
        <v>208</v>
      </c>
      <c r="K422" s="3" t="s">
        <v>568</v>
      </c>
    </row>
    <row r="423" ht="15.75" customHeight="1">
      <c r="A423" s="6" t="s">
        <v>5414</v>
      </c>
      <c r="B423" s="6" t="s">
        <v>3167</v>
      </c>
      <c r="C423" s="3" t="s">
        <v>13</v>
      </c>
      <c r="D423" s="3">
        <v>145490.0</v>
      </c>
      <c r="E423" s="8">
        <v>13.8</v>
      </c>
      <c r="F423" s="3">
        <v>24.0</v>
      </c>
      <c r="G423" s="7">
        <v>44746.0</v>
      </c>
      <c r="H423" s="3" t="s">
        <v>4</v>
      </c>
      <c r="I423" s="8">
        <v>117817.85</v>
      </c>
      <c r="J423" s="6" t="s">
        <v>284</v>
      </c>
      <c r="K423" s="3" t="s">
        <v>568</v>
      </c>
    </row>
    <row r="424" ht="15.75" customHeight="1">
      <c r="A424" s="6" t="s">
        <v>5422</v>
      </c>
      <c r="B424" s="6" t="s">
        <v>3260</v>
      </c>
      <c r="C424" s="3" t="s">
        <v>12</v>
      </c>
      <c r="D424" s="3">
        <v>1108366.0</v>
      </c>
      <c r="E424" s="8">
        <v>7.75</v>
      </c>
      <c r="F424" s="3">
        <v>180.0</v>
      </c>
      <c r="G424" s="7">
        <v>43428.0</v>
      </c>
      <c r="H424" s="3" t="s">
        <v>7</v>
      </c>
      <c r="I424" s="8">
        <v>314586.27</v>
      </c>
      <c r="J424" s="6" t="s">
        <v>92</v>
      </c>
      <c r="K424" s="3" t="s">
        <v>568</v>
      </c>
    </row>
    <row r="425" ht="15.75" customHeight="1">
      <c r="A425" s="6" t="s">
        <v>5430</v>
      </c>
      <c r="B425" s="6" t="s">
        <v>5432</v>
      </c>
      <c r="C425" s="3" t="s">
        <v>22</v>
      </c>
      <c r="D425" s="3">
        <v>792711.0</v>
      </c>
      <c r="E425" s="8">
        <v>13.02</v>
      </c>
      <c r="F425" s="3">
        <v>36.0</v>
      </c>
      <c r="G425" s="7">
        <v>41272.0</v>
      </c>
      <c r="H425" s="3" t="s">
        <v>7</v>
      </c>
      <c r="I425" s="8">
        <v>614079.55</v>
      </c>
      <c r="J425" s="6" t="s">
        <v>208</v>
      </c>
      <c r="K425" s="3" t="s">
        <v>568</v>
      </c>
    </row>
    <row r="426" ht="15.75" customHeight="1">
      <c r="A426" s="6" t="s">
        <v>5438</v>
      </c>
      <c r="B426" s="6" t="s">
        <v>977</v>
      </c>
      <c r="C426" s="3" t="s">
        <v>15</v>
      </c>
      <c r="D426" s="3">
        <v>3197012.0</v>
      </c>
      <c r="E426" s="8">
        <v>13.41</v>
      </c>
      <c r="F426" s="3">
        <v>24.0</v>
      </c>
      <c r="G426" s="7">
        <v>41335.0</v>
      </c>
      <c r="H426" s="3" t="s">
        <v>5</v>
      </c>
      <c r="I426" s="8">
        <v>0.0</v>
      </c>
      <c r="J426" s="6" t="s">
        <v>288</v>
      </c>
      <c r="K426" s="3" t="s">
        <v>568</v>
      </c>
    </row>
    <row r="427" ht="15.75" customHeight="1">
      <c r="A427" s="6" t="s">
        <v>5446</v>
      </c>
      <c r="B427" s="6" t="s">
        <v>1410</v>
      </c>
      <c r="C427" s="3" t="s">
        <v>15</v>
      </c>
      <c r="D427" s="3">
        <v>1991125.0</v>
      </c>
      <c r="E427" s="8">
        <v>16.15</v>
      </c>
      <c r="F427" s="3">
        <v>12.0</v>
      </c>
      <c r="G427" s="7">
        <v>43924.0</v>
      </c>
      <c r="H427" s="3" t="s">
        <v>5</v>
      </c>
      <c r="I427" s="8">
        <v>0.0</v>
      </c>
      <c r="J427" s="6" t="s">
        <v>333</v>
      </c>
      <c r="K427" s="3" t="s">
        <v>568</v>
      </c>
    </row>
    <row r="428" ht="15.75" customHeight="1">
      <c r="A428" s="6" t="s">
        <v>5455</v>
      </c>
      <c r="B428" s="6" t="s">
        <v>2258</v>
      </c>
      <c r="C428" s="3" t="s">
        <v>22</v>
      </c>
      <c r="D428" s="3">
        <v>229965.0</v>
      </c>
      <c r="E428" s="8">
        <v>8.89</v>
      </c>
      <c r="F428" s="3">
        <v>60.0</v>
      </c>
      <c r="G428" s="7">
        <v>43198.0</v>
      </c>
      <c r="H428" s="3" t="s">
        <v>4</v>
      </c>
      <c r="I428" s="3"/>
      <c r="J428" s="6" t="s">
        <v>129</v>
      </c>
      <c r="K428" s="3" t="s">
        <v>2614</v>
      </c>
    </row>
    <row r="429" ht="15.75" customHeight="1">
      <c r="A429" s="6" t="s">
        <v>5460</v>
      </c>
      <c r="B429" s="6" t="s">
        <v>3170</v>
      </c>
      <c r="C429" s="3" t="s">
        <v>12</v>
      </c>
      <c r="D429" s="3">
        <v>1570747.0</v>
      </c>
      <c r="E429" s="8">
        <v>16.06</v>
      </c>
      <c r="F429" s="3">
        <v>60.0</v>
      </c>
      <c r="G429" s="7">
        <v>43985.0</v>
      </c>
      <c r="H429" s="3" t="s">
        <v>7</v>
      </c>
      <c r="I429" s="8">
        <v>1150723.67</v>
      </c>
      <c r="J429" s="6" t="s">
        <v>179</v>
      </c>
      <c r="K429" s="3" t="s">
        <v>568</v>
      </c>
    </row>
    <row r="430" ht="15.75" customHeight="1">
      <c r="A430" s="6" t="s">
        <v>5466</v>
      </c>
      <c r="B430" s="6" t="s">
        <v>1565</v>
      </c>
      <c r="C430" s="3" t="s">
        <v>13</v>
      </c>
      <c r="D430" s="3">
        <v>438043.0</v>
      </c>
      <c r="E430" s="8">
        <v>13.24</v>
      </c>
      <c r="F430" s="3">
        <v>240.0</v>
      </c>
      <c r="G430" s="7">
        <v>41058.0</v>
      </c>
      <c r="H430" s="3" t="s">
        <v>4</v>
      </c>
      <c r="I430" s="8">
        <v>25690.01</v>
      </c>
      <c r="J430" s="6" t="s">
        <v>60</v>
      </c>
      <c r="K430" s="3" t="s">
        <v>568</v>
      </c>
    </row>
    <row r="431" ht="15.75" customHeight="1">
      <c r="A431" s="6" t="s">
        <v>5477</v>
      </c>
      <c r="B431" s="6" t="s">
        <v>3821</v>
      </c>
      <c r="C431" s="3" t="s">
        <v>13</v>
      </c>
      <c r="D431" s="3">
        <v>215427.0</v>
      </c>
      <c r="E431" s="8">
        <v>13.56</v>
      </c>
      <c r="F431" s="3">
        <v>120.0</v>
      </c>
      <c r="G431" s="7">
        <v>44965.0</v>
      </c>
      <c r="H431" s="3" t="s">
        <v>4</v>
      </c>
      <c r="I431" s="8">
        <v>55626.92</v>
      </c>
      <c r="J431" s="6" t="s">
        <v>266</v>
      </c>
      <c r="K431" s="3" t="s">
        <v>568</v>
      </c>
    </row>
    <row r="432" ht="15.75" customHeight="1">
      <c r="A432" s="6" t="s">
        <v>5484</v>
      </c>
      <c r="B432" s="6" t="s">
        <v>1924</v>
      </c>
      <c r="C432" s="3" t="s">
        <v>13</v>
      </c>
      <c r="D432" s="3">
        <v>489453.0</v>
      </c>
      <c r="E432" s="8">
        <v>16.25</v>
      </c>
      <c r="F432" s="3">
        <v>240.0</v>
      </c>
      <c r="G432" s="7">
        <v>43628.0</v>
      </c>
      <c r="H432" s="3" t="s">
        <v>4</v>
      </c>
      <c r="I432" s="8">
        <v>113960.31</v>
      </c>
      <c r="J432" s="6" t="s">
        <v>163</v>
      </c>
      <c r="K432" s="3" t="s">
        <v>568</v>
      </c>
    </row>
    <row r="433" ht="15.75" customHeight="1">
      <c r="A433" s="6" t="s">
        <v>5493</v>
      </c>
      <c r="B433" s="6" t="s">
        <v>2996</v>
      </c>
      <c r="C433" s="3" t="s">
        <v>11</v>
      </c>
      <c r="D433" s="3">
        <v>1306795.0</v>
      </c>
      <c r="E433" s="8">
        <v>13.94</v>
      </c>
      <c r="F433" s="3">
        <v>84.0</v>
      </c>
      <c r="G433" s="7">
        <v>42270.0</v>
      </c>
      <c r="H433" s="3" t="s">
        <v>4</v>
      </c>
      <c r="I433" s="8">
        <v>72619.16</v>
      </c>
      <c r="J433" s="6" t="s">
        <v>234</v>
      </c>
      <c r="K433" s="3" t="s">
        <v>568</v>
      </c>
    </row>
    <row r="434" ht="15.75" customHeight="1">
      <c r="A434" s="6" t="s">
        <v>5500</v>
      </c>
      <c r="B434" s="6" t="s">
        <v>2279</v>
      </c>
      <c r="C434" s="3" t="s">
        <v>10</v>
      </c>
      <c r="D434" s="3">
        <v>878052.0</v>
      </c>
      <c r="E434" s="8">
        <v>7.95</v>
      </c>
      <c r="F434" s="3">
        <v>12.0</v>
      </c>
      <c r="G434" s="7">
        <v>44400.0</v>
      </c>
      <c r="H434" s="3" t="s">
        <v>7</v>
      </c>
      <c r="I434" s="8">
        <v>139929.91</v>
      </c>
      <c r="J434" s="6" t="s">
        <v>333</v>
      </c>
      <c r="K434" s="3" t="s">
        <v>568</v>
      </c>
    </row>
    <row r="435" ht="15.75" customHeight="1">
      <c r="A435" s="6" t="s">
        <v>5508</v>
      </c>
      <c r="B435" s="6" t="s">
        <v>4437</v>
      </c>
      <c r="C435" s="3" t="s">
        <v>10</v>
      </c>
      <c r="D435" s="3">
        <v>1233839.0</v>
      </c>
      <c r="E435" s="8">
        <v>15.21</v>
      </c>
      <c r="F435" s="3">
        <v>60.0</v>
      </c>
      <c r="G435" s="7">
        <v>43385.0</v>
      </c>
      <c r="H435" s="3" t="s">
        <v>4</v>
      </c>
      <c r="I435" s="8">
        <v>999892.5</v>
      </c>
      <c r="J435" s="6" t="s">
        <v>352</v>
      </c>
      <c r="K435" s="3" t="s">
        <v>568</v>
      </c>
    </row>
    <row r="436" ht="15.75" customHeight="1">
      <c r="A436" s="6" t="s">
        <v>5516</v>
      </c>
      <c r="B436" s="6" t="s">
        <v>2649</v>
      </c>
      <c r="C436" s="3" t="s">
        <v>11</v>
      </c>
      <c r="D436" s="3">
        <v>656341.0</v>
      </c>
      <c r="E436" s="8">
        <v>16.16</v>
      </c>
      <c r="F436" s="3">
        <v>120.0</v>
      </c>
      <c r="G436" s="7">
        <v>44097.0</v>
      </c>
      <c r="H436" s="3" t="s">
        <v>5</v>
      </c>
      <c r="I436" s="8">
        <v>0.0</v>
      </c>
      <c r="J436" s="6" t="s">
        <v>197</v>
      </c>
      <c r="K436" s="3" t="s">
        <v>568</v>
      </c>
    </row>
    <row r="437" ht="15.75" customHeight="1">
      <c r="A437" s="6" t="s">
        <v>5525</v>
      </c>
      <c r="B437" s="6" t="s">
        <v>5526</v>
      </c>
      <c r="C437" s="3" t="s">
        <v>12</v>
      </c>
      <c r="D437" s="3">
        <v>1551247.0</v>
      </c>
      <c r="E437" s="8">
        <v>14.26</v>
      </c>
      <c r="F437" s="3">
        <v>240.0</v>
      </c>
      <c r="G437" s="7">
        <v>44033.0</v>
      </c>
      <c r="H437" s="3" t="s">
        <v>5</v>
      </c>
      <c r="I437" s="8">
        <v>0.0</v>
      </c>
      <c r="J437" s="6" t="s">
        <v>80</v>
      </c>
      <c r="K437" s="3" t="s">
        <v>568</v>
      </c>
    </row>
    <row r="438" ht="15.75" customHeight="1">
      <c r="A438" s="6" t="s">
        <v>5532</v>
      </c>
      <c r="B438" s="6" t="s">
        <v>5533</v>
      </c>
      <c r="C438" s="3" t="s">
        <v>22</v>
      </c>
      <c r="D438" s="3">
        <v>798809.0</v>
      </c>
      <c r="E438" s="8">
        <v>10.27</v>
      </c>
      <c r="F438" s="3">
        <v>84.0</v>
      </c>
      <c r="G438" s="7">
        <v>42962.0</v>
      </c>
      <c r="H438" s="3" t="s">
        <v>4</v>
      </c>
      <c r="I438" s="8">
        <v>340957.17</v>
      </c>
      <c r="J438" s="6" t="s">
        <v>301</v>
      </c>
      <c r="K438" s="3" t="s">
        <v>568</v>
      </c>
    </row>
    <row r="439" ht="15.75" customHeight="1">
      <c r="A439" s="6" t="s">
        <v>5540</v>
      </c>
      <c r="B439" s="6" t="s">
        <v>1302</v>
      </c>
      <c r="C439" s="3" t="s">
        <v>10</v>
      </c>
      <c r="D439" s="3">
        <v>677036.0</v>
      </c>
      <c r="E439" s="8">
        <v>8.76</v>
      </c>
      <c r="F439" s="3">
        <v>180.0</v>
      </c>
      <c r="G439" s="7">
        <v>41337.0</v>
      </c>
      <c r="H439" s="3" t="s">
        <v>4</v>
      </c>
      <c r="I439" s="8">
        <v>446138.75</v>
      </c>
      <c r="J439" s="6" t="s">
        <v>97</v>
      </c>
      <c r="K439" s="3" t="s">
        <v>568</v>
      </c>
    </row>
    <row r="440" ht="15.75" customHeight="1">
      <c r="A440" s="6" t="s">
        <v>5544</v>
      </c>
      <c r="B440" s="6" t="s">
        <v>233</v>
      </c>
      <c r="C440" s="3" t="s">
        <v>10</v>
      </c>
      <c r="D440" s="3">
        <v>411805.0</v>
      </c>
      <c r="E440" s="8">
        <v>12.86</v>
      </c>
      <c r="F440" s="3">
        <v>24.0</v>
      </c>
      <c r="G440" s="7">
        <v>42694.0</v>
      </c>
      <c r="H440" s="3" t="s">
        <v>4</v>
      </c>
      <c r="I440" s="8">
        <v>269426.22</v>
      </c>
      <c r="J440" s="6" t="s">
        <v>352</v>
      </c>
      <c r="K440" s="3" t="s">
        <v>568</v>
      </c>
    </row>
    <row r="441" ht="15.75" customHeight="1">
      <c r="A441" s="6" t="s">
        <v>5551</v>
      </c>
      <c r="B441" s="6" t="s">
        <v>1017</v>
      </c>
      <c r="C441" s="3" t="s">
        <v>13</v>
      </c>
      <c r="D441" s="3">
        <v>132423.0</v>
      </c>
      <c r="E441" s="8">
        <v>8.98</v>
      </c>
      <c r="F441" s="3">
        <v>24.0</v>
      </c>
      <c r="G441" s="7">
        <v>43269.0</v>
      </c>
      <c r="H441" s="3" t="s">
        <v>5</v>
      </c>
      <c r="I441" s="8">
        <v>0.0</v>
      </c>
      <c r="J441" s="6" t="s">
        <v>97</v>
      </c>
      <c r="K441" s="3" t="s">
        <v>568</v>
      </c>
    </row>
    <row r="442" ht="15.75" customHeight="1">
      <c r="A442" s="6" t="s">
        <v>5557</v>
      </c>
      <c r="B442" s="6" t="s">
        <v>2074</v>
      </c>
      <c r="C442" s="3" t="s">
        <v>22</v>
      </c>
      <c r="D442" s="3">
        <v>97498.0</v>
      </c>
      <c r="E442" s="8">
        <v>13.87</v>
      </c>
      <c r="F442" s="3">
        <v>12.0</v>
      </c>
      <c r="G442" s="7">
        <v>41264.0</v>
      </c>
      <c r="H442" s="3" t="s">
        <v>4</v>
      </c>
      <c r="I442" s="8">
        <v>45192.5</v>
      </c>
      <c r="J442" s="6" t="s">
        <v>80</v>
      </c>
      <c r="K442" s="3" t="s">
        <v>568</v>
      </c>
    </row>
    <row r="443" ht="15.75" customHeight="1">
      <c r="A443" s="6" t="s">
        <v>5566</v>
      </c>
      <c r="B443" s="6" t="s">
        <v>653</v>
      </c>
      <c r="C443" s="3" t="s">
        <v>15</v>
      </c>
      <c r="D443" s="3">
        <v>8495449.0</v>
      </c>
      <c r="E443" s="8">
        <v>14.53</v>
      </c>
      <c r="F443" s="3">
        <v>36.0</v>
      </c>
      <c r="G443" s="7">
        <v>41185.0</v>
      </c>
      <c r="H443" s="3" t="s">
        <v>4</v>
      </c>
      <c r="I443" s="8">
        <v>6709923.64</v>
      </c>
      <c r="J443" s="6" t="s">
        <v>352</v>
      </c>
      <c r="K443" s="3" t="s">
        <v>568</v>
      </c>
    </row>
    <row r="444" ht="15.75" customHeight="1">
      <c r="A444" s="6" t="s">
        <v>5570</v>
      </c>
      <c r="B444" s="6" t="s">
        <v>5293</v>
      </c>
      <c r="C444" s="3" t="s">
        <v>10</v>
      </c>
      <c r="D444" s="3">
        <v>1172462.0</v>
      </c>
      <c r="E444" s="8">
        <v>15.54</v>
      </c>
      <c r="F444" s="3">
        <v>24.0</v>
      </c>
      <c r="G444" s="7">
        <v>43145.0</v>
      </c>
      <c r="H444" s="3" t="s">
        <v>7</v>
      </c>
      <c r="I444" s="8">
        <v>328799.93</v>
      </c>
      <c r="J444" s="6" t="s">
        <v>277</v>
      </c>
      <c r="K444" s="3" t="s">
        <v>568</v>
      </c>
    </row>
    <row r="445" ht="15.75" customHeight="1">
      <c r="A445" s="6" t="s">
        <v>5580</v>
      </c>
      <c r="B445" s="6" t="s">
        <v>1403</v>
      </c>
      <c r="C445" s="3" t="s">
        <v>11</v>
      </c>
      <c r="D445" s="3">
        <v>3922104.0</v>
      </c>
      <c r="E445" s="8">
        <v>13.87</v>
      </c>
      <c r="F445" s="3">
        <v>12.0</v>
      </c>
      <c r="G445" s="7">
        <v>41084.0</v>
      </c>
      <c r="H445" s="3" t="s">
        <v>7</v>
      </c>
      <c r="I445" s="8">
        <v>890362.72</v>
      </c>
      <c r="J445" s="6" t="s">
        <v>109</v>
      </c>
      <c r="K445" s="3" t="s">
        <v>568</v>
      </c>
    </row>
    <row r="446" ht="15.75" customHeight="1">
      <c r="A446" s="6" t="s">
        <v>5589</v>
      </c>
      <c r="B446" s="6" t="s">
        <v>667</v>
      </c>
      <c r="C446" s="3" t="s">
        <v>12</v>
      </c>
      <c r="D446" s="3">
        <v>1651056.0</v>
      </c>
      <c r="E446" s="8">
        <v>16.44</v>
      </c>
      <c r="F446" s="3">
        <v>84.0</v>
      </c>
      <c r="G446" s="7">
        <v>44058.0</v>
      </c>
      <c r="H446" s="3" t="s">
        <v>5</v>
      </c>
      <c r="I446" s="8">
        <v>0.0</v>
      </c>
      <c r="J446" s="6" t="s">
        <v>385</v>
      </c>
      <c r="K446" s="3" t="s">
        <v>568</v>
      </c>
    </row>
    <row r="447" ht="15.75" customHeight="1">
      <c r="A447" s="6" t="s">
        <v>5596</v>
      </c>
      <c r="B447" s="6" t="s">
        <v>593</v>
      </c>
      <c r="C447" s="3" t="s">
        <v>11</v>
      </c>
      <c r="D447" s="3">
        <v>2052309.0</v>
      </c>
      <c r="E447" s="8">
        <v>16.01</v>
      </c>
      <c r="F447" s="3">
        <v>180.0</v>
      </c>
      <c r="G447" s="7">
        <v>45484.0</v>
      </c>
      <c r="H447" s="3" t="s">
        <v>4</v>
      </c>
      <c r="I447" s="8">
        <v>767134.49</v>
      </c>
      <c r="J447" s="6" t="s">
        <v>311</v>
      </c>
      <c r="K447" s="3" t="s">
        <v>568</v>
      </c>
    </row>
    <row r="448" ht="15.75" customHeight="1">
      <c r="A448" s="6" t="s">
        <v>5603</v>
      </c>
      <c r="B448" s="6" t="s">
        <v>2374</v>
      </c>
      <c r="C448" s="3" t="s">
        <v>10</v>
      </c>
      <c r="D448" s="3">
        <v>1342174.0</v>
      </c>
      <c r="E448" s="8">
        <v>10.62</v>
      </c>
      <c r="F448" s="3">
        <v>180.0</v>
      </c>
      <c r="G448" s="7">
        <v>42418.0</v>
      </c>
      <c r="H448" s="3" t="s">
        <v>5</v>
      </c>
      <c r="I448" s="8">
        <v>0.0</v>
      </c>
      <c r="J448" s="6" t="s">
        <v>60</v>
      </c>
      <c r="K448" s="3" t="s">
        <v>568</v>
      </c>
    </row>
    <row r="449" ht="15.75" customHeight="1">
      <c r="A449" s="6" t="s">
        <v>5608</v>
      </c>
      <c r="B449" s="6" t="s">
        <v>1910</v>
      </c>
      <c r="C449" s="3" t="s">
        <v>10</v>
      </c>
      <c r="D449" s="3">
        <v>1298458.0</v>
      </c>
      <c r="E449" s="8">
        <v>13.1</v>
      </c>
      <c r="F449" s="3">
        <v>36.0</v>
      </c>
      <c r="G449" s="7">
        <v>42488.0</v>
      </c>
      <c r="H449" s="3" t="s">
        <v>7</v>
      </c>
      <c r="I449" s="8">
        <v>38014.09</v>
      </c>
      <c r="J449" s="6" t="s">
        <v>80</v>
      </c>
      <c r="K449" s="3" t="s">
        <v>568</v>
      </c>
    </row>
    <row r="450" ht="15.75" customHeight="1">
      <c r="A450" s="6" t="s">
        <v>5613</v>
      </c>
      <c r="B450" s="6" t="s">
        <v>4927</v>
      </c>
      <c r="C450" s="3" t="s">
        <v>12</v>
      </c>
      <c r="D450" s="3">
        <v>961926.0</v>
      </c>
      <c r="E450" s="8">
        <v>14.05</v>
      </c>
      <c r="F450" s="3">
        <v>120.0</v>
      </c>
      <c r="G450" s="7">
        <v>45421.0</v>
      </c>
      <c r="H450" s="3" t="s">
        <v>5</v>
      </c>
      <c r="I450" s="8">
        <v>0.0</v>
      </c>
      <c r="J450" s="6" t="s">
        <v>234</v>
      </c>
      <c r="K450" s="3" t="s">
        <v>568</v>
      </c>
    </row>
    <row r="451" ht="15.75" customHeight="1">
      <c r="A451" s="6" t="s">
        <v>5625</v>
      </c>
      <c r="B451" s="6" t="s">
        <v>2583</v>
      </c>
      <c r="C451" s="3" t="s">
        <v>15</v>
      </c>
      <c r="D451" s="3">
        <v>4220050.0</v>
      </c>
      <c r="E451" s="8">
        <v>8.62</v>
      </c>
      <c r="F451" s="3">
        <v>36.0</v>
      </c>
      <c r="G451" s="7">
        <v>45593.0</v>
      </c>
      <c r="H451" s="3" t="s">
        <v>4</v>
      </c>
      <c r="I451" s="8">
        <v>570269.13</v>
      </c>
      <c r="J451" s="6" t="s">
        <v>401</v>
      </c>
      <c r="K451" s="3" t="s">
        <v>568</v>
      </c>
    </row>
    <row r="452" ht="15.75" customHeight="1">
      <c r="A452" s="6" t="s">
        <v>5631</v>
      </c>
      <c r="B452" s="6" t="s">
        <v>4366</v>
      </c>
      <c r="C452" s="3" t="s">
        <v>11</v>
      </c>
      <c r="D452" s="3">
        <v>712454.0</v>
      </c>
      <c r="E452" s="8">
        <v>11.53</v>
      </c>
      <c r="F452" s="3">
        <v>120.0</v>
      </c>
      <c r="G452" s="7">
        <v>44732.0</v>
      </c>
      <c r="H452" s="3" t="s">
        <v>5</v>
      </c>
      <c r="I452" s="8">
        <v>0.0</v>
      </c>
      <c r="J452" s="6" t="s">
        <v>352</v>
      </c>
      <c r="K452" s="3" t="s">
        <v>568</v>
      </c>
    </row>
    <row r="453" ht="15.75" customHeight="1">
      <c r="A453" s="6" t="s">
        <v>5637</v>
      </c>
      <c r="B453" s="6" t="s">
        <v>3150</v>
      </c>
      <c r="C453" s="3" t="s">
        <v>10</v>
      </c>
      <c r="D453" s="3">
        <v>595137.0</v>
      </c>
      <c r="E453" s="8">
        <v>14.13</v>
      </c>
      <c r="F453" s="3">
        <v>24.0</v>
      </c>
      <c r="G453" s="7">
        <v>44255.0</v>
      </c>
      <c r="H453" s="3" t="s">
        <v>4</v>
      </c>
      <c r="I453" s="8">
        <v>447108.03</v>
      </c>
      <c r="J453" s="6" t="s">
        <v>221</v>
      </c>
      <c r="K453" s="3" t="s">
        <v>568</v>
      </c>
    </row>
    <row r="454" ht="15.75" customHeight="1">
      <c r="A454" s="6" t="s">
        <v>5647</v>
      </c>
      <c r="B454" s="6" t="s">
        <v>2836</v>
      </c>
      <c r="C454" s="3" t="s">
        <v>11</v>
      </c>
      <c r="D454" s="3">
        <v>3120889.0</v>
      </c>
      <c r="E454" s="8">
        <v>12.78</v>
      </c>
      <c r="F454" s="3">
        <v>12.0</v>
      </c>
      <c r="G454" s="7">
        <v>45420.0</v>
      </c>
      <c r="H454" s="3" t="s">
        <v>5</v>
      </c>
      <c r="I454" s="8">
        <v>0.0</v>
      </c>
      <c r="J454" s="6" t="s">
        <v>60</v>
      </c>
      <c r="K454" s="3" t="s">
        <v>568</v>
      </c>
    </row>
    <row r="455" ht="15.75" customHeight="1">
      <c r="A455" s="6" t="s">
        <v>5651</v>
      </c>
      <c r="B455" s="6" t="s">
        <v>2266</v>
      </c>
      <c r="C455" s="3" t="s">
        <v>10</v>
      </c>
      <c r="D455" s="3">
        <v>651309.0</v>
      </c>
      <c r="E455" s="8">
        <v>14.05</v>
      </c>
      <c r="F455" s="3">
        <v>36.0</v>
      </c>
      <c r="G455" s="7">
        <v>44233.0</v>
      </c>
      <c r="H455" s="3" t="s">
        <v>5</v>
      </c>
      <c r="I455" s="8">
        <v>0.0</v>
      </c>
      <c r="J455" s="6" t="s">
        <v>60</v>
      </c>
      <c r="K455" s="3" t="s">
        <v>568</v>
      </c>
    </row>
    <row r="456" ht="15.75" customHeight="1">
      <c r="A456" s="6" t="s">
        <v>5656</v>
      </c>
      <c r="B456" s="6" t="s">
        <v>2569</v>
      </c>
      <c r="C456" s="3" t="s">
        <v>22</v>
      </c>
      <c r="D456" s="3">
        <v>431900.0</v>
      </c>
      <c r="E456" s="8">
        <v>7.51</v>
      </c>
      <c r="F456" s="3">
        <v>60.0</v>
      </c>
      <c r="G456" s="7">
        <v>42865.0</v>
      </c>
      <c r="H456" s="3" t="s">
        <v>5</v>
      </c>
      <c r="I456" s="8">
        <v>0.0</v>
      </c>
      <c r="J456" s="6" t="s">
        <v>266</v>
      </c>
      <c r="K456" s="3" t="s">
        <v>568</v>
      </c>
    </row>
    <row r="457" ht="15.75" customHeight="1">
      <c r="A457" s="6" t="s">
        <v>5666</v>
      </c>
      <c r="B457" s="6" t="s">
        <v>3606</v>
      </c>
      <c r="C457" s="3" t="s">
        <v>12</v>
      </c>
      <c r="D457" s="3">
        <v>1261163.0</v>
      </c>
      <c r="E457" s="8">
        <v>15.95</v>
      </c>
      <c r="F457" s="3">
        <v>180.0</v>
      </c>
      <c r="G457" s="7">
        <v>40952.0</v>
      </c>
      <c r="H457" s="3" t="s">
        <v>4</v>
      </c>
      <c r="I457" s="8">
        <v>101894.81</v>
      </c>
      <c r="J457" s="6" t="s">
        <v>311</v>
      </c>
      <c r="K457" s="3" t="s">
        <v>568</v>
      </c>
    </row>
    <row r="458" ht="15.75" customHeight="1">
      <c r="A458" s="6" t="s">
        <v>5675</v>
      </c>
      <c r="B458" s="6" t="s">
        <v>5676</v>
      </c>
      <c r="C458" s="3" t="s">
        <v>13</v>
      </c>
      <c r="D458" s="3">
        <v>490230.0</v>
      </c>
      <c r="E458" s="8">
        <v>9.04</v>
      </c>
      <c r="F458" s="3">
        <v>240.0</v>
      </c>
      <c r="G458" s="7">
        <v>44463.0</v>
      </c>
      <c r="H458" s="3" t="s">
        <v>5</v>
      </c>
      <c r="I458" s="8">
        <v>0.0</v>
      </c>
      <c r="J458" s="6" t="s">
        <v>277</v>
      </c>
      <c r="K458" s="3" t="s">
        <v>568</v>
      </c>
    </row>
    <row r="459" ht="15.75" customHeight="1">
      <c r="A459" s="6" t="s">
        <v>5685</v>
      </c>
      <c r="B459" s="6" t="s">
        <v>5687</v>
      </c>
      <c r="C459" s="3" t="s">
        <v>10</v>
      </c>
      <c r="D459" s="3">
        <v>915689.0</v>
      </c>
      <c r="E459" s="8">
        <v>16.39</v>
      </c>
      <c r="F459" s="3">
        <v>60.0</v>
      </c>
      <c r="G459" s="7">
        <v>43024.0</v>
      </c>
      <c r="H459" s="3" t="s">
        <v>7</v>
      </c>
      <c r="I459" s="8">
        <v>653506.49</v>
      </c>
      <c r="J459" s="6" t="s">
        <v>262</v>
      </c>
      <c r="K459" s="3" t="s">
        <v>568</v>
      </c>
    </row>
    <row r="460" ht="15.75" customHeight="1">
      <c r="A460" s="6" t="s">
        <v>5695</v>
      </c>
      <c r="B460" s="6" t="s">
        <v>2873</v>
      </c>
      <c r="C460" s="3" t="s">
        <v>15</v>
      </c>
      <c r="D460" s="3">
        <v>7069934.0</v>
      </c>
      <c r="E460" s="8">
        <v>15.44</v>
      </c>
      <c r="F460" s="3">
        <v>120.0</v>
      </c>
      <c r="G460" s="7">
        <v>41243.0</v>
      </c>
      <c r="H460" s="3" t="s">
        <v>4</v>
      </c>
      <c r="I460" s="8">
        <v>1444046.11</v>
      </c>
      <c r="J460" s="6" t="s">
        <v>323</v>
      </c>
      <c r="K460" s="3" t="s">
        <v>568</v>
      </c>
    </row>
    <row r="461" ht="15.75" customHeight="1">
      <c r="A461" s="6" t="s">
        <v>5701</v>
      </c>
      <c r="B461" s="6" t="s">
        <v>3497</v>
      </c>
      <c r="C461" s="3" t="s">
        <v>10</v>
      </c>
      <c r="D461" s="3">
        <v>789005.0</v>
      </c>
      <c r="E461" s="8">
        <v>9.37</v>
      </c>
      <c r="F461" s="3">
        <v>180.0</v>
      </c>
      <c r="G461" s="7">
        <v>41391.0</v>
      </c>
      <c r="H461" s="3" t="s">
        <v>4</v>
      </c>
      <c r="I461" s="8">
        <v>638937.44</v>
      </c>
      <c r="J461" s="6" t="s">
        <v>311</v>
      </c>
      <c r="K461" s="3" t="s">
        <v>568</v>
      </c>
    </row>
    <row r="462" ht="15.75" customHeight="1">
      <c r="A462" s="6" t="s">
        <v>5707</v>
      </c>
      <c r="B462" s="6" t="s">
        <v>2749</v>
      </c>
      <c r="C462" s="3" t="s">
        <v>13</v>
      </c>
      <c r="D462" s="3">
        <v>217040.0</v>
      </c>
      <c r="E462" s="8">
        <v>16.34</v>
      </c>
      <c r="F462" s="3">
        <v>84.0</v>
      </c>
      <c r="G462" s="7">
        <v>42813.0</v>
      </c>
      <c r="H462" s="3" t="s">
        <v>7</v>
      </c>
      <c r="I462" s="8">
        <v>15625.03</v>
      </c>
      <c r="J462" s="6" t="s">
        <v>109</v>
      </c>
      <c r="K462" s="3" t="s">
        <v>568</v>
      </c>
    </row>
    <row r="463" ht="15.75" customHeight="1">
      <c r="A463" s="6" t="s">
        <v>5714</v>
      </c>
      <c r="B463" s="6" t="s">
        <v>1650</v>
      </c>
      <c r="C463" s="3" t="s">
        <v>10</v>
      </c>
      <c r="D463" s="3">
        <v>412561.0</v>
      </c>
      <c r="E463" s="8">
        <v>9.4</v>
      </c>
      <c r="F463" s="3">
        <v>84.0</v>
      </c>
      <c r="G463" s="7">
        <v>44443.0</v>
      </c>
      <c r="H463" s="3" t="s">
        <v>7</v>
      </c>
      <c r="I463" s="8">
        <v>84447.69</v>
      </c>
      <c r="J463" s="6" t="s">
        <v>60</v>
      </c>
      <c r="K463" s="3" t="s">
        <v>568</v>
      </c>
    </row>
    <row r="464" ht="15.75" customHeight="1">
      <c r="A464" s="6" t="s">
        <v>5724</v>
      </c>
      <c r="B464" s="6" t="s">
        <v>2564</v>
      </c>
      <c r="C464" s="3" t="s">
        <v>13</v>
      </c>
      <c r="D464" s="3">
        <v>164671.0</v>
      </c>
      <c r="E464" s="8">
        <v>11.6</v>
      </c>
      <c r="F464" s="3">
        <v>36.0</v>
      </c>
      <c r="G464" s="7">
        <v>44064.0</v>
      </c>
      <c r="H464" s="3" t="s">
        <v>4</v>
      </c>
      <c r="I464" s="8">
        <v>50244.4</v>
      </c>
      <c r="J464" s="6" t="s">
        <v>163</v>
      </c>
      <c r="K464" s="3" t="s">
        <v>568</v>
      </c>
    </row>
    <row r="465" ht="15.75" customHeight="1">
      <c r="A465" s="6" t="s">
        <v>5731</v>
      </c>
      <c r="B465" s="6" t="s">
        <v>4670</v>
      </c>
      <c r="C465" s="3" t="s">
        <v>15</v>
      </c>
      <c r="D465" s="3">
        <v>2023864.0</v>
      </c>
      <c r="E465" s="8">
        <v>11.77</v>
      </c>
      <c r="F465" s="3">
        <v>24.0</v>
      </c>
      <c r="G465" s="7">
        <v>41503.0</v>
      </c>
      <c r="H465" s="3" t="s">
        <v>7</v>
      </c>
      <c r="I465" s="8">
        <v>215339.45</v>
      </c>
      <c r="J465" s="6" t="s">
        <v>245</v>
      </c>
      <c r="K465" s="3" t="s">
        <v>568</v>
      </c>
    </row>
    <row r="466" ht="15.75" customHeight="1">
      <c r="A466" s="6" t="s">
        <v>5739</v>
      </c>
      <c r="B466" s="6" t="s">
        <v>3939</v>
      </c>
      <c r="C466" s="3" t="s">
        <v>12</v>
      </c>
      <c r="D466" s="3">
        <v>1764255.0</v>
      </c>
      <c r="E466" s="8">
        <v>8.69</v>
      </c>
      <c r="F466" s="3">
        <v>120.0</v>
      </c>
      <c r="G466" s="7">
        <v>41762.0</v>
      </c>
      <c r="H466" s="3" t="s">
        <v>5</v>
      </c>
      <c r="I466" s="8">
        <v>0.0</v>
      </c>
      <c r="J466" s="6" t="s">
        <v>129</v>
      </c>
      <c r="K466" s="3" t="s">
        <v>568</v>
      </c>
    </row>
    <row r="467" ht="15.75" customHeight="1">
      <c r="A467" s="6" t="s">
        <v>5749</v>
      </c>
      <c r="B467" s="6" t="s">
        <v>2284</v>
      </c>
      <c r="C467" s="3" t="s">
        <v>12</v>
      </c>
      <c r="D467" s="3">
        <v>980443.0</v>
      </c>
      <c r="E467" s="8">
        <v>9.21</v>
      </c>
      <c r="F467" s="3">
        <v>240.0</v>
      </c>
      <c r="G467" s="7">
        <v>41232.0</v>
      </c>
      <c r="H467" s="3" t="s">
        <v>5</v>
      </c>
      <c r="I467" s="8">
        <v>0.0</v>
      </c>
      <c r="J467" s="6" t="s">
        <v>221</v>
      </c>
      <c r="K467" s="3" t="s">
        <v>568</v>
      </c>
    </row>
    <row r="468" ht="15.75" customHeight="1">
      <c r="A468" s="6" t="s">
        <v>5758</v>
      </c>
      <c r="B468" s="6" t="s">
        <v>1161</v>
      </c>
      <c r="C468" s="3" t="s">
        <v>15</v>
      </c>
      <c r="D468" s="3">
        <v>3451255.0</v>
      </c>
      <c r="E468" s="8">
        <v>14.43</v>
      </c>
      <c r="F468" s="3">
        <v>180.0</v>
      </c>
      <c r="G468" s="7">
        <v>45320.0</v>
      </c>
      <c r="H468" s="3" t="s">
        <v>5</v>
      </c>
      <c r="I468" s="8">
        <v>0.0</v>
      </c>
      <c r="J468" s="6" t="s">
        <v>245</v>
      </c>
      <c r="K468" s="3" t="s">
        <v>568</v>
      </c>
    </row>
    <row r="469" ht="15.75" customHeight="1">
      <c r="A469" s="6" t="s">
        <v>5771</v>
      </c>
      <c r="B469" s="6" t="s">
        <v>711</v>
      </c>
      <c r="C469" s="3" t="s">
        <v>22</v>
      </c>
      <c r="D469" s="3">
        <v>673977.0</v>
      </c>
      <c r="E469" s="8">
        <v>10.91</v>
      </c>
      <c r="F469" s="3">
        <v>120.0</v>
      </c>
      <c r="G469" s="7">
        <v>44778.0</v>
      </c>
      <c r="H469" s="3" t="s">
        <v>4</v>
      </c>
      <c r="I469" s="8">
        <v>272529.11</v>
      </c>
      <c r="J469" s="6" t="s">
        <v>284</v>
      </c>
      <c r="K469" s="3" t="s">
        <v>568</v>
      </c>
    </row>
    <row r="470" ht="15.75" customHeight="1">
      <c r="A470" s="6" t="s">
        <v>5775</v>
      </c>
      <c r="B470" s="6" t="s">
        <v>2767</v>
      </c>
      <c r="C470" s="3" t="s">
        <v>12</v>
      </c>
      <c r="D470" s="3">
        <v>631784.0</v>
      </c>
      <c r="E470" s="8">
        <v>8.11</v>
      </c>
      <c r="F470" s="3">
        <v>120.0</v>
      </c>
      <c r="G470" s="7">
        <v>42616.0</v>
      </c>
      <c r="H470" s="3" t="s">
        <v>4</v>
      </c>
      <c r="I470" s="8">
        <v>16234.25</v>
      </c>
      <c r="J470" s="6" t="s">
        <v>80</v>
      </c>
      <c r="K470" s="3" t="s">
        <v>568</v>
      </c>
    </row>
    <row r="471" ht="15.75" customHeight="1">
      <c r="A471" s="6" t="s">
        <v>5780</v>
      </c>
      <c r="B471" s="6" t="s">
        <v>2009</v>
      </c>
      <c r="C471" s="3" t="s">
        <v>11</v>
      </c>
      <c r="D471" s="3">
        <v>1909232.0</v>
      </c>
      <c r="E471" s="8">
        <v>15.07</v>
      </c>
      <c r="F471" s="3">
        <v>120.0</v>
      </c>
      <c r="G471" s="7">
        <v>43462.0</v>
      </c>
      <c r="H471" s="3" t="s">
        <v>7</v>
      </c>
      <c r="I471" s="8">
        <v>97441.18</v>
      </c>
      <c r="J471" s="6" t="s">
        <v>179</v>
      </c>
      <c r="K471" s="3" t="s">
        <v>568</v>
      </c>
    </row>
    <row r="472" ht="15.75" customHeight="1">
      <c r="A472" s="6" t="s">
        <v>5790</v>
      </c>
      <c r="B472" s="6" t="s">
        <v>4389</v>
      </c>
      <c r="C472" s="3" t="s">
        <v>15</v>
      </c>
      <c r="D472" s="3">
        <v>4374040.0</v>
      </c>
      <c r="E472" s="8">
        <v>15.34</v>
      </c>
      <c r="F472" s="3">
        <v>36.0</v>
      </c>
      <c r="G472" s="7">
        <v>45563.0</v>
      </c>
      <c r="H472" s="3" t="s">
        <v>4</v>
      </c>
      <c r="I472" s="8">
        <v>1965841.06</v>
      </c>
      <c r="J472" s="6" t="s">
        <v>323</v>
      </c>
      <c r="K472" s="3" t="s">
        <v>568</v>
      </c>
    </row>
    <row r="473" ht="15.75" customHeight="1">
      <c r="A473" s="6" t="s">
        <v>5798</v>
      </c>
      <c r="B473" s="6" t="s">
        <v>1462</v>
      </c>
      <c r="C473" s="3" t="s">
        <v>15</v>
      </c>
      <c r="D473" s="3">
        <v>5445228.0</v>
      </c>
      <c r="E473" s="8">
        <v>12.97</v>
      </c>
      <c r="F473" s="3">
        <v>36.0</v>
      </c>
      <c r="G473" s="7">
        <v>44061.0</v>
      </c>
      <c r="H473" s="3" t="s">
        <v>5</v>
      </c>
      <c r="I473" s="8">
        <v>0.0</v>
      </c>
      <c r="J473" s="6" t="s">
        <v>146</v>
      </c>
      <c r="K473" s="3" t="s">
        <v>568</v>
      </c>
    </row>
    <row r="474" ht="15.75" customHeight="1">
      <c r="A474" s="6" t="s">
        <v>5808</v>
      </c>
      <c r="B474" s="6" t="s">
        <v>3246</v>
      </c>
      <c r="C474" s="3" t="s">
        <v>22</v>
      </c>
      <c r="D474" s="3">
        <v>578601.0</v>
      </c>
      <c r="E474" s="8">
        <v>15.65</v>
      </c>
      <c r="F474" s="3">
        <v>24.0</v>
      </c>
      <c r="G474" s="7">
        <v>42264.0</v>
      </c>
      <c r="H474" s="3" t="s">
        <v>4</v>
      </c>
      <c r="I474" s="8">
        <v>226016.42</v>
      </c>
      <c r="J474" s="6" t="s">
        <v>97</v>
      </c>
      <c r="K474" s="3" t="s">
        <v>568</v>
      </c>
    </row>
    <row r="475" ht="15.75" customHeight="1">
      <c r="A475" s="6" t="s">
        <v>5815</v>
      </c>
      <c r="B475" s="6" t="s">
        <v>3336</v>
      </c>
      <c r="C475" s="3" t="s">
        <v>15</v>
      </c>
      <c r="D475" s="3">
        <v>7272450.0</v>
      </c>
      <c r="E475" s="8">
        <v>7.88</v>
      </c>
      <c r="F475" s="3">
        <v>240.0</v>
      </c>
      <c r="G475" s="7">
        <v>44373.0</v>
      </c>
      <c r="H475" s="3" t="s">
        <v>7</v>
      </c>
      <c r="I475" s="8">
        <v>3076706.31</v>
      </c>
      <c r="J475" s="6" t="s">
        <v>97</v>
      </c>
      <c r="K475" s="3" t="s">
        <v>568</v>
      </c>
    </row>
    <row r="476" ht="15.75" customHeight="1">
      <c r="A476" s="6" t="s">
        <v>5821</v>
      </c>
      <c r="B476" s="6" t="s">
        <v>1371</v>
      </c>
      <c r="C476" s="3" t="s">
        <v>15</v>
      </c>
      <c r="D476" s="3">
        <v>5972373.0</v>
      </c>
      <c r="E476" s="8">
        <v>8.04</v>
      </c>
      <c r="F476" s="3">
        <v>12.0</v>
      </c>
      <c r="G476" s="7">
        <v>41250.0</v>
      </c>
      <c r="H476" s="3" t="s">
        <v>4</v>
      </c>
      <c r="I476" s="8">
        <v>1362892.0</v>
      </c>
      <c r="J476" s="6" t="s">
        <v>333</v>
      </c>
      <c r="K476" s="3" t="s">
        <v>568</v>
      </c>
    </row>
    <row r="477" ht="15.75" customHeight="1">
      <c r="A477" s="6" t="s">
        <v>5833</v>
      </c>
      <c r="B477" s="6" t="s">
        <v>1307</v>
      </c>
      <c r="C477" s="3" t="s">
        <v>22</v>
      </c>
      <c r="D477" s="3">
        <v>221291.0</v>
      </c>
      <c r="E477" s="8">
        <v>13.21</v>
      </c>
      <c r="F477" s="3">
        <v>84.0</v>
      </c>
      <c r="G477" s="7">
        <v>42262.0</v>
      </c>
      <c r="H477" s="3" t="s">
        <v>4</v>
      </c>
      <c r="I477" s="8">
        <v>155022.29</v>
      </c>
      <c r="J477" s="6" t="s">
        <v>262</v>
      </c>
      <c r="K477" s="3" t="s">
        <v>568</v>
      </c>
    </row>
    <row r="478" ht="15.75" customHeight="1">
      <c r="A478" s="6" t="s">
        <v>5838</v>
      </c>
      <c r="B478" s="6" t="s">
        <v>2084</v>
      </c>
      <c r="C478" s="3" t="s">
        <v>22</v>
      </c>
      <c r="D478" s="3">
        <v>656082.0</v>
      </c>
      <c r="E478" s="8">
        <v>13.89</v>
      </c>
      <c r="F478" s="3">
        <v>36.0</v>
      </c>
      <c r="G478" s="7">
        <v>43535.0</v>
      </c>
      <c r="H478" s="3" t="s">
        <v>5</v>
      </c>
      <c r="I478" s="8">
        <v>0.0</v>
      </c>
      <c r="J478" s="6" t="s">
        <v>208</v>
      </c>
      <c r="K478" s="3" t="s">
        <v>568</v>
      </c>
    </row>
    <row r="479" ht="15.75" customHeight="1">
      <c r="A479" s="6" t="s">
        <v>5846</v>
      </c>
      <c r="B479" s="6" t="s">
        <v>5658</v>
      </c>
      <c r="C479" s="3" t="s">
        <v>22</v>
      </c>
      <c r="D479" s="3">
        <v>545906.0</v>
      </c>
      <c r="E479" s="8">
        <v>8.07</v>
      </c>
      <c r="F479" s="3">
        <v>240.0</v>
      </c>
      <c r="G479" s="7">
        <v>44277.0</v>
      </c>
      <c r="H479" s="3" t="s">
        <v>4</v>
      </c>
      <c r="I479" s="8">
        <v>141439.51</v>
      </c>
      <c r="J479" s="6" t="s">
        <v>221</v>
      </c>
      <c r="K479" s="3" t="s">
        <v>568</v>
      </c>
    </row>
    <row r="480" ht="15.75" customHeight="1">
      <c r="A480" s="6" t="s">
        <v>5850</v>
      </c>
      <c r="B480" s="6" t="s">
        <v>1657</v>
      </c>
      <c r="C480" s="3" t="s">
        <v>15</v>
      </c>
      <c r="D480" s="3">
        <v>3904770.0</v>
      </c>
      <c r="E480" s="8">
        <v>9.56</v>
      </c>
      <c r="F480" s="3">
        <v>120.0</v>
      </c>
      <c r="G480" s="7">
        <v>43553.0</v>
      </c>
      <c r="H480" s="3" t="s">
        <v>4</v>
      </c>
      <c r="I480" s="8">
        <v>3339142.36</v>
      </c>
      <c r="J480" s="6" t="s">
        <v>277</v>
      </c>
      <c r="K480" s="3" t="s">
        <v>568</v>
      </c>
    </row>
    <row r="481" ht="15.75" customHeight="1">
      <c r="A481" s="6" t="s">
        <v>5855</v>
      </c>
      <c r="B481" s="6" t="s">
        <v>5856</v>
      </c>
      <c r="C481" s="3" t="s">
        <v>10</v>
      </c>
      <c r="D481" s="3">
        <v>405904.0</v>
      </c>
      <c r="E481" s="8">
        <v>15.88</v>
      </c>
      <c r="F481" s="3">
        <v>60.0</v>
      </c>
      <c r="G481" s="7">
        <v>41420.0</v>
      </c>
      <c r="H481" s="3" t="s">
        <v>5</v>
      </c>
      <c r="I481" s="8">
        <v>0.0</v>
      </c>
      <c r="J481" s="6" t="s">
        <v>401</v>
      </c>
      <c r="K481" s="3" t="s">
        <v>568</v>
      </c>
    </row>
    <row r="482" ht="15.75" customHeight="1">
      <c r="A482" s="6" t="s">
        <v>5865</v>
      </c>
      <c r="B482" s="6" t="s">
        <v>3467</v>
      </c>
      <c r="C482" s="3" t="s">
        <v>10</v>
      </c>
      <c r="D482" s="3">
        <v>1493539.0</v>
      </c>
      <c r="E482" s="8">
        <v>9.4</v>
      </c>
      <c r="F482" s="3">
        <v>120.0</v>
      </c>
      <c r="G482" s="7">
        <v>45454.0</v>
      </c>
      <c r="H482" s="3" t="s">
        <v>7</v>
      </c>
      <c r="I482" s="8">
        <v>816816.79</v>
      </c>
      <c r="J482" s="6" t="s">
        <v>397</v>
      </c>
      <c r="K482" s="3" t="s">
        <v>568</v>
      </c>
    </row>
    <row r="483" ht="15.75" customHeight="1">
      <c r="A483" s="6" t="s">
        <v>5870</v>
      </c>
      <c r="B483" s="6" t="s">
        <v>4315</v>
      </c>
      <c r="C483" s="3" t="s">
        <v>15</v>
      </c>
      <c r="D483" s="3">
        <v>3371562.0</v>
      </c>
      <c r="E483" s="8">
        <v>8.44</v>
      </c>
      <c r="F483" s="3">
        <v>36.0</v>
      </c>
      <c r="G483" s="7">
        <v>41316.0</v>
      </c>
      <c r="H483" s="3" t="s">
        <v>4</v>
      </c>
      <c r="I483" s="8">
        <v>2533738.79</v>
      </c>
      <c r="J483" s="6" t="s">
        <v>401</v>
      </c>
      <c r="K483" s="3" t="s">
        <v>568</v>
      </c>
    </row>
    <row r="484" ht="15.75" customHeight="1">
      <c r="A484" s="6" t="s">
        <v>5874</v>
      </c>
      <c r="B484" s="6" t="s">
        <v>1282</v>
      </c>
      <c r="C484" s="3" t="s">
        <v>13</v>
      </c>
      <c r="D484" s="3">
        <v>67964.0</v>
      </c>
      <c r="E484" s="8">
        <v>9.36</v>
      </c>
      <c r="F484" s="3">
        <v>240.0</v>
      </c>
      <c r="G484" s="7">
        <v>45616.0</v>
      </c>
      <c r="H484" s="3" t="s">
        <v>5</v>
      </c>
      <c r="I484" s="8">
        <v>0.0</v>
      </c>
      <c r="J484" s="6" t="s">
        <v>109</v>
      </c>
      <c r="K484" s="3" t="s">
        <v>568</v>
      </c>
    </row>
    <row r="485" ht="15.75" customHeight="1">
      <c r="A485" s="6" t="s">
        <v>5883</v>
      </c>
      <c r="B485" s="6" t="s">
        <v>2819</v>
      </c>
      <c r="C485" s="3" t="s">
        <v>13</v>
      </c>
      <c r="D485" s="3">
        <v>134550.0</v>
      </c>
      <c r="E485" s="8">
        <v>10.43</v>
      </c>
      <c r="F485" s="3">
        <v>180.0</v>
      </c>
      <c r="G485" s="7">
        <v>42084.0</v>
      </c>
      <c r="H485" s="3" t="s">
        <v>6</v>
      </c>
      <c r="I485" s="8">
        <v>121559.21</v>
      </c>
      <c r="J485" s="6" t="s">
        <v>60</v>
      </c>
      <c r="K485" s="3" t="s">
        <v>568</v>
      </c>
    </row>
    <row r="486" ht="15.75" customHeight="1">
      <c r="A486" s="6" t="s">
        <v>5895</v>
      </c>
      <c r="B486" s="6" t="s">
        <v>3466</v>
      </c>
      <c r="C486" s="3" t="s">
        <v>12</v>
      </c>
      <c r="D486" s="3">
        <v>1246092.0</v>
      </c>
      <c r="E486" s="8">
        <v>15.6</v>
      </c>
      <c r="F486" s="3">
        <v>24.0</v>
      </c>
      <c r="G486" s="7">
        <v>44834.0</v>
      </c>
      <c r="H486" s="3" t="s">
        <v>5</v>
      </c>
      <c r="I486" s="8">
        <v>0.0</v>
      </c>
      <c r="J486" s="6" t="s">
        <v>197</v>
      </c>
      <c r="K486" s="3" t="s">
        <v>568</v>
      </c>
    </row>
    <row r="487" ht="15.75" customHeight="1">
      <c r="A487" s="6" t="s">
        <v>5898</v>
      </c>
      <c r="B487" s="6" t="s">
        <v>2580</v>
      </c>
      <c r="C487" s="3" t="s">
        <v>15</v>
      </c>
      <c r="D487" s="3">
        <v>3798250.0</v>
      </c>
      <c r="E487" s="8">
        <v>11.18</v>
      </c>
      <c r="F487" s="3">
        <v>180.0</v>
      </c>
      <c r="G487" s="7">
        <v>45347.0</v>
      </c>
      <c r="H487" s="3" t="s">
        <v>4</v>
      </c>
      <c r="I487" s="8">
        <v>1130645.29</v>
      </c>
      <c r="J487" s="6" t="s">
        <v>146</v>
      </c>
      <c r="K487" s="3" t="s">
        <v>568</v>
      </c>
    </row>
    <row r="488" ht="15.75" customHeight="1">
      <c r="A488" s="6" t="s">
        <v>5909</v>
      </c>
      <c r="B488" s="6" t="s">
        <v>4113</v>
      </c>
      <c r="C488" s="3" t="s">
        <v>11</v>
      </c>
      <c r="D488" s="3">
        <v>2326920.0</v>
      </c>
      <c r="E488" s="8">
        <v>9.98</v>
      </c>
      <c r="F488" s="3">
        <v>180.0</v>
      </c>
      <c r="G488" s="7">
        <v>42636.0</v>
      </c>
      <c r="H488" s="3" t="s">
        <v>4</v>
      </c>
      <c r="I488" s="8">
        <v>899269.95</v>
      </c>
      <c r="J488" s="6" t="s">
        <v>333</v>
      </c>
      <c r="K488" s="3" t="s">
        <v>568</v>
      </c>
    </row>
    <row r="489" ht="15.75" customHeight="1">
      <c r="A489" s="6" t="s">
        <v>5917</v>
      </c>
      <c r="B489" s="6" t="s">
        <v>1749</v>
      </c>
      <c r="C489" s="3" t="s">
        <v>10</v>
      </c>
      <c r="D489" s="3">
        <v>1380880.0</v>
      </c>
      <c r="E489" s="8">
        <v>7.96</v>
      </c>
      <c r="F489" s="3">
        <v>120.0</v>
      </c>
      <c r="G489" s="7">
        <v>45193.0</v>
      </c>
      <c r="H489" s="3" t="s">
        <v>4</v>
      </c>
      <c r="I489" s="8">
        <v>1120686.09</v>
      </c>
      <c r="J489" s="6" t="s">
        <v>311</v>
      </c>
      <c r="K489" s="3" t="s">
        <v>568</v>
      </c>
    </row>
    <row r="490" ht="15.75" customHeight="1">
      <c r="A490" s="6" t="s">
        <v>5926</v>
      </c>
      <c r="B490" s="6" t="s">
        <v>2514</v>
      </c>
      <c r="C490" s="3" t="s">
        <v>15</v>
      </c>
      <c r="D490" s="3">
        <v>4928811.0</v>
      </c>
      <c r="E490" s="8">
        <v>11.24</v>
      </c>
      <c r="F490" s="3">
        <v>36.0</v>
      </c>
      <c r="G490" s="7">
        <v>44813.0</v>
      </c>
      <c r="H490" s="3" t="s">
        <v>4</v>
      </c>
      <c r="I490" s="8">
        <v>570615.41</v>
      </c>
      <c r="J490" s="6" t="s">
        <v>109</v>
      </c>
      <c r="K490" s="3" t="s">
        <v>568</v>
      </c>
    </row>
    <row r="491" ht="15.75" customHeight="1">
      <c r="A491" s="6" t="s">
        <v>5939</v>
      </c>
      <c r="B491" s="6" t="s">
        <v>4341</v>
      </c>
      <c r="C491" s="3" t="s">
        <v>15</v>
      </c>
      <c r="D491" s="3">
        <v>6550139.0</v>
      </c>
      <c r="E491" s="8">
        <v>14.6</v>
      </c>
      <c r="F491" s="3">
        <v>120.0</v>
      </c>
      <c r="G491" s="7">
        <v>42001.0</v>
      </c>
      <c r="H491" s="3" t="s">
        <v>6</v>
      </c>
      <c r="I491" s="8">
        <v>4869656.17</v>
      </c>
      <c r="J491" s="6" t="s">
        <v>60</v>
      </c>
      <c r="K491" s="3" t="s">
        <v>568</v>
      </c>
    </row>
    <row r="492" ht="15.75" customHeight="1">
      <c r="A492" s="6" t="s">
        <v>5947</v>
      </c>
      <c r="B492" s="6" t="s">
        <v>779</v>
      </c>
      <c r="C492" s="3" t="s">
        <v>15</v>
      </c>
      <c r="D492" s="3">
        <v>8657918.0</v>
      </c>
      <c r="E492" s="8">
        <v>8.67</v>
      </c>
      <c r="F492" s="3">
        <v>36.0</v>
      </c>
      <c r="G492" s="7">
        <v>45159.0</v>
      </c>
      <c r="H492" s="3" t="s">
        <v>7</v>
      </c>
      <c r="I492" s="8">
        <v>3732250.01</v>
      </c>
      <c r="J492" s="6" t="s">
        <v>301</v>
      </c>
      <c r="K492" s="3" t="s">
        <v>568</v>
      </c>
    </row>
    <row r="493" ht="15.75" customHeight="1">
      <c r="A493" s="6" t="s">
        <v>5953</v>
      </c>
      <c r="B493" s="6" t="s">
        <v>1352</v>
      </c>
      <c r="C493" s="3" t="s">
        <v>11</v>
      </c>
      <c r="D493" s="3">
        <v>4612028.0</v>
      </c>
      <c r="E493" s="8">
        <v>9.35</v>
      </c>
      <c r="F493" s="3">
        <v>240.0</v>
      </c>
      <c r="G493" s="7">
        <v>44765.0</v>
      </c>
      <c r="H493" s="3" t="s">
        <v>4</v>
      </c>
      <c r="I493" s="8">
        <v>220472.51</v>
      </c>
      <c r="J493" s="6" t="s">
        <v>234</v>
      </c>
      <c r="K493" s="3" t="s">
        <v>568</v>
      </c>
    </row>
    <row r="494" ht="15.75" customHeight="1">
      <c r="A494" s="6" t="s">
        <v>5962</v>
      </c>
      <c r="B494" s="6" t="s">
        <v>1576</v>
      </c>
      <c r="C494" s="3" t="s">
        <v>12</v>
      </c>
      <c r="D494" s="3">
        <v>1055506.0</v>
      </c>
      <c r="E494" s="8">
        <v>11.48</v>
      </c>
      <c r="F494" s="3">
        <v>60.0</v>
      </c>
      <c r="G494" s="7">
        <v>44847.0</v>
      </c>
      <c r="H494" s="3" t="s">
        <v>4</v>
      </c>
      <c r="I494" s="8">
        <v>776054.37</v>
      </c>
      <c r="J494" s="6" t="s">
        <v>288</v>
      </c>
      <c r="K494" s="3" t="s">
        <v>568</v>
      </c>
    </row>
    <row r="495" ht="15.75" customHeight="1">
      <c r="A495" s="6" t="s">
        <v>5973</v>
      </c>
      <c r="B495" s="6" t="s">
        <v>4382</v>
      </c>
      <c r="C495" s="3" t="s">
        <v>15</v>
      </c>
      <c r="D495" s="3">
        <v>3202022.0</v>
      </c>
      <c r="E495" s="8">
        <v>13.66</v>
      </c>
      <c r="F495" s="3">
        <v>84.0</v>
      </c>
      <c r="G495" s="7">
        <v>45633.0</v>
      </c>
      <c r="H495" s="3" t="s">
        <v>7</v>
      </c>
      <c r="I495" s="8">
        <v>2136463.38</v>
      </c>
      <c r="J495" s="6" t="s">
        <v>146</v>
      </c>
      <c r="K495" s="3" t="s">
        <v>568</v>
      </c>
    </row>
    <row r="496" ht="15.75" customHeight="1">
      <c r="A496" s="6" t="s">
        <v>5983</v>
      </c>
      <c r="B496" s="6" t="s">
        <v>4315</v>
      </c>
      <c r="C496" s="3" t="s">
        <v>10</v>
      </c>
      <c r="D496" s="3">
        <v>505428.0</v>
      </c>
      <c r="E496" s="8">
        <v>15.82</v>
      </c>
      <c r="F496" s="3">
        <v>12.0</v>
      </c>
      <c r="G496" s="7">
        <v>44685.0</v>
      </c>
      <c r="H496" s="3" t="s">
        <v>5</v>
      </c>
      <c r="I496" s="8">
        <v>0.0</v>
      </c>
      <c r="J496" s="6" t="s">
        <v>245</v>
      </c>
      <c r="K496" s="3" t="s">
        <v>568</v>
      </c>
    </row>
    <row r="497" ht="15.75" customHeight="1">
      <c r="A497" s="6" t="s">
        <v>5988</v>
      </c>
      <c r="B497" s="6" t="s">
        <v>2002</v>
      </c>
      <c r="C497" s="3" t="s">
        <v>22</v>
      </c>
      <c r="D497" s="3">
        <v>197608.0</v>
      </c>
      <c r="E497" s="8">
        <v>12.35</v>
      </c>
      <c r="F497" s="3">
        <v>84.0</v>
      </c>
      <c r="G497" s="7">
        <v>41508.0</v>
      </c>
      <c r="H497" s="3" t="s">
        <v>4</v>
      </c>
      <c r="I497" s="8">
        <v>84242.22</v>
      </c>
      <c r="J497" s="6" t="s">
        <v>323</v>
      </c>
      <c r="K497" s="3" t="s">
        <v>568</v>
      </c>
    </row>
    <row r="498" ht="15.75" customHeight="1">
      <c r="A498" s="6" t="s">
        <v>5994</v>
      </c>
      <c r="B498" s="6" t="s">
        <v>206</v>
      </c>
      <c r="C498" s="3" t="s">
        <v>10</v>
      </c>
      <c r="D498" s="3">
        <v>1387411.0</v>
      </c>
      <c r="E498" s="8">
        <v>12.38</v>
      </c>
      <c r="F498" s="3">
        <v>12.0</v>
      </c>
      <c r="G498" s="7">
        <v>44014.0</v>
      </c>
      <c r="H498" s="3" t="s">
        <v>4</v>
      </c>
      <c r="I498" s="8">
        <v>1026772.64</v>
      </c>
      <c r="J498" s="6" t="s">
        <v>284</v>
      </c>
      <c r="K498" s="3" t="s">
        <v>568</v>
      </c>
    </row>
    <row r="499" ht="15.75" customHeight="1">
      <c r="A499" s="6" t="s">
        <v>6000</v>
      </c>
      <c r="B499" s="6" t="s">
        <v>384</v>
      </c>
      <c r="C499" s="3" t="s">
        <v>15</v>
      </c>
      <c r="D499" s="3">
        <v>6416824.0</v>
      </c>
      <c r="E499" s="8">
        <v>14.02</v>
      </c>
      <c r="F499" s="3">
        <v>84.0</v>
      </c>
      <c r="G499" s="7">
        <v>43244.0</v>
      </c>
      <c r="H499" s="3" t="s">
        <v>5</v>
      </c>
      <c r="I499" s="8">
        <v>0.0</v>
      </c>
      <c r="J499" s="6" t="s">
        <v>221</v>
      </c>
      <c r="K499" s="3" t="s">
        <v>568</v>
      </c>
    </row>
    <row r="500" ht="15.75" customHeight="1">
      <c r="A500" s="6" t="s">
        <v>6007</v>
      </c>
      <c r="B500" s="6" t="s">
        <v>4861</v>
      </c>
      <c r="C500" s="3" t="s">
        <v>10</v>
      </c>
      <c r="D500" s="3">
        <v>903899.0</v>
      </c>
      <c r="E500" s="8">
        <v>10.39</v>
      </c>
      <c r="F500" s="3">
        <v>120.0</v>
      </c>
      <c r="G500" s="7">
        <v>42403.0</v>
      </c>
      <c r="H500" s="3" t="s">
        <v>6</v>
      </c>
      <c r="I500" s="8">
        <v>865756.9</v>
      </c>
      <c r="J500" s="6" t="s">
        <v>136</v>
      </c>
      <c r="K500" s="3" t="s">
        <v>568</v>
      </c>
    </row>
    <row r="501" ht="15.75" customHeight="1">
      <c r="A501" s="6" t="s">
        <v>6013</v>
      </c>
      <c r="B501" s="6" t="s">
        <v>3312</v>
      </c>
      <c r="C501" s="3" t="s">
        <v>22</v>
      </c>
      <c r="D501" s="3">
        <v>620524.0</v>
      </c>
      <c r="E501" s="8">
        <v>7.96</v>
      </c>
      <c r="F501" s="3">
        <v>180.0</v>
      </c>
      <c r="G501" s="7">
        <v>44805.0</v>
      </c>
      <c r="H501" s="3" t="s">
        <v>6</v>
      </c>
      <c r="I501" s="8">
        <v>364394.42</v>
      </c>
      <c r="J501" s="6" t="s">
        <v>146</v>
      </c>
      <c r="K501" s="3" t="s">
        <v>568</v>
      </c>
    </row>
    <row r="502" ht="15.75" customHeight="1">
      <c r="A502" s="6" t="s">
        <v>6024</v>
      </c>
      <c r="B502" s="6" t="s">
        <v>1020</v>
      </c>
      <c r="C502" s="3" t="s">
        <v>22</v>
      </c>
      <c r="D502" s="3">
        <v>976263.0</v>
      </c>
      <c r="E502" s="8">
        <v>9.37</v>
      </c>
      <c r="F502" s="3">
        <v>180.0</v>
      </c>
      <c r="G502" s="7">
        <v>42624.0</v>
      </c>
      <c r="H502" s="3" t="s">
        <v>7</v>
      </c>
      <c r="I502" s="8">
        <v>173181.33</v>
      </c>
      <c r="J502" s="6" t="s">
        <v>385</v>
      </c>
      <c r="K502" s="3" t="s">
        <v>568</v>
      </c>
    </row>
    <row r="503" ht="15.75" customHeight="1">
      <c r="A503" s="6" t="s">
        <v>6030</v>
      </c>
      <c r="B503" s="6" t="s">
        <v>2018</v>
      </c>
      <c r="C503" s="3" t="s">
        <v>10</v>
      </c>
      <c r="D503" s="3">
        <v>1099989.0</v>
      </c>
      <c r="E503" s="8">
        <v>10.13</v>
      </c>
      <c r="F503" s="3">
        <v>12.0</v>
      </c>
      <c r="G503" s="7">
        <v>44059.0</v>
      </c>
      <c r="H503" s="3" t="s">
        <v>6</v>
      </c>
      <c r="I503" s="8">
        <v>926694.97</v>
      </c>
      <c r="J503" s="6" t="s">
        <v>163</v>
      </c>
      <c r="K503" s="3" t="s">
        <v>568</v>
      </c>
    </row>
    <row r="504" ht="15.75" customHeight="1">
      <c r="A504" s="6" t="s">
        <v>6035</v>
      </c>
      <c r="B504" s="6" t="s">
        <v>2195</v>
      </c>
      <c r="C504" s="3" t="s">
        <v>12</v>
      </c>
      <c r="D504" s="3">
        <v>1538690.0</v>
      </c>
      <c r="E504" s="8">
        <v>11.4</v>
      </c>
      <c r="F504" s="3">
        <v>12.0</v>
      </c>
      <c r="G504" s="7">
        <v>43502.0</v>
      </c>
      <c r="H504" s="3" t="s">
        <v>5</v>
      </c>
      <c r="I504" s="8">
        <v>0.0</v>
      </c>
      <c r="J504" s="6" t="s">
        <v>197</v>
      </c>
      <c r="K504" s="3" t="s">
        <v>568</v>
      </c>
    </row>
    <row r="505" ht="15.75" customHeight="1">
      <c r="A505" s="6" t="s">
        <v>6042</v>
      </c>
      <c r="B505" s="6" t="s">
        <v>1183</v>
      </c>
      <c r="C505" s="3" t="s">
        <v>13</v>
      </c>
      <c r="D505" s="3">
        <v>291092.0</v>
      </c>
      <c r="E505" s="8">
        <v>8.15</v>
      </c>
      <c r="F505" s="3">
        <v>120.0</v>
      </c>
      <c r="G505" s="7">
        <v>44102.0</v>
      </c>
      <c r="H505" s="3" t="s">
        <v>4</v>
      </c>
      <c r="I505" s="8">
        <v>255021.85</v>
      </c>
      <c r="J505" s="6" t="s">
        <v>262</v>
      </c>
      <c r="K505" s="3" t="s">
        <v>568</v>
      </c>
    </row>
    <row r="506" ht="15.75" customHeight="1">
      <c r="A506" s="6" t="s">
        <v>6048</v>
      </c>
      <c r="B506" s="6" t="s">
        <v>1413</v>
      </c>
      <c r="C506" s="3" t="s">
        <v>10</v>
      </c>
      <c r="D506" s="3">
        <v>1052253.0</v>
      </c>
      <c r="E506" s="8">
        <v>14.7</v>
      </c>
      <c r="F506" s="3">
        <v>180.0</v>
      </c>
      <c r="G506" s="7">
        <v>42775.0</v>
      </c>
      <c r="H506" s="3" t="s">
        <v>4</v>
      </c>
      <c r="I506" s="8">
        <v>519243.42</v>
      </c>
      <c r="J506" s="6" t="s">
        <v>288</v>
      </c>
      <c r="K506" s="3" t="s">
        <v>568</v>
      </c>
    </row>
    <row r="507" ht="15.75" customHeight="1">
      <c r="A507" s="6" t="s">
        <v>6059</v>
      </c>
      <c r="B507" s="6" t="s">
        <v>1265</v>
      </c>
      <c r="C507" s="3" t="s">
        <v>12</v>
      </c>
      <c r="D507" s="3">
        <v>227534.0</v>
      </c>
      <c r="E507" s="8">
        <v>11.56</v>
      </c>
      <c r="F507" s="3">
        <v>36.0</v>
      </c>
      <c r="G507" s="7">
        <v>41719.0</v>
      </c>
      <c r="H507" s="3" t="s">
        <v>5</v>
      </c>
      <c r="I507" s="8">
        <v>0.0</v>
      </c>
      <c r="J507" s="6" t="s">
        <v>92</v>
      </c>
      <c r="K507" s="3" t="s">
        <v>568</v>
      </c>
    </row>
    <row r="508" ht="15.75" customHeight="1">
      <c r="A508" s="6" t="s">
        <v>6066</v>
      </c>
      <c r="B508" s="6" t="s">
        <v>6067</v>
      </c>
      <c r="C508" s="3" t="s">
        <v>12</v>
      </c>
      <c r="D508" s="3">
        <v>1174519.0</v>
      </c>
      <c r="E508" s="8">
        <v>13.96</v>
      </c>
      <c r="F508" s="3">
        <v>180.0</v>
      </c>
      <c r="G508" s="7">
        <v>41442.0</v>
      </c>
      <c r="H508" s="3" t="s">
        <v>4</v>
      </c>
      <c r="I508" s="8">
        <v>510115.83</v>
      </c>
      <c r="J508" s="6" t="s">
        <v>197</v>
      </c>
      <c r="K508" s="3" t="s">
        <v>568</v>
      </c>
    </row>
    <row r="509" ht="15.75" customHeight="1">
      <c r="A509" s="6" t="s">
        <v>6074</v>
      </c>
      <c r="B509" s="6" t="s">
        <v>607</v>
      </c>
      <c r="C509" s="3" t="s">
        <v>13</v>
      </c>
      <c r="D509" s="3">
        <v>144544.0</v>
      </c>
      <c r="E509" s="8">
        <v>8.49</v>
      </c>
      <c r="F509" s="3">
        <v>60.0</v>
      </c>
      <c r="G509" s="7">
        <v>42599.0</v>
      </c>
      <c r="H509" s="3" t="s">
        <v>4</v>
      </c>
      <c r="I509" s="8">
        <v>64883.9</v>
      </c>
      <c r="J509" s="6" t="s">
        <v>163</v>
      </c>
      <c r="K509" s="3" t="s">
        <v>568</v>
      </c>
    </row>
    <row r="510" ht="15.75" customHeight="1">
      <c r="A510" s="6" t="s">
        <v>6082</v>
      </c>
      <c r="B510" s="6" t="s">
        <v>6083</v>
      </c>
      <c r="C510" s="3" t="s">
        <v>12</v>
      </c>
      <c r="D510" s="3">
        <v>1445908.0</v>
      </c>
      <c r="E510" s="8">
        <v>14.03</v>
      </c>
      <c r="F510" s="3">
        <v>24.0</v>
      </c>
      <c r="G510" s="7">
        <v>42991.0</v>
      </c>
      <c r="H510" s="3" t="s">
        <v>4</v>
      </c>
      <c r="I510" s="8">
        <v>1279053.23</v>
      </c>
      <c r="J510" s="6" t="s">
        <v>266</v>
      </c>
      <c r="K510" s="3" t="s">
        <v>568</v>
      </c>
    </row>
    <row r="511" ht="15.75" customHeight="1">
      <c r="A511" s="6" t="s">
        <v>6091</v>
      </c>
      <c r="B511" s="6" t="s">
        <v>2068</v>
      </c>
      <c r="C511" s="3" t="s">
        <v>10</v>
      </c>
      <c r="D511" s="3">
        <v>508607.0</v>
      </c>
      <c r="E511" s="8">
        <v>13.26</v>
      </c>
      <c r="F511" s="3">
        <v>36.0</v>
      </c>
      <c r="G511" s="7">
        <v>43782.0</v>
      </c>
      <c r="H511" s="3" t="s">
        <v>4</v>
      </c>
      <c r="I511" s="8">
        <v>437766.33</v>
      </c>
      <c r="J511" s="6" t="s">
        <v>397</v>
      </c>
      <c r="K511" s="3" t="s">
        <v>568</v>
      </c>
    </row>
    <row r="512" ht="15.75" customHeight="1">
      <c r="A512" s="6" t="s">
        <v>6098</v>
      </c>
      <c r="B512" s="6" t="s">
        <v>1555</v>
      </c>
      <c r="C512" s="3" t="s">
        <v>15</v>
      </c>
      <c r="D512" s="3">
        <v>8659685.0</v>
      </c>
      <c r="E512" s="8">
        <v>14.68</v>
      </c>
      <c r="F512" s="3">
        <v>60.0</v>
      </c>
      <c r="G512" s="7">
        <v>44313.0</v>
      </c>
      <c r="H512" s="3" t="s">
        <v>5</v>
      </c>
      <c r="I512" s="8">
        <v>0.0</v>
      </c>
      <c r="J512" s="6" t="s">
        <v>146</v>
      </c>
      <c r="K512" s="3" t="s">
        <v>568</v>
      </c>
    </row>
    <row r="513" ht="15.75" customHeight="1">
      <c r="A513" s="6" t="s">
        <v>6104</v>
      </c>
      <c r="B513" s="6" t="s">
        <v>1058</v>
      </c>
      <c r="C513" s="3" t="s">
        <v>15</v>
      </c>
      <c r="D513" s="3">
        <v>5666481.0</v>
      </c>
      <c r="E513" s="8">
        <v>8.83</v>
      </c>
      <c r="F513" s="3">
        <v>84.0</v>
      </c>
      <c r="G513" s="7">
        <v>44263.0</v>
      </c>
      <c r="H513" s="3" t="s">
        <v>5</v>
      </c>
      <c r="I513" s="8">
        <v>0.0</v>
      </c>
      <c r="J513" s="6" t="s">
        <v>284</v>
      </c>
      <c r="K513" s="3" t="s">
        <v>568</v>
      </c>
    </row>
    <row r="514" ht="15.75" customHeight="1">
      <c r="A514" s="6" t="s">
        <v>6109</v>
      </c>
      <c r="B514" s="6" t="s">
        <v>4389</v>
      </c>
      <c r="C514" s="3" t="s">
        <v>12</v>
      </c>
      <c r="D514" s="3">
        <v>1455187.0</v>
      </c>
      <c r="E514" s="8">
        <v>9.2</v>
      </c>
      <c r="F514" s="3">
        <v>36.0</v>
      </c>
      <c r="G514" s="7">
        <v>41915.0</v>
      </c>
      <c r="H514" s="3" t="s">
        <v>7</v>
      </c>
      <c r="I514" s="8">
        <v>1023810.12</v>
      </c>
      <c r="J514" s="6" t="s">
        <v>36</v>
      </c>
      <c r="K514" s="3" t="s">
        <v>568</v>
      </c>
    </row>
    <row r="515" ht="15.75" customHeight="1">
      <c r="A515" s="6" t="s">
        <v>6118</v>
      </c>
      <c r="B515" s="6" t="s">
        <v>6114</v>
      </c>
      <c r="C515" s="3" t="s">
        <v>22</v>
      </c>
      <c r="D515" s="3">
        <v>615549.0</v>
      </c>
      <c r="E515" s="8">
        <v>9.66</v>
      </c>
      <c r="F515" s="3">
        <v>180.0</v>
      </c>
      <c r="G515" s="7">
        <v>43954.0</v>
      </c>
      <c r="H515" s="3" t="s">
        <v>5</v>
      </c>
      <c r="I515" s="8">
        <v>0.0</v>
      </c>
      <c r="J515" s="6" t="s">
        <v>197</v>
      </c>
      <c r="K515" s="3" t="s">
        <v>568</v>
      </c>
    </row>
    <row r="516" ht="15.75" customHeight="1">
      <c r="A516" s="6" t="s">
        <v>6125</v>
      </c>
      <c r="B516" s="6" t="s">
        <v>4374</v>
      </c>
      <c r="C516" s="3" t="s">
        <v>15</v>
      </c>
      <c r="D516" s="3">
        <v>8704457.0</v>
      </c>
      <c r="E516" s="8">
        <v>8.0</v>
      </c>
      <c r="F516" s="3">
        <v>84.0</v>
      </c>
      <c r="G516" s="7">
        <v>41029.0</v>
      </c>
      <c r="H516" s="3" t="s">
        <v>6</v>
      </c>
      <c r="I516" s="8">
        <v>6349852.86</v>
      </c>
      <c r="J516" s="6" t="s">
        <v>262</v>
      </c>
      <c r="K516" s="3" t="s">
        <v>568</v>
      </c>
    </row>
    <row r="517" ht="15.75" customHeight="1">
      <c r="A517" s="6" t="s">
        <v>6153</v>
      </c>
      <c r="B517" s="6" t="s">
        <v>710</v>
      </c>
      <c r="C517" s="3" t="s">
        <v>12</v>
      </c>
      <c r="D517" s="3">
        <v>1833459.0</v>
      </c>
      <c r="E517" s="8">
        <v>9.98</v>
      </c>
      <c r="F517" s="3">
        <v>60.0</v>
      </c>
      <c r="G517" s="7">
        <v>41990.0</v>
      </c>
      <c r="H517" s="3" t="s">
        <v>4</v>
      </c>
      <c r="I517" s="8">
        <v>615607.93</v>
      </c>
      <c r="J517" s="6" t="s">
        <v>136</v>
      </c>
      <c r="K517" s="3" t="s">
        <v>568</v>
      </c>
    </row>
    <row r="518" ht="15.75" customHeight="1">
      <c r="A518" s="6" t="s">
        <v>6165</v>
      </c>
      <c r="B518" s="6" t="s">
        <v>6166</v>
      </c>
      <c r="C518" s="3" t="s">
        <v>13</v>
      </c>
      <c r="D518" s="3">
        <v>376722.0</v>
      </c>
      <c r="E518" s="8">
        <v>9.1</v>
      </c>
      <c r="F518" s="3">
        <v>180.0</v>
      </c>
      <c r="G518" s="7">
        <v>41808.0</v>
      </c>
      <c r="H518" s="3" t="s">
        <v>4</v>
      </c>
      <c r="I518" s="8">
        <v>37899.4</v>
      </c>
      <c r="J518" s="6" t="s">
        <v>266</v>
      </c>
      <c r="K518" s="3" t="s">
        <v>568</v>
      </c>
    </row>
    <row r="519" ht="15.75" customHeight="1">
      <c r="A519" s="6" t="s">
        <v>6175</v>
      </c>
      <c r="B519" s="6" t="s">
        <v>4371</v>
      </c>
      <c r="C519" s="3" t="s">
        <v>12</v>
      </c>
      <c r="D519" s="3">
        <v>810089.0</v>
      </c>
      <c r="E519" s="8">
        <v>8.11</v>
      </c>
      <c r="F519" s="3">
        <v>36.0</v>
      </c>
      <c r="G519" s="7">
        <v>44383.0</v>
      </c>
      <c r="H519" s="3" t="s">
        <v>4</v>
      </c>
      <c r="I519" s="8">
        <v>185544.7</v>
      </c>
      <c r="J519" s="6" t="s">
        <v>397</v>
      </c>
      <c r="K519" s="3" t="s">
        <v>568</v>
      </c>
    </row>
    <row r="520" ht="15.75" customHeight="1">
      <c r="A520" s="6" t="s">
        <v>6180</v>
      </c>
      <c r="B520" s="6" t="s">
        <v>2727</v>
      </c>
      <c r="C520" s="3" t="s">
        <v>10</v>
      </c>
      <c r="D520" s="3">
        <v>491838.0</v>
      </c>
      <c r="E520" s="8">
        <v>13.36</v>
      </c>
      <c r="F520" s="3">
        <v>180.0</v>
      </c>
      <c r="G520" s="7">
        <v>41095.0</v>
      </c>
      <c r="H520" s="3" t="s">
        <v>4</v>
      </c>
      <c r="I520" s="8">
        <v>54009.11</v>
      </c>
      <c r="J520" s="6" t="s">
        <v>60</v>
      </c>
      <c r="K520" s="3" t="s">
        <v>568</v>
      </c>
    </row>
    <row r="521" ht="15.75" customHeight="1">
      <c r="A521" s="6" t="s">
        <v>6188</v>
      </c>
      <c r="B521" s="6" t="s">
        <v>1246</v>
      </c>
      <c r="C521" s="3" t="s">
        <v>13</v>
      </c>
      <c r="D521" s="3">
        <v>117650.0</v>
      </c>
      <c r="E521" s="8">
        <v>14.31</v>
      </c>
      <c r="F521" s="3">
        <v>84.0</v>
      </c>
      <c r="G521" s="7">
        <v>45600.0</v>
      </c>
      <c r="H521" s="3" t="s">
        <v>4</v>
      </c>
      <c r="I521" s="8">
        <v>73324.17</v>
      </c>
      <c r="J521" s="6" t="s">
        <v>92</v>
      </c>
      <c r="K521" s="3" t="s">
        <v>568</v>
      </c>
    </row>
    <row r="522" ht="15.75" customHeight="1">
      <c r="A522" s="6" t="s">
        <v>6194</v>
      </c>
      <c r="B522" s="6" t="s">
        <v>86</v>
      </c>
      <c r="C522" s="3" t="s">
        <v>12</v>
      </c>
      <c r="D522" s="3">
        <v>1807690.0</v>
      </c>
      <c r="E522" s="8">
        <v>13.12</v>
      </c>
      <c r="F522" s="3">
        <v>12.0</v>
      </c>
      <c r="G522" s="7">
        <v>44716.0</v>
      </c>
      <c r="H522" s="3" t="s">
        <v>4</v>
      </c>
      <c r="I522" s="8">
        <v>354334.96</v>
      </c>
      <c r="J522" s="6" t="s">
        <v>311</v>
      </c>
      <c r="K522" s="3" t="s">
        <v>568</v>
      </c>
    </row>
    <row r="523" ht="15.75" customHeight="1">
      <c r="A523" s="6" t="s">
        <v>6205</v>
      </c>
      <c r="B523" s="6" t="s">
        <v>219</v>
      </c>
      <c r="C523" s="3" t="s">
        <v>11</v>
      </c>
      <c r="D523" s="3">
        <v>2170802.0</v>
      </c>
      <c r="E523" s="8">
        <v>16.27</v>
      </c>
      <c r="F523" s="3">
        <v>180.0</v>
      </c>
      <c r="G523" s="7">
        <v>42906.0</v>
      </c>
      <c r="H523" s="3" t="s">
        <v>5</v>
      </c>
      <c r="I523" s="8">
        <v>0.0</v>
      </c>
      <c r="J523" s="6" t="s">
        <v>311</v>
      </c>
      <c r="K523" s="3" t="s">
        <v>568</v>
      </c>
    </row>
    <row r="524" ht="15.75" customHeight="1">
      <c r="A524" s="6" t="s">
        <v>6210</v>
      </c>
      <c r="B524" s="6" t="s">
        <v>4009</v>
      </c>
      <c r="C524" s="3" t="s">
        <v>11</v>
      </c>
      <c r="D524" s="3">
        <v>2801081.0</v>
      </c>
      <c r="E524" s="8">
        <v>8.04</v>
      </c>
      <c r="F524" s="3">
        <v>240.0</v>
      </c>
      <c r="G524" s="7">
        <v>41452.0</v>
      </c>
      <c r="H524" s="3" t="s">
        <v>4</v>
      </c>
      <c r="I524" s="8">
        <v>484405.29</v>
      </c>
      <c r="J524" s="6" t="s">
        <v>397</v>
      </c>
      <c r="K524" s="3" t="s">
        <v>568</v>
      </c>
    </row>
    <row r="525" ht="15.75" customHeight="1">
      <c r="A525" s="6" t="s">
        <v>6217</v>
      </c>
      <c r="B525" s="6" t="s">
        <v>1705</v>
      </c>
      <c r="C525" s="3" t="s">
        <v>15</v>
      </c>
      <c r="D525" s="3">
        <v>7190419.0</v>
      </c>
      <c r="E525" s="8">
        <v>12.53</v>
      </c>
      <c r="F525" s="3">
        <v>84.0</v>
      </c>
      <c r="G525" s="7">
        <v>42012.0</v>
      </c>
      <c r="H525" s="3" t="s">
        <v>7</v>
      </c>
      <c r="I525" s="8">
        <v>4005176.43</v>
      </c>
      <c r="J525" s="6" t="s">
        <v>277</v>
      </c>
      <c r="K525" s="3" t="s">
        <v>568</v>
      </c>
    </row>
    <row r="526" ht="15.75" customHeight="1">
      <c r="A526" s="6" t="s">
        <v>6223</v>
      </c>
      <c r="B526" s="6" t="s">
        <v>4536</v>
      </c>
      <c r="C526" s="3" t="s">
        <v>12</v>
      </c>
      <c r="D526" s="3">
        <v>1692801.0</v>
      </c>
      <c r="E526" s="8">
        <v>10.28</v>
      </c>
      <c r="F526" s="3">
        <v>12.0</v>
      </c>
      <c r="G526" s="7">
        <v>45461.0</v>
      </c>
      <c r="H526" s="3" t="s">
        <v>4</v>
      </c>
      <c r="I526" s="8">
        <v>1436576.7</v>
      </c>
      <c r="J526" s="6" t="s">
        <v>129</v>
      </c>
      <c r="K526" s="3" t="s">
        <v>568</v>
      </c>
    </row>
    <row r="527" ht="15.75" customHeight="1">
      <c r="A527" s="6" t="s">
        <v>6230</v>
      </c>
      <c r="B527" s="6" t="s">
        <v>4034</v>
      </c>
      <c r="C527" s="3" t="s">
        <v>15</v>
      </c>
      <c r="D527" s="3">
        <v>7041336.0</v>
      </c>
      <c r="E527" s="8">
        <v>13.71</v>
      </c>
      <c r="F527" s="3">
        <v>180.0</v>
      </c>
      <c r="G527" s="7">
        <v>40946.0</v>
      </c>
      <c r="H527" s="3" t="s">
        <v>5</v>
      </c>
      <c r="I527" s="8">
        <v>0.0</v>
      </c>
      <c r="J527" s="6" t="s">
        <v>109</v>
      </c>
      <c r="K527" s="3" t="s">
        <v>568</v>
      </c>
    </row>
    <row r="528" ht="15.75" customHeight="1">
      <c r="A528" s="6" t="s">
        <v>6233</v>
      </c>
      <c r="B528" s="6" t="s">
        <v>871</v>
      </c>
      <c r="C528" s="3" t="s">
        <v>13</v>
      </c>
      <c r="D528" s="3">
        <v>239363.0</v>
      </c>
      <c r="E528" s="8">
        <v>12.1</v>
      </c>
      <c r="F528" s="3">
        <v>240.0</v>
      </c>
      <c r="G528" s="7">
        <v>44756.0</v>
      </c>
      <c r="H528" s="3" t="s">
        <v>7</v>
      </c>
      <c r="I528" s="8">
        <v>41740.39</v>
      </c>
      <c r="J528" s="6" t="s">
        <v>92</v>
      </c>
      <c r="K528" s="3" t="s">
        <v>568</v>
      </c>
    </row>
    <row r="529" ht="15.75" customHeight="1">
      <c r="A529" s="6" t="s">
        <v>6241</v>
      </c>
      <c r="B529" s="6" t="s">
        <v>4948</v>
      </c>
      <c r="C529" s="3" t="s">
        <v>12</v>
      </c>
      <c r="D529" s="3">
        <v>551177.0</v>
      </c>
      <c r="E529" s="8">
        <v>10.31</v>
      </c>
      <c r="F529" s="3">
        <v>240.0</v>
      </c>
      <c r="G529" s="7">
        <v>43884.0</v>
      </c>
      <c r="H529" s="3" t="s">
        <v>4</v>
      </c>
      <c r="I529" s="8">
        <v>14645.76</v>
      </c>
      <c r="J529" s="6" t="s">
        <v>262</v>
      </c>
      <c r="K529" s="3" t="s">
        <v>568</v>
      </c>
    </row>
    <row r="530" ht="15.75" customHeight="1">
      <c r="A530" s="6" t="s">
        <v>6243</v>
      </c>
      <c r="B530" s="6" t="s">
        <v>3123</v>
      </c>
      <c r="C530" s="3" t="s">
        <v>12</v>
      </c>
      <c r="D530" s="3">
        <v>324837.0</v>
      </c>
      <c r="E530" s="8">
        <v>9.77</v>
      </c>
      <c r="F530" s="3">
        <v>180.0</v>
      </c>
      <c r="G530" s="7">
        <v>45182.0</v>
      </c>
      <c r="H530" s="3" t="s">
        <v>4</v>
      </c>
      <c r="I530" s="8">
        <v>44608.87</v>
      </c>
      <c r="J530" s="6" t="s">
        <v>301</v>
      </c>
      <c r="K530" s="3" t="s">
        <v>568</v>
      </c>
    </row>
    <row r="531" ht="15.75" customHeight="1">
      <c r="A531" s="6" t="s">
        <v>6250</v>
      </c>
      <c r="B531" s="6" t="s">
        <v>1395</v>
      </c>
      <c r="C531" s="3" t="s">
        <v>12</v>
      </c>
      <c r="D531" s="3">
        <v>1430304.0</v>
      </c>
      <c r="E531" s="8">
        <v>12.78</v>
      </c>
      <c r="F531" s="3">
        <v>12.0</v>
      </c>
      <c r="G531" s="7">
        <v>44353.0</v>
      </c>
      <c r="H531" s="3" t="s">
        <v>7</v>
      </c>
      <c r="I531" s="8">
        <v>253383.09</v>
      </c>
      <c r="J531" s="6" t="s">
        <v>179</v>
      </c>
      <c r="K531" s="3" t="s">
        <v>568</v>
      </c>
    </row>
    <row r="532" ht="15.75" customHeight="1">
      <c r="A532" s="6" t="s">
        <v>6253</v>
      </c>
      <c r="B532" s="6" t="s">
        <v>1199</v>
      </c>
      <c r="C532" s="3" t="s">
        <v>22</v>
      </c>
      <c r="D532" s="3">
        <v>678194.0</v>
      </c>
      <c r="E532" s="8">
        <v>9.76</v>
      </c>
      <c r="F532" s="3">
        <v>36.0</v>
      </c>
      <c r="G532" s="7">
        <v>45106.0</v>
      </c>
      <c r="H532" s="3" t="s">
        <v>5</v>
      </c>
      <c r="I532" s="8">
        <v>0.0</v>
      </c>
      <c r="J532" s="6" t="s">
        <v>221</v>
      </c>
      <c r="K532" s="3" t="s">
        <v>568</v>
      </c>
    </row>
    <row r="533" ht="15.75" customHeight="1">
      <c r="A533" s="6" t="s">
        <v>6258</v>
      </c>
      <c r="B533" s="6" t="s">
        <v>4733</v>
      </c>
      <c r="C533" s="3" t="s">
        <v>22</v>
      </c>
      <c r="D533" s="3">
        <v>522376.0</v>
      </c>
      <c r="E533" s="8">
        <v>9.65</v>
      </c>
      <c r="F533" s="3">
        <v>240.0</v>
      </c>
      <c r="G533" s="7">
        <v>45183.0</v>
      </c>
      <c r="H533" s="3" t="s">
        <v>4</v>
      </c>
      <c r="I533" s="8">
        <v>96708.9</v>
      </c>
      <c r="J533" s="6" t="s">
        <v>266</v>
      </c>
      <c r="K533" s="3" t="s">
        <v>568</v>
      </c>
    </row>
    <row r="534" ht="15.75" customHeight="1">
      <c r="A534" s="6" t="s">
        <v>6260</v>
      </c>
      <c r="B534" s="6" t="s">
        <v>2569</v>
      </c>
      <c r="C534" s="3" t="s">
        <v>15</v>
      </c>
      <c r="D534" s="3">
        <v>4371258.0</v>
      </c>
      <c r="E534" s="8">
        <v>15.42</v>
      </c>
      <c r="F534" s="3">
        <v>240.0</v>
      </c>
      <c r="G534" s="7">
        <v>44173.0</v>
      </c>
      <c r="H534" s="3" t="s">
        <v>5</v>
      </c>
      <c r="I534" s="8">
        <v>0.0</v>
      </c>
      <c r="J534" s="6" t="s">
        <v>146</v>
      </c>
      <c r="K534" s="3" t="s">
        <v>568</v>
      </c>
    </row>
    <row r="535" ht="15.75" customHeight="1">
      <c r="A535" s="6" t="s">
        <v>6263</v>
      </c>
      <c r="B535" s="6" t="s">
        <v>3623</v>
      </c>
      <c r="C535" s="3" t="s">
        <v>15</v>
      </c>
      <c r="D535" s="3">
        <v>7834783.0</v>
      </c>
      <c r="E535" s="8">
        <v>13.3</v>
      </c>
      <c r="F535" s="3">
        <v>120.0</v>
      </c>
      <c r="G535" s="7">
        <v>45328.0</v>
      </c>
      <c r="H535" s="3" t="s">
        <v>4</v>
      </c>
      <c r="I535" s="8">
        <v>3766440.84</v>
      </c>
      <c r="J535" s="6" t="s">
        <v>352</v>
      </c>
      <c r="K535" s="3" t="s">
        <v>568</v>
      </c>
    </row>
    <row r="536" ht="15.75" customHeight="1">
      <c r="A536" s="6" t="s">
        <v>6271</v>
      </c>
      <c r="B536" s="6" t="s">
        <v>2682</v>
      </c>
      <c r="C536" s="3" t="s">
        <v>10</v>
      </c>
      <c r="D536" s="3">
        <v>1398847.0</v>
      </c>
      <c r="E536" s="8">
        <v>11.05</v>
      </c>
      <c r="F536" s="3">
        <v>84.0</v>
      </c>
      <c r="G536" s="7">
        <v>42647.0</v>
      </c>
      <c r="H536" s="3" t="s">
        <v>5</v>
      </c>
      <c r="I536" s="8">
        <v>0.0</v>
      </c>
      <c r="J536" s="6" t="s">
        <v>245</v>
      </c>
      <c r="K536" s="3" t="s">
        <v>568</v>
      </c>
    </row>
    <row r="537" ht="15.75" customHeight="1">
      <c r="A537" s="6" t="s">
        <v>6276</v>
      </c>
      <c r="B537" s="6" t="s">
        <v>871</v>
      </c>
      <c r="C537" s="3" t="s">
        <v>13</v>
      </c>
      <c r="D537" s="3">
        <v>51860.0</v>
      </c>
      <c r="E537" s="8">
        <v>15.81</v>
      </c>
      <c r="F537" s="3">
        <v>84.0</v>
      </c>
      <c r="G537" s="7">
        <v>43610.0</v>
      </c>
      <c r="H537" s="3" t="s">
        <v>4</v>
      </c>
      <c r="I537" s="8">
        <v>41515.75</v>
      </c>
      <c r="J537" s="6" t="s">
        <v>323</v>
      </c>
      <c r="K537" s="3" t="s">
        <v>568</v>
      </c>
    </row>
    <row r="538" ht="15.75" customHeight="1">
      <c r="A538" s="6" t="s">
        <v>6281</v>
      </c>
      <c r="B538" s="6" t="s">
        <v>1378</v>
      </c>
      <c r="C538" s="3" t="s">
        <v>12</v>
      </c>
      <c r="D538" s="3">
        <v>884891.0</v>
      </c>
      <c r="E538" s="8">
        <v>15.48</v>
      </c>
      <c r="F538" s="3">
        <v>12.0</v>
      </c>
      <c r="G538" s="7">
        <v>42192.0</v>
      </c>
      <c r="H538" s="3" t="s">
        <v>7</v>
      </c>
      <c r="I538" s="8">
        <v>700856.02</v>
      </c>
      <c r="J538" s="6" t="s">
        <v>245</v>
      </c>
      <c r="K538" s="3" t="s">
        <v>568</v>
      </c>
    </row>
    <row r="539" ht="15.75" customHeight="1">
      <c r="A539" s="6" t="s">
        <v>6285</v>
      </c>
      <c r="B539" s="6" t="s">
        <v>3260</v>
      </c>
      <c r="C539" s="3" t="s">
        <v>11</v>
      </c>
      <c r="D539" s="3">
        <v>4947504.0</v>
      </c>
      <c r="E539" s="8">
        <v>15.72</v>
      </c>
      <c r="F539" s="3">
        <v>120.0</v>
      </c>
      <c r="G539" s="7">
        <v>42716.0</v>
      </c>
      <c r="H539" s="3" t="s">
        <v>4</v>
      </c>
      <c r="I539" s="8">
        <v>3349066.69</v>
      </c>
      <c r="J539" s="6" t="s">
        <v>129</v>
      </c>
      <c r="K539" s="3" t="s">
        <v>568</v>
      </c>
    </row>
    <row r="540" ht="15.75" customHeight="1">
      <c r="A540" s="6" t="s">
        <v>6294</v>
      </c>
      <c r="B540" s="6" t="s">
        <v>6295</v>
      </c>
      <c r="C540" s="3" t="s">
        <v>15</v>
      </c>
      <c r="D540" s="3">
        <v>2358480.0</v>
      </c>
      <c r="E540" s="8">
        <v>15.82</v>
      </c>
      <c r="F540" s="3">
        <v>84.0</v>
      </c>
      <c r="G540" s="7">
        <v>42250.0</v>
      </c>
      <c r="H540" s="3" t="s">
        <v>5</v>
      </c>
      <c r="I540" s="8">
        <v>0.0</v>
      </c>
      <c r="J540" s="6" t="s">
        <v>262</v>
      </c>
      <c r="K540" s="3" t="s">
        <v>568</v>
      </c>
    </row>
    <row r="541" ht="15.75" customHeight="1">
      <c r="A541" s="6" t="s">
        <v>6302</v>
      </c>
      <c r="B541" s="6" t="s">
        <v>5076</v>
      </c>
      <c r="C541" s="3" t="s">
        <v>15</v>
      </c>
      <c r="D541" s="3">
        <v>4605787.0</v>
      </c>
      <c r="E541" s="8">
        <v>9.24</v>
      </c>
      <c r="F541" s="3">
        <v>240.0</v>
      </c>
      <c r="G541" s="7">
        <v>41429.0</v>
      </c>
      <c r="H541" s="3" t="s">
        <v>5</v>
      </c>
      <c r="I541" s="8">
        <v>0.0</v>
      </c>
      <c r="J541" s="6" t="s">
        <v>60</v>
      </c>
      <c r="K541" s="3" t="s">
        <v>568</v>
      </c>
    </row>
    <row r="542" ht="15.75" customHeight="1">
      <c r="A542" s="6" t="s">
        <v>6308</v>
      </c>
      <c r="B542" s="6" t="s">
        <v>61</v>
      </c>
      <c r="C542" s="3" t="s">
        <v>12</v>
      </c>
      <c r="D542" s="3">
        <v>1141595.0</v>
      </c>
      <c r="E542" s="8">
        <v>15.88</v>
      </c>
      <c r="F542" s="3">
        <v>240.0</v>
      </c>
      <c r="G542" s="7">
        <v>43190.0</v>
      </c>
      <c r="H542" s="3" t="s">
        <v>6</v>
      </c>
      <c r="I542" s="8">
        <v>1041938.56</v>
      </c>
      <c r="J542" s="6" t="s">
        <v>245</v>
      </c>
      <c r="K542" s="3" t="s">
        <v>568</v>
      </c>
    </row>
    <row r="543" ht="15.75" customHeight="1">
      <c r="A543" s="6" t="s">
        <v>6313</v>
      </c>
      <c r="B543" s="6" t="s">
        <v>1070</v>
      </c>
      <c r="C543" s="3" t="s">
        <v>12</v>
      </c>
      <c r="D543" s="3">
        <v>1051077.0</v>
      </c>
      <c r="E543" s="8">
        <v>8.7</v>
      </c>
      <c r="F543" s="3">
        <v>120.0</v>
      </c>
      <c r="G543" s="7">
        <v>42179.0</v>
      </c>
      <c r="H543" s="3" t="s">
        <v>4</v>
      </c>
      <c r="I543" s="8">
        <v>639583.75</v>
      </c>
      <c r="J543" s="6" t="s">
        <v>323</v>
      </c>
      <c r="K543" s="3" t="s">
        <v>568</v>
      </c>
    </row>
    <row r="544" ht="15.75" customHeight="1">
      <c r="A544" s="6" t="s">
        <v>6320</v>
      </c>
      <c r="B544" s="6" t="s">
        <v>1572</v>
      </c>
      <c r="C544" s="3" t="s">
        <v>12</v>
      </c>
      <c r="D544" s="3">
        <v>1967177.0</v>
      </c>
      <c r="E544" s="8">
        <v>15.33</v>
      </c>
      <c r="F544" s="3">
        <v>12.0</v>
      </c>
      <c r="G544" s="7">
        <v>40972.0</v>
      </c>
      <c r="H544" s="3" t="s">
        <v>4</v>
      </c>
      <c r="I544" s="8">
        <v>742492.76</v>
      </c>
      <c r="J544" s="6" t="s">
        <v>221</v>
      </c>
      <c r="K544" s="3" t="s">
        <v>568</v>
      </c>
    </row>
    <row r="545" ht="15.75" customHeight="1">
      <c r="A545" s="6" t="s">
        <v>6328</v>
      </c>
      <c r="B545" s="6" t="s">
        <v>4490</v>
      </c>
      <c r="C545" s="3" t="s">
        <v>22</v>
      </c>
      <c r="D545" s="3">
        <v>836022.0</v>
      </c>
      <c r="E545" s="8">
        <v>12.28</v>
      </c>
      <c r="F545" s="3">
        <v>60.0</v>
      </c>
      <c r="G545" s="7">
        <v>42540.0</v>
      </c>
      <c r="H545" s="3" t="s">
        <v>5</v>
      </c>
      <c r="I545" s="8">
        <v>0.0</v>
      </c>
      <c r="J545" s="6" t="s">
        <v>171</v>
      </c>
      <c r="K545" s="3" t="s">
        <v>568</v>
      </c>
    </row>
    <row r="546" ht="15.75" customHeight="1">
      <c r="A546" s="6" t="s">
        <v>6336</v>
      </c>
      <c r="B546" s="6" t="s">
        <v>1246</v>
      </c>
      <c r="C546" s="3" t="s">
        <v>15</v>
      </c>
      <c r="D546" s="3">
        <v>5488022.0</v>
      </c>
      <c r="E546" s="8">
        <v>9.01</v>
      </c>
      <c r="F546" s="3">
        <v>84.0</v>
      </c>
      <c r="G546" s="7">
        <v>42351.0</v>
      </c>
      <c r="H546" s="3" t="s">
        <v>4</v>
      </c>
      <c r="I546" s="8">
        <v>2758879.54</v>
      </c>
      <c r="J546" s="6" t="s">
        <v>109</v>
      </c>
      <c r="K546" s="3" t="s">
        <v>568</v>
      </c>
    </row>
    <row r="547" ht="15.75" customHeight="1">
      <c r="A547" s="6" t="s">
        <v>6348</v>
      </c>
      <c r="B547" s="6" t="s">
        <v>4124</v>
      </c>
      <c r="C547" s="3" t="s">
        <v>22</v>
      </c>
      <c r="D547" s="3">
        <v>207702.0</v>
      </c>
      <c r="E547" s="8">
        <v>11.07</v>
      </c>
      <c r="F547" s="3">
        <v>12.0</v>
      </c>
      <c r="G547" s="7">
        <v>41421.0</v>
      </c>
      <c r="H547" s="3" t="s">
        <v>5</v>
      </c>
      <c r="I547" s="8">
        <v>0.0</v>
      </c>
      <c r="J547" s="6" t="s">
        <v>80</v>
      </c>
      <c r="K547" s="3" t="s">
        <v>568</v>
      </c>
    </row>
    <row r="548" ht="15.75" customHeight="1">
      <c r="A548" s="6" t="s">
        <v>6359</v>
      </c>
      <c r="B548" s="6" t="s">
        <v>1221</v>
      </c>
      <c r="C548" s="3" t="s">
        <v>13</v>
      </c>
      <c r="D548" s="3">
        <v>444617.0</v>
      </c>
      <c r="E548" s="8">
        <v>12.76</v>
      </c>
      <c r="F548" s="3">
        <v>60.0</v>
      </c>
      <c r="G548" s="7">
        <v>42897.0</v>
      </c>
      <c r="H548" s="3" t="s">
        <v>5</v>
      </c>
      <c r="I548" s="8">
        <v>0.0</v>
      </c>
      <c r="J548" s="6" t="s">
        <v>146</v>
      </c>
      <c r="K548" s="3" t="s">
        <v>568</v>
      </c>
    </row>
    <row r="549" ht="15.75" customHeight="1">
      <c r="A549" s="6" t="s">
        <v>6363</v>
      </c>
      <c r="B549" s="6" t="s">
        <v>4006</v>
      </c>
      <c r="C549" s="3" t="s">
        <v>10</v>
      </c>
      <c r="D549" s="3">
        <v>1246841.0</v>
      </c>
      <c r="E549" s="8">
        <v>14.78</v>
      </c>
      <c r="F549" s="3">
        <v>12.0</v>
      </c>
      <c r="G549" s="7">
        <v>43242.0</v>
      </c>
      <c r="H549" s="3" t="s">
        <v>5</v>
      </c>
      <c r="I549" s="8">
        <v>0.0</v>
      </c>
      <c r="J549" s="6" t="s">
        <v>60</v>
      </c>
      <c r="K549" s="3" t="s">
        <v>568</v>
      </c>
    </row>
    <row r="550" ht="15.75" customHeight="1">
      <c r="A550" s="6" t="s">
        <v>6368</v>
      </c>
      <c r="B550" s="6" t="s">
        <v>3781</v>
      </c>
      <c r="C550" s="3" t="s">
        <v>10</v>
      </c>
      <c r="D550" s="3">
        <v>1311125.0</v>
      </c>
      <c r="E550" s="8">
        <v>14.8</v>
      </c>
      <c r="F550" s="3">
        <v>60.0</v>
      </c>
      <c r="G550" s="7">
        <v>41667.0</v>
      </c>
      <c r="H550" s="3" t="s">
        <v>7</v>
      </c>
      <c r="I550" s="8">
        <v>645463.02</v>
      </c>
      <c r="J550" s="6" t="s">
        <v>163</v>
      </c>
      <c r="K550" s="3" t="s">
        <v>568</v>
      </c>
    </row>
    <row r="551" ht="15.75" customHeight="1">
      <c r="A551" s="6" t="s">
        <v>6374</v>
      </c>
      <c r="B551" s="6" t="s">
        <v>1297</v>
      </c>
      <c r="C551" s="3" t="s">
        <v>13</v>
      </c>
      <c r="D551" s="3">
        <v>47190.0</v>
      </c>
      <c r="E551" s="8">
        <v>15.07</v>
      </c>
      <c r="F551" s="3">
        <v>60.0</v>
      </c>
      <c r="G551" s="7">
        <v>42059.0</v>
      </c>
      <c r="H551" s="3" t="s">
        <v>5</v>
      </c>
      <c r="I551" s="8">
        <v>0.0</v>
      </c>
      <c r="J551" s="6" t="s">
        <v>333</v>
      </c>
      <c r="K551" s="3" t="s">
        <v>568</v>
      </c>
    </row>
    <row r="552" ht="15.75" customHeight="1">
      <c r="A552" s="6" t="s">
        <v>6381</v>
      </c>
      <c r="B552" s="6" t="s">
        <v>4967</v>
      </c>
      <c r="C552" s="3" t="s">
        <v>10</v>
      </c>
      <c r="D552" s="3">
        <v>1388090.0</v>
      </c>
      <c r="E552" s="8">
        <v>9.69</v>
      </c>
      <c r="F552" s="3">
        <v>60.0</v>
      </c>
      <c r="G552" s="7">
        <v>45365.0</v>
      </c>
      <c r="H552" s="3" t="s">
        <v>5</v>
      </c>
      <c r="I552" s="8">
        <v>0.0</v>
      </c>
      <c r="J552" s="6" t="s">
        <v>333</v>
      </c>
      <c r="K552" s="3" t="s">
        <v>568</v>
      </c>
    </row>
    <row r="553" ht="15.75" customHeight="1">
      <c r="A553" s="6" t="s">
        <v>6383</v>
      </c>
      <c r="B553" s="6" t="s">
        <v>1317</v>
      </c>
      <c r="C553" s="3" t="s">
        <v>11</v>
      </c>
      <c r="D553" s="3">
        <v>4698619.0</v>
      </c>
      <c r="E553" s="8">
        <v>13.01</v>
      </c>
      <c r="F553" s="3">
        <v>36.0</v>
      </c>
      <c r="G553" s="7">
        <v>45410.0</v>
      </c>
      <c r="H553" s="3" t="s">
        <v>4</v>
      </c>
      <c r="I553" s="8">
        <v>3515198.56</v>
      </c>
      <c r="J553" s="6" t="s">
        <v>311</v>
      </c>
      <c r="K553" s="3" t="s">
        <v>568</v>
      </c>
    </row>
    <row r="554" ht="15.75" customHeight="1">
      <c r="A554" s="6" t="s">
        <v>6386</v>
      </c>
      <c r="B554" s="6" t="s">
        <v>2393</v>
      </c>
      <c r="C554" s="3" t="s">
        <v>13</v>
      </c>
      <c r="D554" s="3">
        <v>291302.0</v>
      </c>
      <c r="E554" s="8">
        <v>8.1</v>
      </c>
      <c r="F554" s="3">
        <v>120.0</v>
      </c>
      <c r="G554" s="7">
        <v>43528.0</v>
      </c>
      <c r="H554" s="3" t="s">
        <v>4</v>
      </c>
      <c r="I554" s="8">
        <v>89716.92</v>
      </c>
      <c r="J554" s="6" t="s">
        <v>197</v>
      </c>
      <c r="K554" s="3" t="s">
        <v>568</v>
      </c>
    </row>
    <row r="555" ht="15.75" customHeight="1">
      <c r="A555" s="6" t="s">
        <v>6391</v>
      </c>
      <c r="B555" s="6" t="s">
        <v>2980</v>
      </c>
      <c r="C555" s="3" t="s">
        <v>22</v>
      </c>
      <c r="D555" s="3">
        <v>971265.0</v>
      </c>
      <c r="E555" s="8">
        <v>10.14</v>
      </c>
      <c r="F555" s="3">
        <v>180.0</v>
      </c>
      <c r="G555" s="7">
        <v>42872.0</v>
      </c>
      <c r="H555" s="3" t="s">
        <v>4</v>
      </c>
      <c r="I555" s="8">
        <v>33353.24</v>
      </c>
      <c r="J555" s="6" t="s">
        <v>197</v>
      </c>
      <c r="K555" s="3" t="s">
        <v>568</v>
      </c>
    </row>
    <row r="556" ht="15.75" customHeight="1">
      <c r="A556" s="6" t="s">
        <v>6394</v>
      </c>
      <c r="B556" s="6" t="s">
        <v>1392</v>
      </c>
      <c r="C556" s="3" t="s">
        <v>22</v>
      </c>
      <c r="D556" s="3">
        <v>706556.0</v>
      </c>
      <c r="E556" s="8">
        <v>13.08</v>
      </c>
      <c r="F556" s="3">
        <v>36.0</v>
      </c>
      <c r="G556" s="7">
        <v>41799.0</v>
      </c>
      <c r="H556" s="3" t="s">
        <v>6</v>
      </c>
      <c r="I556" s="8">
        <v>672492.04</v>
      </c>
      <c r="J556" s="6" t="s">
        <v>146</v>
      </c>
      <c r="K556" s="3" t="s">
        <v>568</v>
      </c>
    </row>
    <row r="557" ht="15.75" customHeight="1">
      <c r="A557" s="6" t="s">
        <v>6403</v>
      </c>
      <c r="B557" s="6" t="s">
        <v>2110</v>
      </c>
      <c r="C557" s="3" t="s">
        <v>22</v>
      </c>
      <c r="D557" s="3">
        <v>740621.0</v>
      </c>
      <c r="E557" s="8">
        <v>14.56</v>
      </c>
      <c r="F557" s="3">
        <v>240.0</v>
      </c>
      <c r="G557" s="7">
        <v>42991.0</v>
      </c>
      <c r="H557" s="3" t="s">
        <v>4</v>
      </c>
      <c r="I557" s="8">
        <v>75634.97</v>
      </c>
      <c r="J557" s="6" t="s">
        <v>171</v>
      </c>
      <c r="K557" s="3" t="s">
        <v>568</v>
      </c>
    </row>
    <row r="558" ht="15.75" customHeight="1">
      <c r="A558" s="6" t="s">
        <v>6408</v>
      </c>
      <c r="B558" s="6" t="s">
        <v>3207</v>
      </c>
      <c r="C558" s="3" t="s">
        <v>12</v>
      </c>
      <c r="D558" s="3">
        <v>1341770.0</v>
      </c>
      <c r="E558" s="8">
        <v>7.69</v>
      </c>
      <c r="F558" s="3">
        <v>240.0</v>
      </c>
      <c r="G558" s="7">
        <v>44948.0</v>
      </c>
      <c r="H558" s="3" t="s">
        <v>7</v>
      </c>
      <c r="I558" s="8">
        <v>400600.35</v>
      </c>
      <c r="J558" s="6" t="s">
        <v>333</v>
      </c>
      <c r="K558" s="3" t="s">
        <v>568</v>
      </c>
    </row>
    <row r="559" ht="15.75" customHeight="1">
      <c r="A559" s="6" t="s">
        <v>6419</v>
      </c>
      <c r="B559" s="6" t="s">
        <v>4594</v>
      </c>
      <c r="C559" s="3" t="s">
        <v>12</v>
      </c>
      <c r="D559" s="3">
        <v>1157325.0</v>
      </c>
      <c r="E559" s="8">
        <v>16.06</v>
      </c>
      <c r="F559" s="3">
        <v>60.0</v>
      </c>
      <c r="G559" s="7">
        <v>41479.0</v>
      </c>
      <c r="H559" s="3" t="s">
        <v>4</v>
      </c>
      <c r="I559" s="8">
        <v>173039.91</v>
      </c>
      <c r="J559" s="6" t="s">
        <v>221</v>
      </c>
      <c r="K559" s="3" t="s">
        <v>568</v>
      </c>
    </row>
    <row r="560" ht="15.75" customHeight="1">
      <c r="A560" s="6" t="s">
        <v>6428</v>
      </c>
      <c r="B560" s="6" t="s">
        <v>962</v>
      </c>
      <c r="C560" s="3" t="s">
        <v>12</v>
      </c>
      <c r="D560" s="3">
        <v>1282489.0</v>
      </c>
      <c r="E560" s="8">
        <v>8.55</v>
      </c>
      <c r="F560" s="3">
        <v>24.0</v>
      </c>
      <c r="G560" s="7">
        <v>42005.0</v>
      </c>
      <c r="H560" s="3" t="s">
        <v>4</v>
      </c>
      <c r="I560" s="8">
        <v>951883.5</v>
      </c>
      <c r="J560" s="6" t="s">
        <v>311</v>
      </c>
      <c r="K560" s="3" t="s">
        <v>568</v>
      </c>
    </row>
    <row r="561" ht="15.75" customHeight="1">
      <c r="A561" s="6" t="s">
        <v>6432</v>
      </c>
      <c r="B561" s="6" t="s">
        <v>530</v>
      </c>
      <c r="C561" s="3" t="s">
        <v>13</v>
      </c>
      <c r="D561" s="3">
        <v>473601.0</v>
      </c>
      <c r="E561" s="8">
        <v>13.04</v>
      </c>
      <c r="F561" s="3">
        <v>12.0</v>
      </c>
      <c r="G561" s="7">
        <v>44777.0</v>
      </c>
      <c r="H561" s="3" t="s">
        <v>4</v>
      </c>
      <c r="I561" s="8">
        <v>131498.73</v>
      </c>
      <c r="J561" s="6" t="s">
        <v>266</v>
      </c>
      <c r="K561" s="3" t="s">
        <v>568</v>
      </c>
    </row>
    <row r="562" ht="15.75" customHeight="1">
      <c r="A562" s="6" t="s">
        <v>6441</v>
      </c>
      <c r="B562" s="6" t="s">
        <v>2087</v>
      </c>
      <c r="C562" s="3" t="s">
        <v>22</v>
      </c>
      <c r="D562" s="3">
        <v>315027.0</v>
      </c>
      <c r="E562" s="8">
        <v>13.78</v>
      </c>
      <c r="F562" s="3">
        <v>120.0</v>
      </c>
      <c r="G562" s="7">
        <v>43005.0</v>
      </c>
      <c r="H562" s="3" t="s">
        <v>5</v>
      </c>
      <c r="I562" s="8">
        <v>0.0</v>
      </c>
      <c r="J562" s="6" t="s">
        <v>301</v>
      </c>
      <c r="K562" s="3" t="s">
        <v>568</v>
      </c>
    </row>
    <row r="563" ht="15.75" customHeight="1">
      <c r="A563" s="6" t="s">
        <v>6451</v>
      </c>
      <c r="B563" s="6" t="s">
        <v>1371</v>
      </c>
      <c r="C563" s="3" t="s">
        <v>11</v>
      </c>
      <c r="D563" s="3">
        <v>1974636.0</v>
      </c>
      <c r="E563" s="8">
        <v>9.5</v>
      </c>
      <c r="F563" s="3">
        <v>120.0</v>
      </c>
      <c r="G563" s="7">
        <v>40985.0</v>
      </c>
      <c r="H563" s="3" t="s">
        <v>7</v>
      </c>
      <c r="I563" s="8">
        <v>883070.82</v>
      </c>
      <c r="J563" s="6" t="s">
        <v>262</v>
      </c>
      <c r="K563" s="3" t="s">
        <v>568</v>
      </c>
    </row>
    <row r="564" ht="15.75" customHeight="1">
      <c r="A564" s="6" t="s">
        <v>6462</v>
      </c>
      <c r="B564" s="6" t="s">
        <v>6016</v>
      </c>
      <c r="C564" s="3" t="s">
        <v>13</v>
      </c>
      <c r="D564" s="3">
        <v>54604.0</v>
      </c>
      <c r="E564" s="8">
        <v>9.93</v>
      </c>
      <c r="F564" s="3">
        <v>60.0</v>
      </c>
      <c r="G564" s="7">
        <v>44768.0</v>
      </c>
      <c r="H564" s="3" t="s">
        <v>5</v>
      </c>
      <c r="I564" s="8">
        <v>0.0</v>
      </c>
      <c r="J564" s="6" t="s">
        <v>397</v>
      </c>
      <c r="K564" s="3" t="s">
        <v>568</v>
      </c>
    </row>
    <row r="565" ht="15.75" customHeight="1">
      <c r="A565" s="6" t="s">
        <v>6469</v>
      </c>
      <c r="B565" s="6" t="s">
        <v>5057</v>
      </c>
      <c r="C565" s="3" t="s">
        <v>22</v>
      </c>
      <c r="D565" s="3">
        <v>748666.0</v>
      </c>
      <c r="E565" s="8">
        <v>15.18</v>
      </c>
      <c r="F565" s="3">
        <v>84.0</v>
      </c>
      <c r="G565" s="7">
        <v>44634.0</v>
      </c>
      <c r="H565" s="3" t="s">
        <v>4</v>
      </c>
      <c r="I565" s="8">
        <v>565386.72</v>
      </c>
      <c r="J565" s="6" t="s">
        <v>311</v>
      </c>
      <c r="K565" s="3" t="s">
        <v>568</v>
      </c>
    </row>
    <row r="566" ht="15.75" customHeight="1">
      <c r="A566" s="6" t="s">
        <v>6478</v>
      </c>
      <c r="B566" s="6" t="s">
        <v>1896</v>
      </c>
      <c r="C566" s="3" t="s">
        <v>12</v>
      </c>
      <c r="D566" s="3">
        <v>1344253.0</v>
      </c>
      <c r="E566" s="8">
        <v>11.83</v>
      </c>
      <c r="F566" s="3">
        <v>36.0</v>
      </c>
      <c r="G566" s="7">
        <v>41149.0</v>
      </c>
      <c r="H566" s="3" t="s">
        <v>7</v>
      </c>
      <c r="I566" s="8">
        <v>383919.74</v>
      </c>
      <c r="J566" s="6" t="s">
        <v>266</v>
      </c>
      <c r="K566" s="3" t="s">
        <v>568</v>
      </c>
    </row>
    <row r="567" ht="15.75" customHeight="1">
      <c r="A567" s="6" t="s">
        <v>6484</v>
      </c>
      <c r="B567" s="6" t="s">
        <v>2824</v>
      </c>
      <c r="C567" s="3" t="s">
        <v>13</v>
      </c>
      <c r="D567" s="3">
        <v>492718.0</v>
      </c>
      <c r="E567" s="8">
        <v>8.5</v>
      </c>
      <c r="F567" s="3">
        <v>180.0</v>
      </c>
      <c r="G567" s="7">
        <v>45027.0</v>
      </c>
      <c r="H567" s="3" t="s">
        <v>5</v>
      </c>
      <c r="I567" s="8">
        <v>0.0</v>
      </c>
      <c r="J567" s="6" t="s">
        <v>288</v>
      </c>
      <c r="K567" s="3" t="s">
        <v>568</v>
      </c>
    </row>
    <row r="568" ht="15.75" customHeight="1">
      <c r="A568" s="6" t="s">
        <v>6489</v>
      </c>
      <c r="B568" s="6" t="s">
        <v>3252</v>
      </c>
      <c r="C568" s="3" t="s">
        <v>15</v>
      </c>
      <c r="D568" s="3">
        <v>3117749.0</v>
      </c>
      <c r="E568" s="8">
        <v>7.76</v>
      </c>
      <c r="F568" s="3">
        <v>24.0</v>
      </c>
      <c r="G568" s="7">
        <v>44941.0</v>
      </c>
      <c r="H568" s="3" t="s">
        <v>4</v>
      </c>
      <c r="I568" s="8">
        <v>1007117.2</v>
      </c>
      <c r="J568" s="6" t="s">
        <v>208</v>
      </c>
      <c r="K568" s="3" t="s">
        <v>568</v>
      </c>
    </row>
    <row r="569" ht="15.75" customHeight="1">
      <c r="A569" s="6" t="s">
        <v>6493</v>
      </c>
      <c r="B569" s="6" t="s">
        <v>2711</v>
      </c>
      <c r="C569" s="3" t="s">
        <v>15</v>
      </c>
      <c r="D569" s="3">
        <v>3076958.0</v>
      </c>
      <c r="E569" s="8">
        <v>14.26</v>
      </c>
      <c r="F569" s="3">
        <v>24.0</v>
      </c>
      <c r="G569" s="7">
        <v>42366.0</v>
      </c>
      <c r="H569" s="3" t="s">
        <v>4</v>
      </c>
      <c r="I569" s="8">
        <v>2589220.96</v>
      </c>
      <c r="J569" s="6" t="s">
        <v>323</v>
      </c>
      <c r="K569" s="3" t="s">
        <v>568</v>
      </c>
    </row>
    <row r="570" ht="15.75" customHeight="1">
      <c r="A570" s="6" t="s">
        <v>6500</v>
      </c>
      <c r="B570" s="6" t="s">
        <v>1302</v>
      </c>
      <c r="C570" s="3" t="s">
        <v>13</v>
      </c>
      <c r="D570" s="3">
        <v>68053.0</v>
      </c>
      <c r="E570" s="8">
        <v>7.71</v>
      </c>
      <c r="F570" s="3">
        <v>84.0</v>
      </c>
      <c r="G570" s="7">
        <v>43053.0</v>
      </c>
      <c r="H570" s="3" t="s">
        <v>4</v>
      </c>
      <c r="I570" s="8">
        <v>20140.0</v>
      </c>
      <c r="J570" s="6" t="s">
        <v>311</v>
      </c>
      <c r="K570" s="3" t="s">
        <v>568</v>
      </c>
    </row>
    <row r="571" ht="15.75" customHeight="1">
      <c r="A571" s="6" t="s">
        <v>6504</v>
      </c>
      <c r="B571" s="6" t="s">
        <v>2776</v>
      </c>
      <c r="C571" s="3" t="s">
        <v>11</v>
      </c>
      <c r="D571" s="3">
        <v>3160107.0</v>
      </c>
      <c r="E571" s="8">
        <v>7.62</v>
      </c>
      <c r="F571" s="3">
        <v>24.0</v>
      </c>
      <c r="G571" s="7">
        <v>41599.0</v>
      </c>
      <c r="H571" s="3" t="s">
        <v>4</v>
      </c>
      <c r="I571" s="8">
        <v>1326162.75</v>
      </c>
      <c r="J571" s="6" t="s">
        <v>401</v>
      </c>
      <c r="K571" s="3" t="s">
        <v>568</v>
      </c>
    </row>
    <row r="572" ht="15.75" customHeight="1">
      <c r="A572" s="6" t="s">
        <v>6509</v>
      </c>
      <c r="B572" s="6" t="s">
        <v>3580</v>
      </c>
      <c r="C572" s="3" t="s">
        <v>15</v>
      </c>
      <c r="D572" s="3">
        <v>4904445.0</v>
      </c>
      <c r="E572" s="8">
        <v>11.31</v>
      </c>
      <c r="F572" s="3">
        <v>12.0</v>
      </c>
      <c r="G572" s="7">
        <v>40964.0</v>
      </c>
      <c r="H572" s="3" t="s">
        <v>7</v>
      </c>
      <c r="I572" s="8">
        <v>3305983.57</v>
      </c>
      <c r="J572" s="6" t="s">
        <v>146</v>
      </c>
      <c r="K572" s="3" t="s">
        <v>568</v>
      </c>
    </row>
    <row r="573" ht="15.75" customHeight="1">
      <c r="A573" s="6" t="s">
        <v>6512</v>
      </c>
      <c r="B573" s="6" t="s">
        <v>6513</v>
      </c>
      <c r="C573" s="3" t="s">
        <v>22</v>
      </c>
      <c r="D573" s="3">
        <v>367982.0</v>
      </c>
      <c r="E573" s="8">
        <v>11.68</v>
      </c>
      <c r="F573" s="3">
        <v>84.0</v>
      </c>
      <c r="G573" s="7">
        <v>42122.0</v>
      </c>
      <c r="H573" s="3" t="s">
        <v>4</v>
      </c>
      <c r="I573" s="8">
        <v>273202.56</v>
      </c>
      <c r="J573" s="6" t="s">
        <v>197</v>
      </c>
      <c r="K573" s="3" t="s">
        <v>568</v>
      </c>
    </row>
    <row r="574" ht="15.75" customHeight="1">
      <c r="A574" s="6" t="s">
        <v>6520</v>
      </c>
      <c r="B574" s="6" t="s">
        <v>3698</v>
      </c>
      <c r="C574" s="3" t="s">
        <v>11</v>
      </c>
      <c r="D574" s="3">
        <v>3684591.0</v>
      </c>
      <c r="E574" s="8">
        <v>12.55</v>
      </c>
      <c r="F574" s="3">
        <v>12.0</v>
      </c>
      <c r="G574" s="7">
        <v>43663.0</v>
      </c>
      <c r="H574" s="3" t="s">
        <v>4</v>
      </c>
      <c r="I574" s="8">
        <v>786074.8</v>
      </c>
      <c r="J574" s="6" t="s">
        <v>277</v>
      </c>
      <c r="K574" s="3" t="s">
        <v>568</v>
      </c>
    </row>
    <row r="575" ht="15.75" customHeight="1">
      <c r="A575" s="6" t="s">
        <v>6522</v>
      </c>
      <c r="B575" s="6" t="s">
        <v>1417</v>
      </c>
      <c r="C575" s="3" t="s">
        <v>10</v>
      </c>
      <c r="D575" s="3">
        <v>1353654.0</v>
      </c>
      <c r="E575" s="8">
        <v>8.94</v>
      </c>
      <c r="F575" s="3">
        <v>60.0</v>
      </c>
      <c r="G575" s="7">
        <v>45574.0</v>
      </c>
      <c r="H575" s="3" t="s">
        <v>4</v>
      </c>
      <c r="I575" s="8">
        <v>738236.01</v>
      </c>
      <c r="J575" s="6" t="s">
        <v>197</v>
      </c>
      <c r="K575" s="3" t="s">
        <v>568</v>
      </c>
    </row>
    <row r="576" ht="15.75" customHeight="1">
      <c r="A576" s="6" t="s">
        <v>6531</v>
      </c>
      <c r="B576" s="6" t="s">
        <v>2323</v>
      </c>
      <c r="C576" s="3" t="s">
        <v>22</v>
      </c>
      <c r="D576" s="3">
        <v>70568.0</v>
      </c>
      <c r="E576" s="8">
        <v>12.58</v>
      </c>
      <c r="F576" s="3">
        <v>12.0</v>
      </c>
      <c r="G576" s="7">
        <v>42012.0</v>
      </c>
      <c r="H576" s="3" t="s">
        <v>7</v>
      </c>
      <c r="I576" s="8">
        <v>27671.27</v>
      </c>
      <c r="J576" s="6" t="s">
        <v>146</v>
      </c>
      <c r="K576" s="3" t="s">
        <v>568</v>
      </c>
    </row>
    <row r="577" ht="15.75" customHeight="1">
      <c r="A577" s="6" t="s">
        <v>6533</v>
      </c>
      <c r="B577" s="6" t="s">
        <v>2161</v>
      </c>
      <c r="C577" s="3" t="s">
        <v>13</v>
      </c>
      <c r="D577" s="3">
        <v>486525.0</v>
      </c>
      <c r="E577" s="8">
        <v>7.62</v>
      </c>
      <c r="F577" s="3">
        <v>36.0</v>
      </c>
      <c r="G577" s="7">
        <v>44377.0</v>
      </c>
      <c r="H577" s="3" t="s">
        <v>4</v>
      </c>
      <c r="I577" s="8">
        <v>324247.14</v>
      </c>
      <c r="J577" s="6" t="s">
        <v>301</v>
      </c>
      <c r="K577" s="3" t="s">
        <v>568</v>
      </c>
    </row>
    <row r="578" ht="15.75" customHeight="1">
      <c r="A578" s="6" t="s">
        <v>6537</v>
      </c>
      <c r="B578" s="6" t="s">
        <v>57</v>
      </c>
      <c r="C578" s="3" t="s">
        <v>12</v>
      </c>
      <c r="D578" s="3">
        <v>1266669.0</v>
      </c>
      <c r="E578" s="8">
        <v>11.93</v>
      </c>
      <c r="F578" s="3">
        <v>12.0</v>
      </c>
      <c r="G578" s="7">
        <v>45165.0</v>
      </c>
      <c r="H578" s="3" t="s">
        <v>5</v>
      </c>
      <c r="I578" s="8">
        <v>0.0</v>
      </c>
      <c r="J578" s="6" t="s">
        <v>311</v>
      </c>
      <c r="K578" s="3" t="s">
        <v>568</v>
      </c>
    </row>
    <row r="579" ht="15.75" customHeight="1">
      <c r="A579" s="6" t="s">
        <v>6543</v>
      </c>
      <c r="B579" s="6" t="s">
        <v>4540</v>
      </c>
      <c r="C579" s="3" t="s">
        <v>15</v>
      </c>
      <c r="D579" s="3">
        <v>2501093.0</v>
      </c>
      <c r="E579" s="8">
        <v>15.12</v>
      </c>
      <c r="F579" s="3">
        <v>240.0</v>
      </c>
      <c r="G579" s="7">
        <v>43184.0</v>
      </c>
      <c r="H579" s="3" t="s">
        <v>4</v>
      </c>
      <c r="I579" s="8">
        <v>72887.32</v>
      </c>
      <c r="J579" s="6" t="s">
        <v>262</v>
      </c>
      <c r="K579" s="3" t="s">
        <v>568</v>
      </c>
    </row>
    <row r="580" ht="15.75" customHeight="1">
      <c r="A580" s="6" t="s">
        <v>6548</v>
      </c>
      <c r="B580" s="6" t="s">
        <v>1576</v>
      </c>
      <c r="C580" s="3" t="s">
        <v>13</v>
      </c>
      <c r="D580" s="3">
        <v>259976.0</v>
      </c>
      <c r="E580" s="8">
        <v>14.04</v>
      </c>
      <c r="F580" s="3">
        <v>84.0</v>
      </c>
      <c r="G580" s="7">
        <v>44418.0</v>
      </c>
      <c r="H580" s="3" t="s">
        <v>4</v>
      </c>
      <c r="I580" s="8">
        <v>156635.19</v>
      </c>
      <c r="J580" s="6" t="s">
        <v>288</v>
      </c>
      <c r="K580" s="3" t="s">
        <v>568</v>
      </c>
    </row>
    <row r="581" ht="15.75" customHeight="1">
      <c r="A581" s="6" t="s">
        <v>6556</v>
      </c>
      <c r="B581" s="6" t="s">
        <v>2567</v>
      </c>
      <c r="C581" s="3" t="s">
        <v>15</v>
      </c>
      <c r="D581" s="3">
        <v>2470917.0</v>
      </c>
      <c r="E581" s="8">
        <v>13.82</v>
      </c>
      <c r="F581" s="3">
        <v>24.0</v>
      </c>
      <c r="G581" s="7">
        <v>45251.0</v>
      </c>
      <c r="H581" s="3" t="s">
        <v>4</v>
      </c>
      <c r="I581" s="8">
        <v>1024321.76</v>
      </c>
      <c r="J581" s="6" t="s">
        <v>171</v>
      </c>
      <c r="K581" s="3" t="s">
        <v>568</v>
      </c>
    </row>
    <row r="582" ht="15.75" customHeight="1">
      <c r="A582" s="6" t="s">
        <v>6560</v>
      </c>
      <c r="B582" s="6" t="s">
        <v>2568</v>
      </c>
      <c r="C582" s="3" t="s">
        <v>12</v>
      </c>
      <c r="D582" s="3">
        <v>722424.0</v>
      </c>
      <c r="E582" s="8">
        <v>15.45</v>
      </c>
      <c r="F582" s="3">
        <v>120.0</v>
      </c>
      <c r="G582" s="7">
        <v>45335.0</v>
      </c>
      <c r="H582" s="3" t="s">
        <v>4</v>
      </c>
      <c r="I582" s="8">
        <v>128197.09</v>
      </c>
      <c r="J582" s="6" t="s">
        <v>401</v>
      </c>
      <c r="K582" s="3" t="s">
        <v>568</v>
      </c>
    </row>
    <row r="583" ht="15.75" customHeight="1">
      <c r="A583" s="6" t="s">
        <v>6565</v>
      </c>
      <c r="B583" s="6" t="s">
        <v>5041</v>
      </c>
      <c r="C583" s="3" t="s">
        <v>11</v>
      </c>
      <c r="D583" s="3">
        <v>1070675.0</v>
      </c>
      <c r="E583" s="8">
        <v>12.52</v>
      </c>
      <c r="F583" s="3">
        <v>84.0</v>
      </c>
      <c r="G583" s="7">
        <v>45168.0</v>
      </c>
      <c r="H583" s="3" t="s">
        <v>5</v>
      </c>
      <c r="I583" s="8">
        <v>0.0</v>
      </c>
      <c r="J583" s="6" t="s">
        <v>36</v>
      </c>
      <c r="K583" s="3" t="s">
        <v>568</v>
      </c>
    </row>
    <row r="584" ht="15.75" customHeight="1">
      <c r="A584" s="6" t="s">
        <v>6569</v>
      </c>
      <c r="B584" s="6" t="s">
        <v>599</v>
      </c>
      <c r="C584" s="3" t="s">
        <v>13</v>
      </c>
      <c r="D584" s="3">
        <v>445758.0</v>
      </c>
      <c r="E584" s="8">
        <v>15.17</v>
      </c>
      <c r="F584" s="3">
        <v>60.0</v>
      </c>
      <c r="G584" s="7">
        <v>44999.0</v>
      </c>
      <c r="H584" s="3" t="s">
        <v>5</v>
      </c>
      <c r="I584" s="8">
        <v>0.0</v>
      </c>
      <c r="J584" s="6" t="s">
        <v>129</v>
      </c>
      <c r="K584" s="3" t="s">
        <v>568</v>
      </c>
    </row>
    <row r="585" ht="15.75" customHeight="1">
      <c r="A585" s="6" t="s">
        <v>6579</v>
      </c>
      <c r="B585" s="6" t="s">
        <v>4374</v>
      </c>
      <c r="C585" s="3" t="s">
        <v>15</v>
      </c>
      <c r="D585" s="3">
        <v>4572318.0</v>
      </c>
      <c r="E585" s="8">
        <v>15.15</v>
      </c>
      <c r="F585" s="3">
        <v>180.0</v>
      </c>
      <c r="G585" s="7">
        <v>44891.0</v>
      </c>
      <c r="H585" s="3" t="s">
        <v>4</v>
      </c>
      <c r="I585" s="8">
        <v>586942.11</v>
      </c>
      <c r="J585" s="6" t="s">
        <v>163</v>
      </c>
      <c r="K585" s="3" t="s">
        <v>568</v>
      </c>
    </row>
    <row r="586" ht="15.75" customHeight="1">
      <c r="A586" s="6" t="s">
        <v>6583</v>
      </c>
      <c r="B586" s="6" t="s">
        <v>2034</v>
      </c>
      <c r="C586" s="3" t="s">
        <v>11</v>
      </c>
      <c r="D586" s="3">
        <v>2876025.0</v>
      </c>
      <c r="E586" s="8">
        <v>16.12</v>
      </c>
      <c r="F586" s="3">
        <v>120.0</v>
      </c>
      <c r="G586" s="7">
        <v>42309.0</v>
      </c>
      <c r="H586" s="3" t="s">
        <v>4</v>
      </c>
      <c r="I586" s="8">
        <v>2090384.71</v>
      </c>
      <c r="J586" s="6" t="s">
        <v>352</v>
      </c>
      <c r="K586" s="3" t="s">
        <v>568</v>
      </c>
    </row>
    <row r="587" ht="15.75" customHeight="1">
      <c r="A587" s="6" t="s">
        <v>6592</v>
      </c>
      <c r="B587" s="6" t="s">
        <v>1986</v>
      </c>
      <c r="C587" s="3" t="s">
        <v>11</v>
      </c>
      <c r="D587" s="3">
        <v>3189585.0</v>
      </c>
      <c r="E587" s="8">
        <v>14.63</v>
      </c>
      <c r="F587" s="3">
        <v>60.0</v>
      </c>
      <c r="G587" s="7">
        <v>41616.0</v>
      </c>
      <c r="H587" s="3" t="s">
        <v>7</v>
      </c>
      <c r="I587" s="8">
        <v>2338675.61</v>
      </c>
      <c r="J587" s="6" t="s">
        <v>179</v>
      </c>
      <c r="K587" s="3" t="s">
        <v>568</v>
      </c>
    </row>
    <row r="588" ht="15.75" customHeight="1">
      <c r="A588" s="6" t="s">
        <v>6602</v>
      </c>
      <c r="B588" s="6" t="s">
        <v>1931</v>
      </c>
      <c r="C588" s="3" t="s">
        <v>10</v>
      </c>
      <c r="D588" s="3">
        <v>1397692.0</v>
      </c>
      <c r="E588" s="8">
        <v>15.92</v>
      </c>
      <c r="F588" s="3">
        <v>36.0</v>
      </c>
      <c r="G588" s="7">
        <v>42430.0</v>
      </c>
      <c r="H588" s="3" t="s">
        <v>5</v>
      </c>
      <c r="I588" s="8">
        <v>0.0</v>
      </c>
      <c r="J588" s="6" t="s">
        <v>163</v>
      </c>
      <c r="K588" s="3" t="s">
        <v>568</v>
      </c>
    </row>
    <row r="589" ht="15.75" customHeight="1">
      <c r="A589" s="6" t="s">
        <v>6607</v>
      </c>
      <c r="B589" s="6" t="s">
        <v>1521</v>
      </c>
      <c r="C589" s="3" t="s">
        <v>13</v>
      </c>
      <c r="D589" s="3">
        <v>101843.0</v>
      </c>
      <c r="E589" s="8">
        <v>14.66</v>
      </c>
      <c r="F589" s="3">
        <v>240.0</v>
      </c>
      <c r="G589" s="7">
        <v>42039.0</v>
      </c>
      <c r="H589" s="3" t="s">
        <v>5</v>
      </c>
      <c r="I589" s="8">
        <v>0.0</v>
      </c>
      <c r="J589" s="6" t="s">
        <v>284</v>
      </c>
      <c r="K589" s="3" t="s">
        <v>568</v>
      </c>
    </row>
    <row r="590" ht="15.75" customHeight="1">
      <c r="A590" s="6" t="s">
        <v>6614</v>
      </c>
      <c r="B590" s="6" t="s">
        <v>6615</v>
      </c>
      <c r="C590" s="3" t="s">
        <v>12</v>
      </c>
      <c r="D590" s="3">
        <v>391386.0</v>
      </c>
      <c r="E590" s="8">
        <v>14.29</v>
      </c>
      <c r="F590" s="3">
        <v>12.0</v>
      </c>
      <c r="G590" s="7">
        <v>41848.0</v>
      </c>
      <c r="H590" s="3" t="s">
        <v>5</v>
      </c>
      <c r="I590" s="8">
        <v>0.0</v>
      </c>
      <c r="J590" s="6" t="s">
        <v>262</v>
      </c>
      <c r="K590" s="3" t="s">
        <v>568</v>
      </c>
    </row>
    <row r="591" ht="15.75" customHeight="1">
      <c r="A591" s="6" t="s">
        <v>6617</v>
      </c>
      <c r="B591" s="6" t="s">
        <v>4062</v>
      </c>
      <c r="C591" s="3" t="s">
        <v>15</v>
      </c>
      <c r="D591" s="3">
        <v>8290563.0</v>
      </c>
      <c r="E591" s="8">
        <v>9.19</v>
      </c>
      <c r="F591" s="3">
        <v>120.0</v>
      </c>
      <c r="G591" s="7">
        <v>44693.0</v>
      </c>
      <c r="H591" s="3" t="s">
        <v>5</v>
      </c>
      <c r="I591" s="8">
        <v>0.0</v>
      </c>
      <c r="J591" s="6" t="s">
        <v>234</v>
      </c>
      <c r="K591" s="3" t="s">
        <v>568</v>
      </c>
    </row>
    <row r="592" ht="15.75" customHeight="1">
      <c r="A592" s="6" t="s">
        <v>6620</v>
      </c>
      <c r="B592" s="6" t="s">
        <v>2508</v>
      </c>
      <c r="C592" s="3" t="s">
        <v>22</v>
      </c>
      <c r="D592" s="3">
        <v>720932.0</v>
      </c>
      <c r="E592" s="8">
        <v>11.48</v>
      </c>
      <c r="F592" s="3">
        <v>24.0</v>
      </c>
      <c r="G592" s="7">
        <v>42100.0</v>
      </c>
      <c r="H592" s="3" t="s">
        <v>5</v>
      </c>
      <c r="I592" s="8">
        <v>0.0</v>
      </c>
      <c r="J592" s="6" t="s">
        <v>397</v>
      </c>
      <c r="K592" s="3" t="s">
        <v>568</v>
      </c>
    </row>
    <row r="593" ht="15.75" customHeight="1">
      <c r="A593" s="6" t="s">
        <v>6625</v>
      </c>
      <c r="B593" s="6" t="s">
        <v>3691</v>
      </c>
      <c r="C593" s="3" t="s">
        <v>13</v>
      </c>
      <c r="D593" s="3">
        <v>446448.0</v>
      </c>
      <c r="E593" s="8">
        <v>12.92</v>
      </c>
      <c r="F593" s="3">
        <v>180.0</v>
      </c>
      <c r="G593" s="7">
        <v>42826.0</v>
      </c>
      <c r="H593" s="3" t="s">
        <v>5</v>
      </c>
      <c r="I593" s="8">
        <v>0.0</v>
      </c>
      <c r="J593" s="6" t="s">
        <v>197</v>
      </c>
      <c r="K593" s="3" t="s">
        <v>568</v>
      </c>
    </row>
    <row r="594" ht="15.75" customHeight="1">
      <c r="A594" s="6" t="s">
        <v>6626</v>
      </c>
      <c r="B594" s="6" t="s">
        <v>4367</v>
      </c>
      <c r="C594" s="3" t="s">
        <v>22</v>
      </c>
      <c r="D594" s="3">
        <v>272258.0</v>
      </c>
      <c r="E594" s="8">
        <v>12.2</v>
      </c>
      <c r="F594" s="3">
        <v>24.0</v>
      </c>
      <c r="G594" s="7">
        <v>41636.0</v>
      </c>
      <c r="H594" s="3" t="s">
        <v>5</v>
      </c>
      <c r="I594" s="8">
        <v>0.0</v>
      </c>
      <c r="J594" s="6" t="s">
        <v>92</v>
      </c>
      <c r="K594" s="3" t="s">
        <v>568</v>
      </c>
    </row>
    <row r="595" ht="15.75" customHeight="1">
      <c r="A595" s="6" t="s">
        <v>6631</v>
      </c>
      <c r="B595" s="6" t="s">
        <v>2354</v>
      </c>
      <c r="C595" s="3" t="s">
        <v>12</v>
      </c>
      <c r="D595" s="3">
        <v>1571738.0</v>
      </c>
      <c r="E595" s="8">
        <v>11.96</v>
      </c>
      <c r="F595" s="3">
        <v>60.0</v>
      </c>
      <c r="G595" s="7">
        <v>43530.0</v>
      </c>
      <c r="H595" s="3" t="s">
        <v>4</v>
      </c>
      <c r="I595" s="8">
        <v>13813.19</v>
      </c>
      <c r="J595" s="6" t="s">
        <v>92</v>
      </c>
      <c r="K595" s="3" t="s">
        <v>568</v>
      </c>
    </row>
    <row r="596" ht="15.75" customHeight="1">
      <c r="A596" s="6" t="s">
        <v>6633</v>
      </c>
      <c r="B596" s="6" t="s">
        <v>586</v>
      </c>
      <c r="C596" s="3" t="s">
        <v>15</v>
      </c>
      <c r="D596" s="3">
        <v>2953617.0</v>
      </c>
      <c r="E596" s="8">
        <v>15.94</v>
      </c>
      <c r="F596" s="3">
        <v>84.0</v>
      </c>
      <c r="G596" s="7">
        <v>44007.0</v>
      </c>
      <c r="H596" s="3" t="s">
        <v>4</v>
      </c>
      <c r="I596" s="8">
        <v>182583.73</v>
      </c>
      <c r="J596" s="6" t="s">
        <v>266</v>
      </c>
      <c r="K596" s="3" t="s">
        <v>568</v>
      </c>
    </row>
    <row r="597" ht="15.75" customHeight="1">
      <c r="A597" s="6" t="s">
        <v>6637</v>
      </c>
      <c r="B597" s="6" t="s">
        <v>2918</v>
      </c>
      <c r="C597" s="3" t="s">
        <v>13</v>
      </c>
      <c r="D597" s="3">
        <v>375373.0</v>
      </c>
      <c r="E597" s="8">
        <v>13.4</v>
      </c>
      <c r="F597" s="3">
        <v>180.0</v>
      </c>
      <c r="G597" s="7">
        <v>42743.0</v>
      </c>
      <c r="H597" s="3" t="s">
        <v>5</v>
      </c>
      <c r="I597" s="8">
        <v>0.0</v>
      </c>
      <c r="J597" s="6" t="s">
        <v>163</v>
      </c>
      <c r="K597" s="3" t="s">
        <v>568</v>
      </c>
    </row>
    <row r="598" ht="15.75" customHeight="1">
      <c r="A598" s="6" t="s">
        <v>6643</v>
      </c>
      <c r="B598" s="6" t="s">
        <v>6414</v>
      </c>
      <c r="C598" s="3" t="s">
        <v>12</v>
      </c>
      <c r="D598" s="3">
        <v>258088.0</v>
      </c>
      <c r="E598" s="8">
        <v>12.81</v>
      </c>
      <c r="F598" s="3">
        <v>36.0</v>
      </c>
      <c r="G598" s="7">
        <v>44918.0</v>
      </c>
      <c r="H598" s="3" t="s">
        <v>4</v>
      </c>
      <c r="I598" s="8">
        <v>51457.08</v>
      </c>
      <c r="J598" s="6" t="s">
        <v>60</v>
      </c>
      <c r="K598" s="3" t="s">
        <v>568</v>
      </c>
    </row>
    <row r="599" ht="15.75" customHeight="1">
      <c r="A599" s="6" t="s">
        <v>6646</v>
      </c>
      <c r="B599" s="6" t="s">
        <v>2792</v>
      </c>
      <c r="C599" s="3" t="s">
        <v>15</v>
      </c>
      <c r="D599" s="3">
        <v>6048272.0</v>
      </c>
      <c r="E599" s="8">
        <v>12.14</v>
      </c>
      <c r="F599" s="3">
        <v>84.0</v>
      </c>
      <c r="G599" s="7">
        <v>43034.0</v>
      </c>
      <c r="H599" s="3" t="s">
        <v>5</v>
      </c>
      <c r="I599" s="8">
        <v>0.0</v>
      </c>
      <c r="J599" s="6" t="s">
        <v>262</v>
      </c>
      <c r="K599" s="3" t="s">
        <v>568</v>
      </c>
    </row>
    <row r="600" ht="15.75" customHeight="1">
      <c r="A600" s="6" t="s">
        <v>6650</v>
      </c>
      <c r="B600" s="6" t="s">
        <v>2362</v>
      </c>
      <c r="C600" s="3" t="s">
        <v>11</v>
      </c>
      <c r="D600" s="3">
        <v>4357258.0</v>
      </c>
      <c r="E600" s="8">
        <v>14.67</v>
      </c>
      <c r="F600" s="3">
        <v>12.0</v>
      </c>
      <c r="G600" s="7">
        <v>43291.0</v>
      </c>
      <c r="H600" s="3" t="s">
        <v>4</v>
      </c>
      <c r="I600" s="8">
        <v>3020615.0</v>
      </c>
      <c r="J600" s="6" t="s">
        <v>109</v>
      </c>
      <c r="K600" s="3" t="s">
        <v>568</v>
      </c>
    </row>
    <row r="601" ht="15.75" customHeight="1">
      <c r="A601" s="6" t="s">
        <v>6651</v>
      </c>
      <c r="B601" s="6" t="s">
        <v>2619</v>
      </c>
      <c r="C601" s="3" t="s">
        <v>11</v>
      </c>
      <c r="D601" s="3">
        <v>4355936.0</v>
      </c>
      <c r="E601" s="8">
        <v>13.74</v>
      </c>
      <c r="F601" s="3">
        <v>12.0</v>
      </c>
      <c r="G601" s="7">
        <v>42537.0</v>
      </c>
      <c r="H601" s="3" t="s">
        <v>4</v>
      </c>
      <c r="I601" s="8">
        <v>2978164.9</v>
      </c>
      <c r="J601" s="6" t="s">
        <v>401</v>
      </c>
      <c r="K601" s="3" t="s">
        <v>568</v>
      </c>
    </row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11.0"/>
    <col customWidth="1" min="6" max="6" width="12.0"/>
    <col customWidth="1" min="7" max="7" width="11.0"/>
    <col customWidth="1" min="8" max="8" width="12.0"/>
    <col customWidth="1" min="9" max="9" width="21.0"/>
    <col customWidth="1" min="10" max="26" width="8.71"/>
  </cols>
  <sheetData>
    <row r="1">
      <c r="A1" s="5" t="s">
        <v>728</v>
      </c>
      <c r="B1" s="5" t="s">
        <v>14</v>
      </c>
      <c r="C1" s="5" t="s">
        <v>68</v>
      </c>
      <c r="D1" s="5" t="s">
        <v>734</v>
      </c>
      <c r="E1" s="5" t="s">
        <v>735</v>
      </c>
      <c r="F1" s="5" t="s">
        <v>737</v>
      </c>
      <c r="G1" s="5" t="s">
        <v>175</v>
      </c>
      <c r="H1" s="5" t="s">
        <v>742</v>
      </c>
      <c r="I1" s="5" t="s">
        <v>745</v>
      </c>
    </row>
    <row r="2">
      <c r="A2" s="6" t="s">
        <v>746</v>
      </c>
      <c r="B2" s="6" t="s">
        <v>748</v>
      </c>
      <c r="C2" s="3" t="s">
        <v>77</v>
      </c>
      <c r="D2" s="3">
        <v>800000.0</v>
      </c>
      <c r="E2" s="8">
        <v>678824.1</v>
      </c>
      <c r="F2" s="7">
        <v>44125.0</v>
      </c>
      <c r="G2" s="3" t="s">
        <v>4</v>
      </c>
      <c r="H2" s="7">
        <v>46270.0</v>
      </c>
      <c r="I2" s="3" t="s">
        <v>568</v>
      </c>
    </row>
    <row r="3">
      <c r="A3" s="6" t="s">
        <v>756</v>
      </c>
      <c r="B3" s="6" t="s">
        <v>759</v>
      </c>
      <c r="C3" s="3" t="s">
        <v>162</v>
      </c>
      <c r="D3" s="3">
        <v>500000.0</v>
      </c>
      <c r="E3" s="8">
        <v>183158.54</v>
      </c>
      <c r="F3" s="7">
        <v>43565.0</v>
      </c>
      <c r="G3" s="3" t="s">
        <v>4</v>
      </c>
      <c r="H3" s="7">
        <v>46237.0</v>
      </c>
      <c r="I3" s="3" t="s">
        <v>568</v>
      </c>
    </row>
    <row r="4">
      <c r="A4" s="6" t="s">
        <v>771</v>
      </c>
      <c r="B4" s="6" t="s">
        <v>772</v>
      </c>
      <c r="C4" s="3" t="s">
        <v>77</v>
      </c>
      <c r="D4" s="3">
        <v>800000.0</v>
      </c>
      <c r="E4" s="8">
        <v>399830.68</v>
      </c>
      <c r="F4" s="7">
        <v>43555.0</v>
      </c>
      <c r="G4" s="3" t="s">
        <v>5</v>
      </c>
      <c r="H4" s="7">
        <v>45994.0</v>
      </c>
      <c r="I4" s="3" t="s">
        <v>568</v>
      </c>
    </row>
    <row r="5">
      <c r="A5" s="6" t="s">
        <v>775</v>
      </c>
      <c r="B5" s="6" t="s">
        <v>776</v>
      </c>
      <c r="C5" s="3" t="s">
        <v>99</v>
      </c>
      <c r="D5" s="3">
        <v>75000.0</v>
      </c>
      <c r="E5" s="8">
        <v>4050.2</v>
      </c>
      <c r="F5" s="7">
        <v>44666.0</v>
      </c>
      <c r="G5" s="3" t="s">
        <v>5</v>
      </c>
      <c r="H5" s="7">
        <v>45270.0</v>
      </c>
      <c r="I5" s="3" t="s">
        <v>568</v>
      </c>
    </row>
    <row r="6">
      <c r="A6" s="6" t="s">
        <v>777</v>
      </c>
      <c r="B6" s="6" t="s">
        <v>779</v>
      </c>
      <c r="C6" s="3" t="s">
        <v>141</v>
      </c>
      <c r="D6" s="3">
        <v>300000.0</v>
      </c>
      <c r="E6" s="8">
        <v>38955.28</v>
      </c>
      <c r="F6" s="7">
        <v>42604.0</v>
      </c>
      <c r="G6" s="3" t="s">
        <v>4</v>
      </c>
      <c r="H6" s="7">
        <v>45417.0</v>
      </c>
      <c r="I6" s="3" t="s">
        <v>568</v>
      </c>
    </row>
    <row r="7">
      <c r="A7" s="6" t="s">
        <v>782</v>
      </c>
      <c r="B7" s="6" t="s">
        <v>783</v>
      </c>
      <c r="C7" s="3" t="s">
        <v>77</v>
      </c>
      <c r="D7" s="3">
        <v>800000.0</v>
      </c>
      <c r="E7" s="8">
        <v>704451.14</v>
      </c>
      <c r="F7" s="7">
        <v>43956.0</v>
      </c>
      <c r="G7" s="3" t="s">
        <v>4</v>
      </c>
      <c r="H7" s="7">
        <v>46351.0</v>
      </c>
      <c r="I7" s="3" t="s">
        <v>568</v>
      </c>
    </row>
    <row r="8">
      <c r="A8" s="6" t="s">
        <v>785</v>
      </c>
      <c r="B8" s="6" t="s">
        <v>787</v>
      </c>
      <c r="C8" s="3" t="s">
        <v>124</v>
      </c>
      <c r="D8" s="3">
        <v>150000.0</v>
      </c>
      <c r="E8" s="8">
        <v>54560.71</v>
      </c>
      <c r="F8" s="7">
        <v>42625.0</v>
      </c>
      <c r="G8" s="3" t="s">
        <v>4</v>
      </c>
      <c r="H8" s="7">
        <v>46287.0</v>
      </c>
      <c r="I8" s="3" t="s">
        <v>568</v>
      </c>
    </row>
    <row r="9">
      <c r="A9" s="6" t="s">
        <v>795</v>
      </c>
      <c r="B9" s="6" t="s">
        <v>797</v>
      </c>
      <c r="C9" s="3" t="s">
        <v>124</v>
      </c>
      <c r="D9" s="3">
        <v>150000.0</v>
      </c>
      <c r="E9" s="8">
        <v>69598.05</v>
      </c>
      <c r="F9" s="7">
        <v>42219.0</v>
      </c>
      <c r="G9" s="3" t="s">
        <v>5</v>
      </c>
      <c r="H9" s="7">
        <v>45860.0</v>
      </c>
      <c r="I9" s="3" t="s">
        <v>568</v>
      </c>
    </row>
    <row r="10">
      <c r="A10" s="6" t="s">
        <v>802</v>
      </c>
      <c r="B10" s="6" t="s">
        <v>804</v>
      </c>
      <c r="C10" s="3" t="s">
        <v>162</v>
      </c>
      <c r="D10" s="3">
        <v>500000.0</v>
      </c>
      <c r="E10" s="8">
        <v>76247.69</v>
      </c>
      <c r="F10" s="7">
        <v>45814.0</v>
      </c>
      <c r="G10" s="3" t="s">
        <v>5</v>
      </c>
      <c r="H10" s="3"/>
      <c r="I10" s="3" t="s">
        <v>806</v>
      </c>
    </row>
    <row r="11">
      <c r="A11" s="6" t="s">
        <v>808</v>
      </c>
      <c r="B11" s="6" t="s">
        <v>809</v>
      </c>
      <c r="C11" s="3" t="s">
        <v>162</v>
      </c>
      <c r="D11" s="3">
        <v>500000.0</v>
      </c>
      <c r="E11" s="8">
        <v>383103.19</v>
      </c>
      <c r="F11" s="7">
        <v>45545.0</v>
      </c>
      <c r="G11" s="3" t="s">
        <v>4</v>
      </c>
      <c r="H11" s="7">
        <v>45119.0</v>
      </c>
      <c r="I11" s="3" t="s">
        <v>568</v>
      </c>
    </row>
    <row r="12">
      <c r="A12" s="6" t="s">
        <v>814</v>
      </c>
      <c r="B12" s="6" t="s">
        <v>815</v>
      </c>
      <c r="C12" s="3" t="s">
        <v>77</v>
      </c>
      <c r="D12" s="3">
        <v>800000.0</v>
      </c>
      <c r="E12" s="8">
        <v>595147.97</v>
      </c>
      <c r="F12" s="7">
        <v>45266.0</v>
      </c>
      <c r="G12" s="3" t="s">
        <v>4</v>
      </c>
      <c r="H12" s="7">
        <v>46366.0</v>
      </c>
      <c r="I12" s="3" t="s">
        <v>568</v>
      </c>
    </row>
    <row r="13">
      <c r="A13" s="6" t="s">
        <v>828</v>
      </c>
      <c r="B13" s="6" t="s">
        <v>831</v>
      </c>
      <c r="C13" s="3" t="s">
        <v>162</v>
      </c>
      <c r="D13" s="3">
        <v>500000.0</v>
      </c>
      <c r="E13" s="8">
        <v>340228.21</v>
      </c>
      <c r="F13" s="7">
        <v>44973.0</v>
      </c>
      <c r="G13" s="3" t="s">
        <v>4</v>
      </c>
      <c r="H13" s="7">
        <v>45324.0</v>
      </c>
      <c r="I13" s="3" t="s">
        <v>568</v>
      </c>
    </row>
    <row r="14">
      <c r="A14" s="6" t="s">
        <v>837</v>
      </c>
      <c r="B14" s="6" t="s">
        <v>839</v>
      </c>
      <c r="C14" s="3" t="s">
        <v>162</v>
      </c>
      <c r="D14" s="3">
        <v>500000.0</v>
      </c>
      <c r="E14" s="8">
        <v>363924.91</v>
      </c>
      <c r="F14" s="7">
        <v>44855.0</v>
      </c>
      <c r="G14" s="3" t="s">
        <v>4</v>
      </c>
      <c r="H14" s="7">
        <v>45024.0</v>
      </c>
      <c r="I14" s="3" t="s">
        <v>568</v>
      </c>
    </row>
    <row r="15">
      <c r="A15" s="6" t="s">
        <v>849</v>
      </c>
      <c r="B15" s="6" t="s">
        <v>590</v>
      </c>
      <c r="C15" s="3" t="s">
        <v>77</v>
      </c>
      <c r="D15" s="3">
        <v>800000.0</v>
      </c>
      <c r="E15" s="8">
        <v>832721.87</v>
      </c>
      <c r="F15" s="7">
        <v>42493.0</v>
      </c>
      <c r="G15" s="3" t="s">
        <v>4</v>
      </c>
      <c r="H15" s="3"/>
      <c r="I15" s="3" t="s">
        <v>806</v>
      </c>
    </row>
    <row r="16">
      <c r="A16" s="6" t="s">
        <v>855</v>
      </c>
      <c r="B16" s="6" t="s">
        <v>857</v>
      </c>
      <c r="C16" s="3" t="s">
        <v>124</v>
      </c>
      <c r="D16" s="3">
        <v>150000.0</v>
      </c>
      <c r="E16" s="8">
        <v>3557.02</v>
      </c>
      <c r="F16" s="7">
        <v>45514.0</v>
      </c>
      <c r="G16" s="3" t="s">
        <v>4</v>
      </c>
      <c r="H16" s="7">
        <v>45159.0</v>
      </c>
      <c r="I16" s="3" t="s">
        <v>568</v>
      </c>
    </row>
    <row r="17">
      <c r="A17" s="6" t="s">
        <v>867</v>
      </c>
      <c r="B17" s="6" t="s">
        <v>868</v>
      </c>
      <c r="C17" s="3" t="s">
        <v>124</v>
      </c>
      <c r="D17" s="3">
        <v>150000.0</v>
      </c>
      <c r="E17" s="8">
        <v>150335.64</v>
      </c>
      <c r="F17" s="7">
        <v>44744.0</v>
      </c>
      <c r="G17" s="3" t="s">
        <v>4</v>
      </c>
      <c r="H17" s="7">
        <v>45383.0</v>
      </c>
      <c r="I17" s="3" t="s">
        <v>568</v>
      </c>
    </row>
    <row r="18">
      <c r="A18" s="6" t="s">
        <v>876</v>
      </c>
      <c r="B18" s="6" t="s">
        <v>879</v>
      </c>
      <c r="C18" s="3" t="s">
        <v>77</v>
      </c>
      <c r="D18" s="3">
        <v>800000.0</v>
      </c>
      <c r="E18" s="8">
        <v>107698.93</v>
      </c>
      <c r="F18" s="7">
        <v>42922.0</v>
      </c>
      <c r="G18" s="3" t="s">
        <v>4</v>
      </c>
      <c r="H18" s="7">
        <v>44959.0</v>
      </c>
      <c r="I18" s="3" t="s">
        <v>568</v>
      </c>
    </row>
    <row r="19">
      <c r="A19" s="6" t="s">
        <v>886</v>
      </c>
      <c r="B19" s="6" t="s">
        <v>888</v>
      </c>
      <c r="C19" s="3" t="s">
        <v>141</v>
      </c>
      <c r="D19" s="3">
        <v>300000.0</v>
      </c>
      <c r="E19" s="8">
        <v>169799.46</v>
      </c>
      <c r="F19" s="7">
        <v>43224.0</v>
      </c>
      <c r="G19" s="3" t="s">
        <v>4</v>
      </c>
      <c r="H19" s="7">
        <v>45438.0</v>
      </c>
      <c r="I19" s="3" t="s">
        <v>568</v>
      </c>
    </row>
    <row r="20">
      <c r="A20" s="6" t="s">
        <v>895</v>
      </c>
      <c r="B20" s="6" t="s">
        <v>899</v>
      </c>
      <c r="C20" s="3" t="s">
        <v>162</v>
      </c>
      <c r="D20" s="3">
        <v>500000.0</v>
      </c>
      <c r="E20" s="8">
        <v>409976.61</v>
      </c>
      <c r="F20" s="7">
        <v>42574.0</v>
      </c>
      <c r="G20" s="3" t="s">
        <v>194</v>
      </c>
      <c r="H20" s="7">
        <v>46141.0</v>
      </c>
      <c r="I20" s="3" t="s">
        <v>568</v>
      </c>
    </row>
    <row r="21" ht="15.75" customHeight="1">
      <c r="A21" s="6" t="s">
        <v>903</v>
      </c>
      <c r="B21" s="6" t="s">
        <v>905</v>
      </c>
      <c r="C21" s="3" t="s">
        <v>162</v>
      </c>
      <c r="D21" s="3">
        <v>500000.0</v>
      </c>
      <c r="E21" s="8">
        <v>430225.27</v>
      </c>
      <c r="F21" s="7">
        <v>45562.0</v>
      </c>
      <c r="G21" s="3" t="s">
        <v>4</v>
      </c>
      <c r="H21" s="7">
        <v>46282.0</v>
      </c>
      <c r="I21" s="3" t="s">
        <v>568</v>
      </c>
    </row>
    <row r="22" ht="15.75" customHeight="1">
      <c r="A22" s="6" t="s">
        <v>912</v>
      </c>
      <c r="B22" s="6" t="s">
        <v>914</v>
      </c>
      <c r="C22" s="3" t="s">
        <v>162</v>
      </c>
      <c r="D22" s="3">
        <v>500000.0</v>
      </c>
      <c r="E22" s="8">
        <v>106926.38</v>
      </c>
      <c r="F22" s="7">
        <v>44576.0</v>
      </c>
      <c r="G22" s="3" t="s">
        <v>4</v>
      </c>
      <c r="H22" s="3"/>
      <c r="I22" s="3" t="s">
        <v>806</v>
      </c>
    </row>
    <row r="23" ht="15.75" customHeight="1">
      <c r="A23" s="6" t="s">
        <v>921</v>
      </c>
      <c r="B23" s="6" t="s">
        <v>922</v>
      </c>
      <c r="C23" s="3" t="s">
        <v>124</v>
      </c>
      <c r="D23" s="3">
        <v>150000.0</v>
      </c>
      <c r="E23" s="8">
        <v>83119.14</v>
      </c>
      <c r="F23" s="7">
        <v>42043.0</v>
      </c>
      <c r="G23" s="3" t="s">
        <v>5</v>
      </c>
      <c r="H23" s="7">
        <v>46242.0</v>
      </c>
      <c r="I23" s="3" t="s">
        <v>568</v>
      </c>
    </row>
    <row r="24" ht="15.75" customHeight="1">
      <c r="A24" s="6" t="s">
        <v>930</v>
      </c>
      <c r="B24" s="6" t="s">
        <v>931</v>
      </c>
      <c r="C24" s="3" t="s">
        <v>99</v>
      </c>
      <c r="D24" s="3">
        <v>75000.0</v>
      </c>
      <c r="E24" s="8">
        <v>49797.72</v>
      </c>
      <c r="F24" s="7">
        <v>44873.0</v>
      </c>
      <c r="G24" s="3" t="s">
        <v>194</v>
      </c>
      <c r="H24" s="3"/>
      <c r="I24" s="3" t="s">
        <v>806</v>
      </c>
    </row>
    <row r="25" ht="15.75" customHeight="1">
      <c r="A25" s="6" t="s">
        <v>942</v>
      </c>
      <c r="B25" s="6" t="s">
        <v>944</v>
      </c>
      <c r="C25" s="3" t="s">
        <v>124</v>
      </c>
      <c r="D25" s="3">
        <v>150000.0</v>
      </c>
      <c r="E25" s="8">
        <v>11233.8</v>
      </c>
      <c r="F25" s="7">
        <v>44746.0</v>
      </c>
      <c r="G25" s="3" t="s">
        <v>4</v>
      </c>
      <c r="H25" s="7">
        <v>45436.0</v>
      </c>
      <c r="I25" s="3" t="s">
        <v>568</v>
      </c>
    </row>
    <row r="26" ht="15.75" customHeight="1">
      <c r="A26" s="6" t="s">
        <v>950</v>
      </c>
      <c r="B26" s="6" t="s">
        <v>952</v>
      </c>
      <c r="C26" s="3" t="s">
        <v>99</v>
      </c>
      <c r="D26" s="3">
        <v>75000.0</v>
      </c>
      <c r="E26" s="8">
        <v>12601.81</v>
      </c>
      <c r="F26" s="7">
        <v>42831.0</v>
      </c>
      <c r="G26" s="3" t="s">
        <v>4</v>
      </c>
      <c r="H26" s="3"/>
      <c r="I26" s="3" t="s">
        <v>806</v>
      </c>
    </row>
    <row r="27" ht="15.75" customHeight="1">
      <c r="A27" s="6" t="s">
        <v>963</v>
      </c>
      <c r="B27" s="6" t="s">
        <v>964</v>
      </c>
      <c r="C27" s="3" t="s">
        <v>77</v>
      </c>
      <c r="D27" s="3">
        <v>800000.0</v>
      </c>
      <c r="E27" s="8">
        <v>215814.43</v>
      </c>
      <c r="F27" s="7">
        <v>43150.0</v>
      </c>
      <c r="G27" s="3" t="s">
        <v>5</v>
      </c>
      <c r="H27" s="7">
        <v>45646.0</v>
      </c>
      <c r="I27" s="3" t="s">
        <v>568</v>
      </c>
    </row>
    <row r="28" ht="15.75" customHeight="1">
      <c r="A28" s="6" t="s">
        <v>972</v>
      </c>
      <c r="B28" s="6" t="s">
        <v>974</v>
      </c>
      <c r="C28" s="3" t="s">
        <v>141</v>
      </c>
      <c r="D28" s="3">
        <v>300000.0</v>
      </c>
      <c r="E28" s="8">
        <v>49696.64</v>
      </c>
      <c r="F28" s="7">
        <v>44795.0</v>
      </c>
      <c r="G28" s="3" t="s">
        <v>4</v>
      </c>
      <c r="H28" s="7">
        <v>45826.0</v>
      </c>
      <c r="I28" s="3" t="s">
        <v>568</v>
      </c>
    </row>
    <row r="29" ht="15.75" customHeight="1">
      <c r="A29" s="6" t="s">
        <v>984</v>
      </c>
      <c r="B29" s="6" t="s">
        <v>986</v>
      </c>
      <c r="C29" s="3" t="s">
        <v>141</v>
      </c>
      <c r="D29" s="3">
        <v>300000.0</v>
      </c>
      <c r="E29" s="8">
        <v>6632.43</v>
      </c>
      <c r="F29" s="7">
        <v>45651.0</v>
      </c>
      <c r="G29" s="3" t="s">
        <v>4</v>
      </c>
      <c r="H29" s="7">
        <v>45082.0</v>
      </c>
      <c r="I29" s="3" t="s">
        <v>568</v>
      </c>
    </row>
    <row r="30" ht="15.75" customHeight="1">
      <c r="A30" s="6" t="s">
        <v>991</v>
      </c>
      <c r="B30" s="6" t="s">
        <v>993</v>
      </c>
      <c r="C30" s="3" t="s">
        <v>124</v>
      </c>
      <c r="D30" s="3">
        <v>150000.0</v>
      </c>
      <c r="E30" s="8">
        <v>20946.51</v>
      </c>
      <c r="F30" s="7">
        <v>42906.0</v>
      </c>
      <c r="G30" s="3" t="s">
        <v>4</v>
      </c>
      <c r="H30" s="7">
        <v>46368.0</v>
      </c>
      <c r="I30" s="3" t="s">
        <v>568</v>
      </c>
    </row>
    <row r="31" ht="15.75" customHeight="1">
      <c r="A31" s="6" t="s">
        <v>1002</v>
      </c>
      <c r="B31" s="6" t="s">
        <v>1006</v>
      </c>
      <c r="C31" s="3" t="s">
        <v>77</v>
      </c>
      <c r="D31" s="3">
        <v>800000.0</v>
      </c>
      <c r="E31" s="8">
        <v>13567.84</v>
      </c>
      <c r="F31" s="7">
        <v>42987.0</v>
      </c>
      <c r="G31" s="3" t="s">
        <v>4</v>
      </c>
      <c r="H31" s="7">
        <v>45566.0</v>
      </c>
      <c r="I31" s="3" t="s">
        <v>568</v>
      </c>
    </row>
    <row r="32" ht="15.75" customHeight="1">
      <c r="A32" s="6" t="s">
        <v>1012</v>
      </c>
      <c r="B32" s="6" t="s">
        <v>1014</v>
      </c>
      <c r="C32" s="3" t="s">
        <v>124</v>
      </c>
      <c r="D32" s="3">
        <v>150000.0</v>
      </c>
      <c r="E32" s="8">
        <v>95071.03</v>
      </c>
      <c r="F32" s="7">
        <v>43352.0</v>
      </c>
      <c r="G32" s="3" t="s">
        <v>4</v>
      </c>
      <c r="H32" s="7">
        <v>45613.0</v>
      </c>
      <c r="I32" s="3" t="s">
        <v>568</v>
      </c>
    </row>
    <row r="33" ht="15.75" customHeight="1">
      <c r="A33" s="6" t="s">
        <v>1021</v>
      </c>
      <c r="B33" s="6" t="s">
        <v>1022</v>
      </c>
      <c r="C33" s="3" t="s">
        <v>124</v>
      </c>
      <c r="D33" s="3">
        <v>150000.0</v>
      </c>
      <c r="E33" s="8">
        <v>132195.15</v>
      </c>
      <c r="F33" s="7">
        <v>44840.0</v>
      </c>
      <c r="G33" s="3" t="s">
        <v>5</v>
      </c>
      <c r="H33" s="7">
        <v>45794.0</v>
      </c>
      <c r="I33" s="3" t="s">
        <v>568</v>
      </c>
    </row>
    <row r="34" ht="15.75" customHeight="1">
      <c r="A34" s="6" t="s">
        <v>1032</v>
      </c>
      <c r="B34" s="6" t="s">
        <v>833</v>
      </c>
      <c r="C34" s="3" t="s">
        <v>99</v>
      </c>
      <c r="D34" s="3">
        <v>75000.0</v>
      </c>
      <c r="E34" s="8">
        <v>64858.15</v>
      </c>
      <c r="F34" s="7">
        <v>42719.0</v>
      </c>
      <c r="G34" s="3" t="s">
        <v>4</v>
      </c>
      <c r="H34" s="3"/>
      <c r="I34" s="3" t="s">
        <v>806</v>
      </c>
    </row>
    <row r="35" ht="15.75" customHeight="1">
      <c r="A35" s="6" t="s">
        <v>1040</v>
      </c>
      <c r="B35" s="6" t="s">
        <v>1042</v>
      </c>
      <c r="C35" s="3" t="s">
        <v>141</v>
      </c>
      <c r="D35" s="3">
        <v>300000.0</v>
      </c>
      <c r="E35" s="8">
        <v>205420.44</v>
      </c>
      <c r="F35" s="7">
        <v>42914.0</v>
      </c>
      <c r="G35" s="3" t="s">
        <v>4</v>
      </c>
      <c r="H35" s="7">
        <v>46157.0</v>
      </c>
      <c r="I35" s="3" t="s">
        <v>568</v>
      </c>
    </row>
    <row r="36" ht="15.75" customHeight="1">
      <c r="A36" s="6" t="s">
        <v>1046</v>
      </c>
      <c r="B36" s="6" t="s">
        <v>897</v>
      </c>
      <c r="C36" s="3" t="s">
        <v>124</v>
      </c>
      <c r="D36" s="3">
        <v>150000.0</v>
      </c>
      <c r="E36" s="8">
        <v>137597.04</v>
      </c>
      <c r="F36" s="7">
        <v>45137.0</v>
      </c>
      <c r="G36" s="3" t="s">
        <v>4</v>
      </c>
      <c r="H36" s="7">
        <v>46105.0</v>
      </c>
      <c r="I36" s="3" t="s">
        <v>568</v>
      </c>
    </row>
    <row r="37" ht="15.75" customHeight="1">
      <c r="A37" s="6" t="s">
        <v>1056</v>
      </c>
      <c r="B37" s="6" t="s">
        <v>1058</v>
      </c>
      <c r="C37" s="3" t="s">
        <v>99</v>
      </c>
      <c r="D37" s="3">
        <v>75000.0</v>
      </c>
      <c r="E37" s="8">
        <v>51384.62</v>
      </c>
      <c r="F37" s="7">
        <v>43346.0</v>
      </c>
      <c r="G37" s="3" t="s">
        <v>194</v>
      </c>
      <c r="H37" s="7">
        <v>45007.0</v>
      </c>
      <c r="I37" s="3" t="s">
        <v>568</v>
      </c>
    </row>
    <row r="38" ht="15.75" customHeight="1">
      <c r="A38" s="6" t="s">
        <v>1062</v>
      </c>
      <c r="B38" s="6" t="s">
        <v>1065</v>
      </c>
      <c r="C38" s="3" t="s">
        <v>99</v>
      </c>
      <c r="D38" s="3">
        <v>75000.0</v>
      </c>
      <c r="E38" s="8">
        <v>30234.67</v>
      </c>
      <c r="F38" s="7">
        <v>42597.0</v>
      </c>
      <c r="G38" s="3" t="s">
        <v>4</v>
      </c>
      <c r="H38" s="7">
        <v>45936.0</v>
      </c>
      <c r="I38" s="3" t="s">
        <v>568</v>
      </c>
    </row>
    <row r="39" ht="15.75" customHeight="1">
      <c r="A39" s="6" t="s">
        <v>1068</v>
      </c>
      <c r="B39" s="6" t="s">
        <v>1070</v>
      </c>
      <c r="C39" s="3" t="s">
        <v>162</v>
      </c>
      <c r="D39" s="3">
        <v>500000.0</v>
      </c>
      <c r="E39" s="8">
        <v>72820.43</v>
      </c>
      <c r="F39" s="7">
        <v>42741.0</v>
      </c>
      <c r="G39" s="3" t="s">
        <v>4</v>
      </c>
      <c r="H39" s="7">
        <v>45006.0</v>
      </c>
      <c r="I39" s="3" t="s">
        <v>568</v>
      </c>
    </row>
    <row r="40" ht="15.75" customHeight="1">
      <c r="A40" s="6" t="s">
        <v>1074</v>
      </c>
      <c r="B40" s="6" t="s">
        <v>1076</v>
      </c>
      <c r="C40" s="3" t="s">
        <v>77</v>
      </c>
      <c r="D40" s="3">
        <v>800000.0</v>
      </c>
      <c r="E40" s="8">
        <v>459034.51</v>
      </c>
      <c r="F40" s="7">
        <v>44037.0</v>
      </c>
      <c r="G40" s="3" t="s">
        <v>4</v>
      </c>
      <c r="H40" s="7">
        <v>45620.0</v>
      </c>
      <c r="I40" s="3" t="s">
        <v>568</v>
      </c>
    </row>
    <row r="41" ht="15.75" customHeight="1">
      <c r="A41" s="6" t="s">
        <v>1081</v>
      </c>
      <c r="B41" s="6" t="s">
        <v>491</v>
      </c>
      <c r="C41" s="3" t="s">
        <v>77</v>
      </c>
      <c r="D41" s="3">
        <v>800000.0</v>
      </c>
      <c r="E41" s="8">
        <v>350853.5</v>
      </c>
      <c r="F41" s="7">
        <v>44829.0</v>
      </c>
      <c r="G41" s="3" t="s">
        <v>4</v>
      </c>
      <c r="H41" s="7">
        <v>45837.0</v>
      </c>
      <c r="I41" s="3" t="s">
        <v>568</v>
      </c>
    </row>
    <row r="42" ht="15.75" customHeight="1">
      <c r="A42" s="6" t="s">
        <v>1089</v>
      </c>
      <c r="B42" s="6" t="s">
        <v>1091</v>
      </c>
      <c r="C42" s="3" t="s">
        <v>141</v>
      </c>
      <c r="D42" s="3">
        <v>300000.0</v>
      </c>
      <c r="E42" s="8">
        <v>203730.98</v>
      </c>
      <c r="F42" s="7">
        <v>44206.0</v>
      </c>
      <c r="G42" s="3" t="s">
        <v>4</v>
      </c>
      <c r="H42" s="7">
        <v>45972.0</v>
      </c>
      <c r="I42" s="3" t="s">
        <v>568</v>
      </c>
    </row>
    <row r="43" ht="15.75" customHeight="1">
      <c r="A43" s="6" t="s">
        <v>1095</v>
      </c>
      <c r="B43" s="6" t="s">
        <v>1097</v>
      </c>
      <c r="C43" s="3" t="s">
        <v>124</v>
      </c>
      <c r="D43" s="3">
        <v>150000.0</v>
      </c>
      <c r="E43" s="8">
        <v>17113.16</v>
      </c>
      <c r="F43" s="7">
        <v>44483.0</v>
      </c>
      <c r="G43" s="3" t="s">
        <v>5</v>
      </c>
      <c r="H43" s="3"/>
      <c r="I43" s="3" t="s">
        <v>806</v>
      </c>
    </row>
    <row r="44" ht="15.75" customHeight="1">
      <c r="A44" s="6" t="s">
        <v>1100</v>
      </c>
      <c r="B44" s="6" t="s">
        <v>196</v>
      </c>
      <c r="C44" s="3" t="s">
        <v>124</v>
      </c>
      <c r="D44" s="3">
        <v>150000.0</v>
      </c>
      <c r="E44" s="8">
        <v>113500.3</v>
      </c>
      <c r="F44" s="7">
        <v>45168.0</v>
      </c>
      <c r="G44" s="3" t="s">
        <v>4</v>
      </c>
      <c r="H44" s="7">
        <v>45427.0</v>
      </c>
      <c r="I44" s="3" t="s">
        <v>568</v>
      </c>
    </row>
    <row r="45" ht="15.75" customHeight="1">
      <c r="A45" s="6" t="s">
        <v>1109</v>
      </c>
      <c r="B45" s="6" t="s">
        <v>1110</v>
      </c>
      <c r="C45" s="3" t="s">
        <v>124</v>
      </c>
      <c r="D45" s="3">
        <v>150000.0</v>
      </c>
      <c r="E45" s="8">
        <v>107080.11</v>
      </c>
      <c r="F45" s="7">
        <v>43413.0</v>
      </c>
      <c r="G45" s="3" t="s">
        <v>5</v>
      </c>
      <c r="H45" s="7">
        <v>44974.0</v>
      </c>
      <c r="I45" s="3" t="s">
        <v>568</v>
      </c>
    </row>
    <row r="46" ht="15.75" customHeight="1">
      <c r="A46" s="6" t="s">
        <v>1118</v>
      </c>
      <c r="B46" s="6" t="s">
        <v>1119</v>
      </c>
      <c r="C46" s="3" t="s">
        <v>124</v>
      </c>
      <c r="D46" s="3">
        <v>150000.0</v>
      </c>
      <c r="E46" s="8">
        <v>143743.36</v>
      </c>
      <c r="F46" s="7">
        <v>42472.0</v>
      </c>
      <c r="G46" s="3" t="s">
        <v>194</v>
      </c>
      <c r="H46" s="7">
        <v>45722.0</v>
      </c>
      <c r="I46" s="3" t="s">
        <v>568</v>
      </c>
    </row>
    <row r="47" ht="15.75" customHeight="1">
      <c r="A47" s="6" t="s">
        <v>1122</v>
      </c>
      <c r="B47" s="6" t="s">
        <v>1124</v>
      </c>
      <c r="C47" s="3" t="s">
        <v>124</v>
      </c>
      <c r="D47" s="3">
        <v>150000.0</v>
      </c>
      <c r="E47" s="8">
        <v>97852.05</v>
      </c>
      <c r="F47" s="7">
        <v>45105.0</v>
      </c>
      <c r="G47" s="3" t="s">
        <v>5</v>
      </c>
      <c r="H47" s="7">
        <v>45693.0</v>
      </c>
      <c r="I47" s="3" t="s">
        <v>568</v>
      </c>
    </row>
    <row r="48" ht="15.75" customHeight="1">
      <c r="A48" s="6" t="s">
        <v>1130</v>
      </c>
      <c r="B48" s="6" t="s">
        <v>1131</v>
      </c>
      <c r="C48" s="3" t="s">
        <v>99</v>
      </c>
      <c r="D48" s="3">
        <v>75000.0</v>
      </c>
      <c r="E48" s="8">
        <v>62914.46</v>
      </c>
      <c r="F48" s="7">
        <v>42041.0</v>
      </c>
      <c r="G48" s="3" t="s">
        <v>4</v>
      </c>
      <c r="H48" s="7">
        <v>46210.0</v>
      </c>
      <c r="I48" s="3" t="s">
        <v>568</v>
      </c>
    </row>
    <row r="49" ht="15.75" customHeight="1">
      <c r="A49" s="6" t="s">
        <v>1139</v>
      </c>
      <c r="B49" s="6" t="s">
        <v>1140</v>
      </c>
      <c r="C49" s="3" t="s">
        <v>99</v>
      </c>
      <c r="D49" s="3">
        <v>75000.0</v>
      </c>
      <c r="E49" s="8">
        <v>65033.23</v>
      </c>
      <c r="F49" s="7">
        <v>42013.0</v>
      </c>
      <c r="G49" s="3" t="s">
        <v>4</v>
      </c>
      <c r="H49" s="3"/>
      <c r="I49" s="3" t="s">
        <v>806</v>
      </c>
    </row>
    <row r="50" ht="15.75" customHeight="1">
      <c r="A50" s="6" t="s">
        <v>1145</v>
      </c>
      <c r="B50" s="6" t="s">
        <v>1147</v>
      </c>
      <c r="C50" s="3" t="s">
        <v>77</v>
      </c>
      <c r="D50" s="3">
        <v>800000.0</v>
      </c>
      <c r="E50" s="8">
        <v>603561.79</v>
      </c>
      <c r="F50" s="7">
        <v>42195.0</v>
      </c>
      <c r="G50" s="3" t="s">
        <v>4</v>
      </c>
      <c r="H50" s="7">
        <v>46069.0</v>
      </c>
      <c r="I50" s="3" t="s">
        <v>568</v>
      </c>
    </row>
    <row r="51" ht="15.75" customHeight="1">
      <c r="A51" s="6" t="s">
        <v>1152</v>
      </c>
      <c r="B51" s="6" t="s">
        <v>553</v>
      </c>
      <c r="C51" s="3" t="s">
        <v>124</v>
      </c>
      <c r="D51" s="3">
        <v>150000.0</v>
      </c>
      <c r="E51" s="8">
        <v>62255.55</v>
      </c>
      <c r="F51" s="7">
        <v>42651.0</v>
      </c>
      <c r="G51" s="3" t="s">
        <v>194</v>
      </c>
      <c r="H51" s="3"/>
      <c r="I51" s="3" t="s">
        <v>806</v>
      </c>
    </row>
    <row r="52" ht="15.75" customHeight="1">
      <c r="A52" s="6" t="s">
        <v>1158</v>
      </c>
      <c r="B52" s="6" t="s">
        <v>1159</v>
      </c>
      <c r="C52" s="3" t="s">
        <v>162</v>
      </c>
      <c r="D52" s="3">
        <v>500000.0</v>
      </c>
      <c r="E52" s="8">
        <v>184279.23</v>
      </c>
      <c r="F52" s="7">
        <v>42043.0</v>
      </c>
      <c r="G52" s="3" t="s">
        <v>4</v>
      </c>
      <c r="H52" s="7">
        <v>45609.0</v>
      </c>
      <c r="I52" s="3" t="s">
        <v>568</v>
      </c>
    </row>
    <row r="53" ht="15.75" customHeight="1">
      <c r="A53" s="6" t="s">
        <v>1167</v>
      </c>
      <c r="B53" s="6" t="s">
        <v>1144</v>
      </c>
      <c r="C53" s="3" t="s">
        <v>99</v>
      </c>
      <c r="D53" s="3">
        <v>75000.0</v>
      </c>
      <c r="E53" s="8">
        <v>29076.47</v>
      </c>
      <c r="F53" s="7">
        <v>42650.0</v>
      </c>
      <c r="G53" s="3" t="s">
        <v>4</v>
      </c>
      <c r="H53" s="7">
        <v>45459.0</v>
      </c>
      <c r="I53" s="3" t="s">
        <v>568</v>
      </c>
    </row>
    <row r="54" ht="15.75" customHeight="1">
      <c r="A54" s="6" t="s">
        <v>1176</v>
      </c>
      <c r="B54" s="6" t="s">
        <v>264</v>
      </c>
      <c r="C54" s="3" t="s">
        <v>141</v>
      </c>
      <c r="D54" s="3">
        <v>300000.0</v>
      </c>
      <c r="E54" s="8">
        <v>250414.33</v>
      </c>
      <c r="F54" s="7">
        <v>42615.0</v>
      </c>
      <c r="G54" s="3" t="s">
        <v>5</v>
      </c>
      <c r="H54" s="7">
        <v>45123.0</v>
      </c>
      <c r="I54" s="3" t="s">
        <v>568</v>
      </c>
    </row>
    <row r="55" ht="15.75" customHeight="1">
      <c r="A55" s="6" t="s">
        <v>1186</v>
      </c>
      <c r="B55" s="6" t="s">
        <v>1189</v>
      </c>
      <c r="C55" s="3" t="s">
        <v>77</v>
      </c>
      <c r="D55" s="3">
        <v>800000.0</v>
      </c>
      <c r="E55" s="8">
        <v>594674.85</v>
      </c>
      <c r="F55" s="7">
        <v>45617.0</v>
      </c>
      <c r="G55" s="3" t="s">
        <v>4</v>
      </c>
      <c r="H55" s="7">
        <v>45804.0</v>
      </c>
      <c r="I55" s="3" t="s">
        <v>568</v>
      </c>
    </row>
    <row r="56" ht="15.75" customHeight="1">
      <c r="A56" s="6" t="s">
        <v>1196</v>
      </c>
      <c r="B56" s="6" t="s">
        <v>1197</v>
      </c>
      <c r="C56" s="3" t="s">
        <v>99</v>
      </c>
      <c r="D56" s="3">
        <v>75000.0</v>
      </c>
      <c r="E56" s="8">
        <v>45229.0</v>
      </c>
      <c r="F56" s="7">
        <v>44795.0</v>
      </c>
      <c r="G56" s="3" t="s">
        <v>4</v>
      </c>
      <c r="H56" s="7">
        <v>45152.0</v>
      </c>
      <c r="I56" s="3" t="s">
        <v>568</v>
      </c>
    </row>
    <row r="57" ht="15.75" customHeight="1">
      <c r="A57" s="6" t="s">
        <v>1204</v>
      </c>
      <c r="B57" s="6" t="s">
        <v>1199</v>
      </c>
      <c r="C57" s="3" t="s">
        <v>99</v>
      </c>
      <c r="D57" s="3">
        <v>75000.0</v>
      </c>
      <c r="E57" s="8">
        <v>62477.58</v>
      </c>
      <c r="F57" s="7">
        <v>44301.0</v>
      </c>
      <c r="G57" s="3" t="s">
        <v>4</v>
      </c>
      <c r="H57" s="7">
        <v>45455.0</v>
      </c>
      <c r="I57" s="3" t="s">
        <v>568</v>
      </c>
    </row>
    <row r="58" ht="15.75" customHeight="1">
      <c r="A58" s="6" t="s">
        <v>1214</v>
      </c>
      <c r="B58" s="6" t="s">
        <v>499</v>
      </c>
      <c r="C58" s="3" t="s">
        <v>77</v>
      </c>
      <c r="D58" s="3">
        <v>800000.0</v>
      </c>
      <c r="E58" s="8">
        <v>406133.59</v>
      </c>
      <c r="F58" s="7">
        <v>44510.0</v>
      </c>
      <c r="G58" s="3" t="s">
        <v>194</v>
      </c>
      <c r="H58" s="3"/>
      <c r="I58" s="3" t="s">
        <v>806</v>
      </c>
    </row>
    <row r="59" ht="15.75" customHeight="1">
      <c r="A59" s="6" t="s">
        <v>1222</v>
      </c>
      <c r="B59" s="6" t="s">
        <v>1227</v>
      </c>
      <c r="C59" s="3" t="s">
        <v>162</v>
      </c>
      <c r="D59" s="3">
        <v>500000.0</v>
      </c>
      <c r="E59" s="8">
        <v>66356.18</v>
      </c>
      <c r="F59" s="7">
        <v>44838.0</v>
      </c>
      <c r="G59" s="3" t="s">
        <v>4</v>
      </c>
      <c r="H59" s="3"/>
      <c r="I59" s="3" t="s">
        <v>806</v>
      </c>
    </row>
    <row r="60" ht="15.75" customHeight="1">
      <c r="A60" s="6" t="s">
        <v>1235</v>
      </c>
      <c r="B60" s="6" t="s">
        <v>1240</v>
      </c>
      <c r="C60" s="3" t="s">
        <v>77</v>
      </c>
      <c r="D60" s="3">
        <v>800000.0</v>
      </c>
      <c r="E60" s="8">
        <v>115526.63</v>
      </c>
      <c r="F60" s="7">
        <v>42047.0</v>
      </c>
      <c r="G60" s="3" t="s">
        <v>5</v>
      </c>
      <c r="H60" s="7">
        <v>45366.0</v>
      </c>
      <c r="I60" s="3" t="s">
        <v>568</v>
      </c>
    </row>
    <row r="61" ht="15.75" customHeight="1">
      <c r="A61" s="6" t="s">
        <v>1243</v>
      </c>
      <c r="B61" s="6" t="s">
        <v>1244</v>
      </c>
      <c r="C61" s="3" t="s">
        <v>141</v>
      </c>
      <c r="D61" s="3">
        <v>300000.0</v>
      </c>
      <c r="E61" s="8">
        <v>60663.52</v>
      </c>
      <c r="F61" s="7">
        <v>44934.0</v>
      </c>
      <c r="G61" s="3" t="s">
        <v>4</v>
      </c>
      <c r="H61" s="7">
        <v>45238.0</v>
      </c>
      <c r="I61" s="3" t="s">
        <v>568</v>
      </c>
    </row>
    <row r="62" ht="15.75" customHeight="1">
      <c r="A62" s="6" t="s">
        <v>1257</v>
      </c>
      <c r="B62" s="6" t="s">
        <v>1259</v>
      </c>
      <c r="C62" s="3" t="s">
        <v>124</v>
      </c>
      <c r="D62" s="3">
        <v>150000.0</v>
      </c>
      <c r="E62" s="8">
        <v>6244.47</v>
      </c>
      <c r="F62" s="7">
        <v>45181.0</v>
      </c>
      <c r="G62" s="3" t="s">
        <v>4</v>
      </c>
      <c r="H62" s="7">
        <v>45985.0</v>
      </c>
      <c r="I62" s="3" t="s">
        <v>568</v>
      </c>
    </row>
    <row r="63" ht="15.75" customHeight="1">
      <c r="A63" s="6" t="s">
        <v>1267</v>
      </c>
      <c r="B63" s="6" t="s">
        <v>1269</v>
      </c>
      <c r="C63" s="3" t="s">
        <v>99</v>
      </c>
      <c r="D63" s="3">
        <v>75000.0</v>
      </c>
      <c r="E63" s="8">
        <v>22828.2</v>
      </c>
      <c r="F63" s="7">
        <v>44355.0</v>
      </c>
      <c r="G63" s="3" t="s">
        <v>4</v>
      </c>
      <c r="H63" s="3"/>
      <c r="I63" s="3" t="s">
        <v>806</v>
      </c>
    </row>
    <row r="64" ht="15.75" customHeight="1">
      <c r="A64" s="6" t="s">
        <v>1275</v>
      </c>
      <c r="B64" s="6" t="s">
        <v>328</v>
      </c>
      <c r="C64" s="3" t="s">
        <v>162</v>
      </c>
      <c r="D64" s="3">
        <v>500000.0</v>
      </c>
      <c r="E64" s="8">
        <v>285264.12</v>
      </c>
      <c r="F64" s="7">
        <v>42973.0</v>
      </c>
      <c r="G64" s="3" t="s">
        <v>194</v>
      </c>
      <c r="H64" s="7">
        <v>46272.0</v>
      </c>
      <c r="I64" s="3" t="s">
        <v>568</v>
      </c>
    </row>
    <row r="65" ht="15.75" customHeight="1">
      <c r="A65" s="6" t="s">
        <v>1283</v>
      </c>
      <c r="B65" s="6" t="s">
        <v>1286</v>
      </c>
      <c r="C65" s="3" t="s">
        <v>77</v>
      </c>
      <c r="D65" s="3">
        <v>800000.0</v>
      </c>
      <c r="E65" s="8">
        <v>491977.25</v>
      </c>
      <c r="F65" s="7">
        <v>44712.0</v>
      </c>
      <c r="G65" s="3" t="s">
        <v>4</v>
      </c>
      <c r="H65" s="7">
        <v>46258.0</v>
      </c>
      <c r="I65" s="3" t="s">
        <v>568</v>
      </c>
    </row>
    <row r="66" ht="15.75" customHeight="1">
      <c r="A66" s="6" t="s">
        <v>1290</v>
      </c>
      <c r="B66" s="6" t="s">
        <v>1291</v>
      </c>
      <c r="C66" s="3" t="s">
        <v>162</v>
      </c>
      <c r="D66" s="3">
        <v>500000.0</v>
      </c>
      <c r="E66" s="8">
        <v>37121.79</v>
      </c>
      <c r="F66" s="7">
        <v>42487.0</v>
      </c>
      <c r="G66" s="3" t="s">
        <v>4</v>
      </c>
      <c r="H66" s="7">
        <v>45867.0</v>
      </c>
      <c r="I66" s="3" t="s">
        <v>568</v>
      </c>
    </row>
    <row r="67" ht="15.75" customHeight="1">
      <c r="A67" s="6" t="s">
        <v>1296</v>
      </c>
      <c r="B67" s="6" t="s">
        <v>1297</v>
      </c>
      <c r="C67" s="3" t="s">
        <v>77</v>
      </c>
      <c r="D67" s="3">
        <v>800000.0</v>
      </c>
      <c r="E67" s="8">
        <v>556334.29</v>
      </c>
      <c r="F67" s="7">
        <v>44946.0</v>
      </c>
      <c r="G67" s="3" t="s">
        <v>194</v>
      </c>
      <c r="H67" s="7">
        <v>46210.0</v>
      </c>
      <c r="I67" s="3" t="s">
        <v>568</v>
      </c>
    </row>
    <row r="68" ht="15.75" customHeight="1">
      <c r="A68" s="6" t="s">
        <v>1304</v>
      </c>
      <c r="B68" s="6" t="s">
        <v>1307</v>
      </c>
      <c r="C68" s="3" t="s">
        <v>162</v>
      </c>
      <c r="D68" s="3">
        <v>500000.0</v>
      </c>
      <c r="E68" s="8">
        <v>338939.5</v>
      </c>
      <c r="F68" s="7">
        <v>45784.0</v>
      </c>
      <c r="G68" s="3" t="s">
        <v>4</v>
      </c>
      <c r="H68" s="7">
        <v>45902.0</v>
      </c>
      <c r="I68" s="3" t="s">
        <v>568</v>
      </c>
    </row>
    <row r="69" ht="15.75" customHeight="1">
      <c r="A69" s="6" t="s">
        <v>1313</v>
      </c>
      <c r="B69" s="6" t="s">
        <v>1315</v>
      </c>
      <c r="C69" s="3" t="s">
        <v>124</v>
      </c>
      <c r="D69" s="3">
        <v>150000.0</v>
      </c>
      <c r="E69" s="8">
        <v>25232.73</v>
      </c>
      <c r="F69" s="7">
        <v>45776.0</v>
      </c>
      <c r="G69" s="3" t="s">
        <v>4</v>
      </c>
      <c r="H69" s="7">
        <v>46012.0</v>
      </c>
      <c r="I69" s="3" t="s">
        <v>568</v>
      </c>
    </row>
    <row r="70" ht="15.75" customHeight="1">
      <c r="A70" s="6" t="s">
        <v>1321</v>
      </c>
      <c r="B70" s="6" t="s">
        <v>380</v>
      </c>
      <c r="C70" s="3" t="s">
        <v>141</v>
      </c>
      <c r="D70" s="3">
        <v>300000.0</v>
      </c>
      <c r="E70" s="8">
        <v>306424.06</v>
      </c>
      <c r="F70" s="7">
        <v>42614.0</v>
      </c>
      <c r="G70" s="3" t="s">
        <v>4</v>
      </c>
      <c r="H70" s="7">
        <v>45576.0</v>
      </c>
      <c r="I70" s="3" t="s">
        <v>568</v>
      </c>
    </row>
    <row r="71" ht="15.75" customHeight="1">
      <c r="A71" s="6" t="s">
        <v>1330</v>
      </c>
      <c r="B71" s="6" t="s">
        <v>543</v>
      </c>
      <c r="C71" s="3" t="s">
        <v>77</v>
      </c>
      <c r="D71" s="3">
        <v>800000.0</v>
      </c>
      <c r="E71" s="8">
        <v>610657.9</v>
      </c>
      <c r="F71" s="7">
        <v>43882.0</v>
      </c>
      <c r="G71" s="3" t="s">
        <v>5</v>
      </c>
      <c r="H71" s="7">
        <v>45097.0</v>
      </c>
      <c r="I71" s="3" t="s">
        <v>568</v>
      </c>
    </row>
    <row r="72" ht="15.75" customHeight="1">
      <c r="A72" s="6" t="s">
        <v>1333</v>
      </c>
      <c r="B72" s="6" t="s">
        <v>1334</v>
      </c>
      <c r="C72" s="3" t="s">
        <v>99</v>
      </c>
      <c r="D72" s="3">
        <v>75000.0</v>
      </c>
      <c r="E72" s="8">
        <v>23195.72</v>
      </c>
      <c r="F72" s="7">
        <v>44641.0</v>
      </c>
      <c r="G72" s="3" t="s">
        <v>5</v>
      </c>
      <c r="H72" s="7">
        <v>45072.0</v>
      </c>
      <c r="I72" s="3" t="s">
        <v>568</v>
      </c>
    </row>
    <row r="73" ht="15.75" customHeight="1">
      <c r="A73" s="6" t="s">
        <v>1341</v>
      </c>
      <c r="B73" s="6" t="s">
        <v>1129</v>
      </c>
      <c r="C73" s="3" t="s">
        <v>124</v>
      </c>
      <c r="D73" s="3">
        <v>150000.0</v>
      </c>
      <c r="E73" s="8">
        <v>60819.24</v>
      </c>
      <c r="F73" s="7">
        <v>43376.0</v>
      </c>
      <c r="G73" s="3" t="s">
        <v>4</v>
      </c>
      <c r="H73" s="7">
        <v>46241.0</v>
      </c>
      <c r="I73" s="3" t="s">
        <v>568</v>
      </c>
    </row>
    <row r="74" ht="15.75" customHeight="1">
      <c r="A74" s="6" t="s">
        <v>1348</v>
      </c>
      <c r="B74" s="6" t="s">
        <v>1351</v>
      </c>
      <c r="C74" s="3" t="s">
        <v>124</v>
      </c>
      <c r="D74" s="3">
        <v>150000.0</v>
      </c>
      <c r="E74" s="8">
        <v>11668.91</v>
      </c>
      <c r="F74" s="7">
        <v>42624.0</v>
      </c>
      <c r="G74" s="3" t="s">
        <v>194</v>
      </c>
      <c r="H74" s="7">
        <v>46005.0</v>
      </c>
      <c r="I74" s="3" t="s">
        <v>568</v>
      </c>
    </row>
    <row r="75" ht="15.75" customHeight="1">
      <c r="A75" s="6" t="s">
        <v>1356</v>
      </c>
      <c r="B75" s="6" t="s">
        <v>1357</v>
      </c>
      <c r="C75" s="3" t="s">
        <v>162</v>
      </c>
      <c r="D75" s="3">
        <v>500000.0</v>
      </c>
      <c r="E75" s="8">
        <v>421486.29</v>
      </c>
      <c r="F75" s="7">
        <v>43240.0</v>
      </c>
      <c r="G75" s="3" t="s">
        <v>194</v>
      </c>
      <c r="H75" s="3"/>
      <c r="I75" s="3" t="s">
        <v>806</v>
      </c>
    </row>
    <row r="76" ht="15.75" customHeight="1">
      <c r="A76" s="6" t="s">
        <v>1363</v>
      </c>
      <c r="B76" s="6" t="s">
        <v>1011</v>
      </c>
      <c r="C76" s="3" t="s">
        <v>141</v>
      </c>
      <c r="D76" s="3">
        <v>300000.0</v>
      </c>
      <c r="E76" s="8">
        <v>123850.14</v>
      </c>
      <c r="F76" s="7">
        <v>42244.0</v>
      </c>
      <c r="G76" s="3" t="s">
        <v>4</v>
      </c>
      <c r="H76" s="3"/>
      <c r="I76" s="3" t="s">
        <v>806</v>
      </c>
    </row>
    <row r="77" ht="15.75" customHeight="1">
      <c r="A77" s="6" t="s">
        <v>1369</v>
      </c>
      <c r="B77" s="6" t="s">
        <v>1371</v>
      </c>
      <c r="C77" s="3" t="s">
        <v>99</v>
      </c>
      <c r="D77" s="3">
        <v>75000.0</v>
      </c>
      <c r="E77" s="8">
        <v>36725.19</v>
      </c>
      <c r="F77" s="7">
        <v>44799.0</v>
      </c>
      <c r="G77" s="3" t="s">
        <v>4</v>
      </c>
      <c r="H77" s="3"/>
      <c r="I77" s="3" t="s">
        <v>806</v>
      </c>
    </row>
    <row r="78" ht="15.75" customHeight="1">
      <c r="A78" s="6" t="s">
        <v>1379</v>
      </c>
      <c r="B78" s="6" t="s">
        <v>1380</v>
      </c>
      <c r="C78" s="3" t="s">
        <v>141</v>
      </c>
      <c r="D78" s="3">
        <v>300000.0</v>
      </c>
      <c r="E78" s="8">
        <v>313684.87</v>
      </c>
      <c r="F78" s="7">
        <v>42237.0</v>
      </c>
      <c r="G78" s="3" t="s">
        <v>194</v>
      </c>
      <c r="H78" s="7">
        <v>45032.0</v>
      </c>
      <c r="I78" s="3" t="s">
        <v>568</v>
      </c>
    </row>
    <row r="79" ht="15.75" customHeight="1">
      <c r="A79" s="6" t="s">
        <v>1384</v>
      </c>
      <c r="B79" s="6" t="s">
        <v>1385</v>
      </c>
      <c r="C79" s="3" t="s">
        <v>77</v>
      </c>
      <c r="D79" s="3">
        <v>800000.0</v>
      </c>
      <c r="E79" s="8">
        <v>642259.66</v>
      </c>
      <c r="F79" s="7">
        <v>44929.0</v>
      </c>
      <c r="G79" s="3" t="s">
        <v>4</v>
      </c>
      <c r="H79" s="7">
        <v>45637.0</v>
      </c>
      <c r="I79" s="3" t="s">
        <v>568</v>
      </c>
    </row>
    <row r="80" ht="15.75" customHeight="1">
      <c r="A80" s="6" t="s">
        <v>1387</v>
      </c>
      <c r="B80" s="6" t="s">
        <v>1389</v>
      </c>
      <c r="C80" s="3" t="s">
        <v>124</v>
      </c>
      <c r="D80" s="3">
        <v>150000.0</v>
      </c>
      <c r="E80" s="8">
        <v>79163.34</v>
      </c>
      <c r="F80" s="7">
        <v>43980.0</v>
      </c>
      <c r="G80" s="3" t="s">
        <v>4</v>
      </c>
      <c r="H80" s="7">
        <v>45254.0</v>
      </c>
      <c r="I80" s="3" t="s">
        <v>568</v>
      </c>
    </row>
    <row r="81" ht="15.75" customHeight="1">
      <c r="A81" s="6" t="s">
        <v>1397</v>
      </c>
      <c r="B81" s="6" t="s">
        <v>1398</v>
      </c>
      <c r="C81" s="3" t="s">
        <v>77</v>
      </c>
      <c r="D81" s="3">
        <v>800000.0</v>
      </c>
      <c r="E81" s="8">
        <v>457180.51</v>
      </c>
      <c r="F81" s="7">
        <v>43736.0</v>
      </c>
      <c r="G81" s="3" t="s">
        <v>4</v>
      </c>
      <c r="H81" s="7">
        <v>45508.0</v>
      </c>
      <c r="I81" s="3" t="s">
        <v>568</v>
      </c>
    </row>
    <row r="82" ht="15.75" customHeight="1">
      <c r="A82" s="6" t="s">
        <v>1404</v>
      </c>
      <c r="B82" s="6" t="s">
        <v>1406</v>
      </c>
      <c r="C82" s="3" t="s">
        <v>162</v>
      </c>
      <c r="D82" s="3">
        <v>500000.0</v>
      </c>
      <c r="E82" s="8">
        <v>85200.7</v>
      </c>
      <c r="F82" s="7">
        <v>45064.0</v>
      </c>
      <c r="G82" s="3" t="s">
        <v>4</v>
      </c>
      <c r="H82" s="7">
        <v>45573.0</v>
      </c>
      <c r="I82" s="3" t="s">
        <v>568</v>
      </c>
    </row>
    <row r="83" ht="15.75" customHeight="1">
      <c r="A83" s="6" t="s">
        <v>1412</v>
      </c>
      <c r="B83" s="6" t="s">
        <v>1414</v>
      </c>
      <c r="C83" s="3" t="s">
        <v>141</v>
      </c>
      <c r="D83" s="3">
        <v>300000.0</v>
      </c>
      <c r="E83" s="8">
        <v>156019.09</v>
      </c>
      <c r="F83" s="7">
        <v>43503.0</v>
      </c>
      <c r="G83" s="3" t="s">
        <v>4</v>
      </c>
      <c r="H83" s="3"/>
      <c r="I83" s="3" t="s">
        <v>806</v>
      </c>
    </row>
    <row r="84" ht="15.75" customHeight="1">
      <c r="A84" s="6" t="s">
        <v>1419</v>
      </c>
      <c r="B84" s="6" t="s">
        <v>86</v>
      </c>
      <c r="C84" s="3" t="s">
        <v>124</v>
      </c>
      <c r="D84" s="3">
        <v>150000.0</v>
      </c>
      <c r="E84" s="8">
        <v>32463.64</v>
      </c>
      <c r="F84" s="7">
        <v>44384.0</v>
      </c>
      <c r="G84" s="3" t="s">
        <v>4</v>
      </c>
      <c r="H84" s="7">
        <v>45384.0</v>
      </c>
      <c r="I84" s="3" t="s">
        <v>568</v>
      </c>
    </row>
    <row r="85" ht="15.75" customHeight="1">
      <c r="A85" s="6" t="s">
        <v>1430</v>
      </c>
      <c r="B85" s="6" t="s">
        <v>1432</v>
      </c>
      <c r="C85" s="3" t="s">
        <v>141</v>
      </c>
      <c r="D85" s="3">
        <v>300000.0</v>
      </c>
      <c r="E85" s="8">
        <v>248058.83</v>
      </c>
      <c r="F85" s="7">
        <v>45991.0</v>
      </c>
      <c r="G85" s="3" t="s">
        <v>4</v>
      </c>
      <c r="H85" s="7">
        <v>45108.0</v>
      </c>
      <c r="I85" s="3" t="s">
        <v>568</v>
      </c>
    </row>
    <row r="86" ht="15.75" customHeight="1">
      <c r="A86" s="6" t="s">
        <v>1437</v>
      </c>
      <c r="B86" s="6" t="s">
        <v>463</v>
      </c>
      <c r="C86" s="3" t="s">
        <v>162</v>
      </c>
      <c r="D86" s="3">
        <v>500000.0</v>
      </c>
      <c r="E86" s="8">
        <v>58688.18</v>
      </c>
      <c r="F86" s="7">
        <v>43574.0</v>
      </c>
      <c r="G86" s="3" t="s">
        <v>4</v>
      </c>
      <c r="H86" s="7">
        <v>45812.0</v>
      </c>
      <c r="I86" s="3" t="s">
        <v>568</v>
      </c>
    </row>
    <row r="87" ht="15.75" customHeight="1">
      <c r="A87" s="6" t="s">
        <v>1443</v>
      </c>
      <c r="B87" s="6" t="s">
        <v>1444</v>
      </c>
      <c r="C87" s="3" t="s">
        <v>77</v>
      </c>
      <c r="D87" s="3">
        <v>800000.0</v>
      </c>
      <c r="E87" s="8">
        <v>561010.25</v>
      </c>
      <c r="F87" s="7">
        <v>44478.0</v>
      </c>
      <c r="G87" s="3" t="s">
        <v>4</v>
      </c>
      <c r="H87" s="7">
        <v>45861.0</v>
      </c>
      <c r="I87" s="3" t="s">
        <v>568</v>
      </c>
    </row>
    <row r="88" ht="15.75" customHeight="1">
      <c r="A88" s="6" t="s">
        <v>1453</v>
      </c>
      <c r="B88" s="6" t="s">
        <v>1454</v>
      </c>
      <c r="C88" s="3" t="s">
        <v>77</v>
      </c>
      <c r="D88" s="3">
        <v>800000.0</v>
      </c>
      <c r="E88" s="8">
        <v>26907.07</v>
      </c>
      <c r="F88" s="7">
        <v>43925.0</v>
      </c>
      <c r="G88" s="3" t="s">
        <v>4</v>
      </c>
      <c r="H88" s="7">
        <v>46222.0</v>
      </c>
      <c r="I88" s="3" t="s">
        <v>568</v>
      </c>
    </row>
    <row r="89" ht="15.75" customHeight="1">
      <c r="A89" s="6" t="s">
        <v>1459</v>
      </c>
      <c r="B89" s="6" t="s">
        <v>1461</v>
      </c>
      <c r="C89" s="3" t="s">
        <v>124</v>
      </c>
      <c r="D89" s="3">
        <v>150000.0</v>
      </c>
      <c r="E89" s="8">
        <v>14643.23</v>
      </c>
      <c r="F89" s="7">
        <v>43718.0</v>
      </c>
      <c r="G89" s="3" t="s">
        <v>4</v>
      </c>
      <c r="H89" s="7">
        <v>46121.0</v>
      </c>
      <c r="I89" s="3" t="s">
        <v>568</v>
      </c>
    </row>
    <row r="90" ht="15.75" customHeight="1">
      <c r="A90" s="6" t="s">
        <v>1468</v>
      </c>
      <c r="B90" s="6" t="s">
        <v>609</v>
      </c>
      <c r="C90" s="3" t="s">
        <v>124</v>
      </c>
      <c r="D90" s="3">
        <v>150000.0</v>
      </c>
      <c r="E90" s="8">
        <v>16369.49</v>
      </c>
      <c r="F90" s="7">
        <v>45349.0</v>
      </c>
      <c r="G90" s="3" t="s">
        <v>4</v>
      </c>
      <c r="H90" s="7">
        <v>46188.0</v>
      </c>
      <c r="I90" s="3" t="s">
        <v>568</v>
      </c>
    </row>
    <row r="91" ht="15.75" customHeight="1">
      <c r="A91" s="6" t="s">
        <v>1478</v>
      </c>
      <c r="B91" s="6" t="s">
        <v>1479</v>
      </c>
      <c r="C91" s="3" t="s">
        <v>77</v>
      </c>
      <c r="D91" s="3">
        <v>800000.0</v>
      </c>
      <c r="E91" s="8">
        <v>231512.36</v>
      </c>
      <c r="F91" s="7">
        <v>44575.0</v>
      </c>
      <c r="G91" s="3" t="s">
        <v>4</v>
      </c>
      <c r="H91" s="7">
        <v>45203.0</v>
      </c>
      <c r="I91" s="3" t="s">
        <v>568</v>
      </c>
    </row>
    <row r="92" ht="15.75" customHeight="1">
      <c r="A92" s="6" t="s">
        <v>1483</v>
      </c>
      <c r="B92" s="6" t="s">
        <v>1486</v>
      </c>
      <c r="C92" s="3" t="s">
        <v>141</v>
      </c>
      <c r="D92" s="3">
        <v>300000.0</v>
      </c>
      <c r="E92" s="8">
        <v>101580.77</v>
      </c>
      <c r="F92" s="7">
        <v>44460.0</v>
      </c>
      <c r="G92" s="3" t="s">
        <v>4</v>
      </c>
      <c r="H92" s="7">
        <v>45949.0</v>
      </c>
      <c r="I92" s="3" t="s">
        <v>568</v>
      </c>
    </row>
    <row r="93" ht="15.75" customHeight="1">
      <c r="A93" s="6" t="s">
        <v>1491</v>
      </c>
      <c r="B93" s="6" t="s">
        <v>1493</v>
      </c>
      <c r="C93" s="3" t="s">
        <v>99</v>
      </c>
      <c r="D93" s="3">
        <v>75000.0</v>
      </c>
      <c r="E93" s="8">
        <v>8244.01</v>
      </c>
      <c r="F93" s="7">
        <v>44430.0</v>
      </c>
      <c r="G93" s="3" t="s">
        <v>4</v>
      </c>
      <c r="H93" s="7">
        <v>45382.0</v>
      </c>
      <c r="I93" s="3" t="s">
        <v>568</v>
      </c>
    </row>
    <row r="94" ht="15.75" customHeight="1">
      <c r="A94" s="6" t="s">
        <v>1495</v>
      </c>
      <c r="B94" s="6" t="s">
        <v>1497</v>
      </c>
      <c r="C94" s="3" t="s">
        <v>124</v>
      </c>
      <c r="D94" s="3">
        <v>150000.0</v>
      </c>
      <c r="E94" s="8">
        <v>97177.97</v>
      </c>
      <c r="F94" s="7">
        <v>43772.0</v>
      </c>
      <c r="G94" s="3" t="s">
        <v>194</v>
      </c>
      <c r="H94" s="7">
        <v>45565.0</v>
      </c>
      <c r="I94" s="3" t="s">
        <v>568</v>
      </c>
    </row>
    <row r="95" ht="15.75" customHeight="1">
      <c r="A95" s="6" t="s">
        <v>1503</v>
      </c>
      <c r="B95" s="6" t="s">
        <v>1504</v>
      </c>
      <c r="C95" s="3" t="s">
        <v>162</v>
      </c>
      <c r="D95" s="3">
        <v>500000.0</v>
      </c>
      <c r="E95" s="8">
        <v>59476.77</v>
      </c>
      <c r="F95" s="7">
        <v>45036.0</v>
      </c>
      <c r="G95" s="3" t="s">
        <v>5</v>
      </c>
      <c r="H95" s="7">
        <v>45865.0</v>
      </c>
      <c r="I95" s="3" t="s">
        <v>568</v>
      </c>
    </row>
    <row r="96" ht="15.75" customHeight="1">
      <c r="A96" s="6" t="s">
        <v>1514</v>
      </c>
      <c r="B96" s="6" t="s">
        <v>1515</v>
      </c>
      <c r="C96" s="3" t="s">
        <v>99</v>
      </c>
      <c r="D96" s="3">
        <v>75000.0</v>
      </c>
      <c r="E96" s="8">
        <v>45311.4</v>
      </c>
      <c r="F96" s="7">
        <v>43124.0</v>
      </c>
      <c r="G96" s="3" t="s">
        <v>5</v>
      </c>
      <c r="H96" s="7">
        <v>46353.0</v>
      </c>
      <c r="I96" s="3" t="s">
        <v>568</v>
      </c>
    </row>
    <row r="97" ht="15.75" customHeight="1">
      <c r="A97" s="6" t="s">
        <v>1519</v>
      </c>
      <c r="B97" s="6" t="s">
        <v>1521</v>
      </c>
      <c r="C97" s="3" t="s">
        <v>162</v>
      </c>
      <c r="D97" s="3">
        <v>500000.0</v>
      </c>
      <c r="E97" s="8">
        <v>41235.84</v>
      </c>
      <c r="F97" s="7">
        <v>44517.0</v>
      </c>
      <c r="G97" s="3" t="s">
        <v>4</v>
      </c>
      <c r="H97" s="7">
        <v>45559.0</v>
      </c>
      <c r="I97" s="3" t="s">
        <v>568</v>
      </c>
    </row>
    <row r="98" ht="15.75" customHeight="1">
      <c r="A98" s="6" t="s">
        <v>1529</v>
      </c>
      <c r="B98" s="6" t="s">
        <v>1530</v>
      </c>
      <c r="C98" s="3" t="s">
        <v>77</v>
      </c>
      <c r="D98" s="3">
        <v>800000.0</v>
      </c>
      <c r="E98" s="8">
        <v>236457.88</v>
      </c>
      <c r="F98" s="7">
        <v>42529.0</v>
      </c>
      <c r="G98" s="3" t="s">
        <v>194</v>
      </c>
      <c r="H98" s="7">
        <v>44986.0</v>
      </c>
      <c r="I98" s="3" t="s">
        <v>568</v>
      </c>
    </row>
    <row r="99" ht="15.75" customHeight="1">
      <c r="A99" s="6" t="s">
        <v>1533</v>
      </c>
      <c r="B99" s="6" t="s">
        <v>1534</v>
      </c>
      <c r="C99" s="3" t="s">
        <v>124</v>
      </c>
      <c r="D99" s="3">
        <v>150000.0</v>
      </c>
      <c r="E99" s="8">
        <v>151767.67</v>
      </c>
      <c r="F99" s="7">
        <v>44454.0</v>
      </c>
      <c r="G99" s="3" t="s">
        <v>4</v>
      </c>
      <c r="H99" s="7">
        <v>45026.0</v>
      </c>
      <c r="I99" s="3" t="s">
        <v>568</v>
      </c>
    </row>
    <row r="100" ht="15.75" customHeight="1">
      <c r="A100" s="6" t="s">
        <v>1552</v>
      </c>
      <c r="B100" s="6" t="s">
        <v>1555</v>
      </c>
      <c r="C100" s="3" t="s">
        <v>162</v>
      </c>
      <c r="D100" s="3">
        <v>500000.0</v>
      </c>
      <c r="E100" s="8">
        <v>308171.44</v>
      </c>
      <c r="F100" s="7">
        <v>44854.0</v>
      </c>
      <c r="G100" s="3" t="s">
        <v>4</v>
      </c>
      <c r="H100" s="7">
        <v>45858.0</v>
      </c>
      <c r="I100" s="3" t="s">
        <v>568</v>
      </c>
    </row>
    <row r="101" ht="15.75" customHeight="1">
      <c r="A101" s="6" t="s">
        <v>1563</v>
      </c>
      <c r="B101" s="6" t="s">
        <v>1565</v>
      </c>
      <c r="C101" s="3" t="s">
        <v>99</v>
      </c>
      <c r="D101" s="3">
        <v>75000.0</v>
      </c>
      <c r="E101" s="8">
        <v>40169.68</v>
      </c>
      <c r="F101" s="7">
        <v>45343.0</v>
      </c>
      <c r="G101" s="3" t="s">
        <v>4</v>
      </c>
      <c r="H101" s="3"/>
      <c r="I101" s="3" t="s">
        <v>806</v>
      </c>
    </row>
    <row r="102" ht="15.75" customHeight="1">
      <c r="A102" s="6" t="s">
        <v>1571</v>
      </c>
      <c r="B102" s="6" t="s">
        <v>1575</v>
      </c>
      <c r="C102" s="3" t="s">
        <v>162</v>
      </c>
      <c r="D102" s="3">
        <v>500000.0</v>
      </c>
      <c r="E102" s="8">
        <v>48437.28</v>
      </c>
      <c r="F102" s="7">
        <v>42288.0</v>
      </c>
      <c r="G102" s="3" t="s">
        <v>4</v>
      </c>
      <c r="H102" s="7">
        <v>45454.0</v>
      </c>
      <c r="I102" s="3" t="s">
        <v>568</v>
      </c>
    </row>
    <row r="103" ht="15.75" customHeight="1">
      <c r="A103" s="6" t="s">
        <v>1580</v>
      </c>
      <c r="B103" s="6" t="s">
        <v>593</v>
      </c>
      <c r="C103" s="3" t="s">
        <v>77</v>
      </c>
      <c r="D103" s="3">
        <v>800000.0</v>
      </c>
      <c r="E103" s="8">
        <v>186495.51</v>
      </c>
      <c r="F103" s="7">
        <v>43143.0</v>
      </c>
      <c r="G103" s="3" t="s">
        <v>4</v>
      </c>
      <c r="H103" s="7">
        <v>45119.0</v>
      </c>
      <c r="I103" s="3" t="s">
        <v>568</v>
      </c>
    </row>
    <row r="104" ht="15.75" customHeight="1">
      <c r="A104" s="6" t="s">
        <v>1586</v>
      </c>
      <c r="B104" s="6" t="s">
        <v>1588</v>
      </c>
      <c r="C104" s="3" t="s">
        <v>77</v>
      </c>
      <c r="D104" s="3">
        <v>800000.0</v>
      </c>
      <c r="E104" s="8">
        <v>667982.59</v>
      </c>
      <c r="F104" s="7">
        <v>42049.0</v>
      </c>
      <c r="G104" s="3" t="s">
        <v>4</v>
      </c>
      <c r="H104" s="7">
        <v>45467.0</v>
      </c>
      <c r="I104" s="3" t="s">
        <v>568</v>
      </c>
    </row>
    <row r="105" ht="15.75" customHeight="1">
      <c r="A105" s="6" t="s">
        <v>1596</v>
      </c>
      <c r="B105" s="6" t="s">
        <v>1597</v>
      </c>
      <c r="C105" s="3" t="s">
        <v>99</v>
      </c>
      <c r="D105" s="3">
        <v>75000.0</v>
      </c>
      <c r="E105" s="8">
        <v>4380.85</v>
      </c>
      <c r="F105" s="7">
        <v>45799.0</v>
      </c>
      <c r="G105" s="3" t="s">
        <v>194</v>
      </c>
      <c r="H105" s="7">
        <v>45411.0</v>
      </c>
      <c r="I105" s="3" t="s">
        <v>568</v>
      </c>
    </row>
    <row r="106" ht="15.75" customHeight="1">
      <c r="A106" s="6" t="s">
        <v>1605</v>
      </c>
      <c r="B106" s="6" t="s">
        <v>1606</v>
      </c>
      <c r="C106" s="3" t="s">
        <v>124</v>
      </c>
      <c r="D106" s="3">
        <v>150000.0</v>
      </c>
      <c r="E106" s="8">
        <v>127692.26</v>
      </c>
      <c r="F106" s="7">
        <v>42534.0</v>
      </c>
      <c r="G106" s="3" t="s">
        <v>4</v>
      </c>
      <c r="H106" s="7">
        <v>45763.0</v>
      </c>
      <c r="I106" s="3" t="s">
        <v>568</v>
      </c>
    </row>
    <row r="107" ht="15.75" customHeight="1">
      <c r="A107" s="6" t="s">
        <v>1617</v>
      </c>
      <c r="B107" s="6" t="s">
        <v>818</v>
      </c>
      <c r="C107" s="3" t="s">
        <v>124</v>
      </c>
      <c r="D107" s="3">
        <v>150000.0</v>
      </c>
      <c r="E107" s="8">
        <v>144871.24</v>
      </c>
      <c r="F107" s="7">
        <v>42201.0</v>
      </c>
      <c r="G107" s="3" t="s">
        <v>194</v>
      </c>
      <c r="H107" s="7">
        <v>45227.0</v>
      </c>
      <c r="I107" s="3" t="s">
        <v>568</v>
      </c>
    </row>
    <row r="108" ht="15.75" customHeight="1">
      <c r="A108" s="6" t="s">
        <v>1622</v>
      </c>
      <c r="B108" s="6" t="s">
        <v>577</v>
      </c>
      <c r="C108" s="3" t="s">
        <v>124</v>
      </c>
      <c r="D108" s="3">
        <v>150000.0</v>
      </c>
      <c r="E108" s="8">
        <v>69818.02</v>
      </c>
      <c r="F108" s="7">
        <v>42657.0</v>
      </c>
      <c r="G108" s="3" t="s">
        <v>5</v>
      </c>
      <c r="H108" s="7">
        <v>45767.0</v>
      </c>
      <c r="I108" s="3" t="s">
        <v>568</v>
      </c>
    </row>
    <row r="109" ht="15.75" customHeight="1">
      <c r="A109" s="6" t="s">
        <v>1628</v>
      </c>
      <c r="B109" s="6" t="s">
        <v>1629</v>
      </c>
      <c r="C109" s="3" t="s">
        <v>99</v>
      </c>
      <c r="D109" s="3">
        <v>75000.0</v>
      </c>
      <c r="E109" s="8">
        <v>1545.83</v>
      </c>
      <c r="F109" s="7">
        <v>45092.0</v>
      </c>
      <c r="G109" s="3" t="s">
        <v>4</v>
      </c>
      <c r="H109" s="7">
        <v>45280.0</v>
      </c>
      <c r="I109" s="3" t="s">
        <v>568</v>
      </c>
    </row>
    <row r="110" ht="15.75" customHeight="1">
      <c r="A110" s="6" t="s">
        <v>1636</v>
      </c>
      <c r="B110" s="6" t="s">
        <v>1637</v>
      </c>
      <c r="C110" s="3" t="s">
        <v>141</v>
      </c>
      <c r="D110" s="3">
        <v>300000.0</v>
      </c>
      <c r="E110" s="8">
        <v>14655.51</v>
      </c>
      <c r="F110" s="7">
        <v>45013.0</v>
      </c>
      <c r="G110" s="3" t="s">
        <v>4</v>
      </c>
      <c r="H110" s="7">
        <v>46012.0</v>
      </c>
      <c r="I110" s="3" t="s">
        <v>568</v>
      </c>
    </row>
    <row r="111" ht="15.75" customHeight="1">
      <c r="A111" s="6" t="s">
        <v>1646</v>
      </c>
      <c r="B111" s="6" t="s">
        <v>1648</v>
      </c>
      <c r="C111" s="3" t="s">
        <v>162</v>
      </c>
      <c r="D111" s="3">
        <v>500000.0</v>
      </c>
      <c r="E111" s="8">
        <v>453576.56</v>
      </c>
      <c r="F111" s="7">
        <v>42048.0</v>
      </c>
      <c r="G111" s="3" t="s">
        <v>4</v>
      </c>
      <c r="H111" s="7">
        <v>45989.0</v>
      </c>
      <c r="I111" s="3" t="s">
        <v>568</v>
      </c>
    </row>
    <row r="112" ht="15.75" customHeight="1">
      <c r="A112" s="6" t="s">
        <v>1654</v>
      </c>
      <c r="B112" s="6" t="s">
        <v>1658</v>
      </c>
      <c r="C112" s="3" t="s">
        <v>124</v>
      </c>
      <c r="D112" s="3">
        <v>150000.0</v>
      </c>
      <c r="E112" s="8">
        <v>157376.19</v>
      </c>
      <c r="F112" s="7">
        <v>42586.0</v>
      </c>
      <c r="G112" s="3" t="s">
        <v>4</v>
      </c>
      <c r="H112" s="7">
        <v>45533.0</v>
      </c>
      <c r="I112" s="3" t="s">
        <v>568</v>
      </c>
    </row>
    <row r="113" ht="15.75" customHeight="1">
      <c r="A113" s="6" t="s">
        <v>1665</v>
      </c>
      <c r="B113" s="6" t="s">
        <v>890</v>
      </c>
      <c r="C113" s="3" t="s">
        <v>162</v>
      </c>
      <c r="D113" s="3">
        <v>500000.0</v>
      </c>
      <c r="E113" s="8">
        <v>281438.39</v>
      </c>
      <c r="F113" s="7">
        <v>45144.0</v>
      </c>
      <c r="G113" s="3" t="s">
        <v>5</v>
      </c>
      <c r="H113" s="7">
        <v>46042.0</v>
      </c>
      <c r="I113" s="3" t="s">
        <v>568</v>
      </c>
    </row>
    <row r="114" ht="15.75" customHeight="1">
      <c r="A114" s="6" t="s">
        <v>1677</v>
      </c>
      <c r="B114" s="6" t="s">
        <v>1679</v>
      </c>
      <c r="C114" s="3" t="s">
        <v>162</v>
      </c>
      <c r="D114" s="3">
        <v>500000.0</v>
      </c>
      <c r="E114" s="8">
        <v>84022.8</v>
      </c>
      <c r="F114" s="7">
        <v>43435.0</v>
      </c>
      <c r="G114" s="3" t="s">
        <v>4</v>
      </c>
      <c r="H114" s="7">
        <v>45485.0</v>
      </c>
      <c r="I114" s="3" t="s">
        <v>568</v>
      </c>
    </row>
    <row r="115" ht="15.75" customHeight="1">
      <c r="A115" s="6" t="s">
        <v>1688</v>
      </c>
      <c r="B115" s="6" t="s">
        <v>1689</v>
      </c>
      <c r="C115" s="3" t="s">
        <v>162</v>
      </c>
      <c r="D115" s="3">
        <v>500000.0</v>
      </c>
      <c r="E115" s="8">
        <v>172029.48</v>
      </c>
      <c r="F115" s="7">
        <v>43362.0</v>
      </c>
      <c r="G115" s="3" t="s">
        <v>4</v>
      </c>
      <c r="H115" s="3"/>
      <c r="I115" s="3" t="s">
        <v>806</v>
      </c>
    </row>
    <row r="116" ht="15.75" customHeight="1">
      <c r="A116" s="6" t="s">
        <v>1696</v>
      </c>
      <c r="B116" s="6" t="s">
        <v>1697</v>
      </c>
      <c r="C116" s="3" t="s">
        <v>77</v>
      </c>
      <c r="D116" s="3">
        <v>800000.0</v>
      </c>
      <c r="E116" s="8">
        <v>536148.88</v>
      </c>
      <c r="F116" s="7">
        <v>43756.0</v>
      </c>
      <c r="G116" s="3" t="s">
        <v>4</v>
      </c>
      <c r="H116" s="7">
        <v>45692.0</v>
      </c>
      <c r="I116" s="3" t="s">
        <v>568</v>
      </c>
    </row>
    <row r="117" ht="15.75" customHeight="1">
      <c r="A117" s="6" t="s">
        <v>1706</v>
      </c>
      <c r="B117" s="6" t="s">
        <v>1708</v>
      </c>
      <c r="C117" s="3" t="s">
        <v>141</v>
      </c>
      <c r="D117" s="3">
        <v>300000.0</v>
      </c>
      <c r="E117" s="8">
        <v>173218.68</v>
      </c>
      <c r="F117" s="7">
        <v>45841.0</v>
      </c>
      <c r="G117" s="3" t="s">
        <v>4</v>
      </c>
      <c r="H117" s="7">
        <v>46364.0</v>
      </c>
      <c r="I117" s="3" t="s">
        <v>568</v>
      </c>
    </row>
    <row r="118" ht="15.75" customHeight="1">
      <c r="A118" s="6" t="s">
        <v>1714</v>
      </c>
      <c r="B118" s="6" t="s">
        <v>1716</v>
      </c>
      <c r="C118" s="3" t="s">
        <v>99</v>
      </c>
      <c r="D118" s="3">
        <v>75000.0</v>
      </c>
      <c r="E118" s="8">
        <v>38031.88</v>
      </c>
      <c r="F118" s="7">
        <v>45850.0</v>
      </c>
      <c r="G118" s="3" t="s">
        <v>4</v>
      </c>
      <c r="H118" s="7">
        <v>46228.0</v>
      </c>
      <c r="I118" s="3" t="s">
        <v>568</v>
      </c>
    </row>
    <row r="119" ht="15.75" customHeight="1">
      <c r="A119" s="6" t="s">
        <v>1720</v>
      </c>
      <c r="B119" s="6" t="s">
        <v>1722</v>
      </c>
      <c r="C119" s="3" t="s">
        <v>141</v>
      </c>
      <c r="D119" s="3">
        <v>300000.0</v>
      </c>
      <c r="E119" s="8">
        <v>118462.93</v>
      </c>
      <c r="F119" s="7">
        <v>44765.0</v>
      </c>
      <c r="G119" s="3" t="s">
        <v>4</v>
      </c>
      <c r="H119" s="7">
        <v>45210.0</v>
      </c>
      <c r="I119" s="3" t="s">
        <v>568</v>
      </c>
    </row>
    <row r="120" ht="15.75" customHeight="1">
      <c r="A120" s="6" t="s">
        <v>1729</v>
      </c>
      <c r="B120" s="6" t="s">
        <v>1731</v>
      </c>
      <c r="C120" s="3" t="s">
        <v>99</v>
      </c>
      <c r="D120" s="3">
        <v>75000.0</v>
      </c>
      <c r="E120" s="8">
        <v>50198.02</v>
      </c>
      <c r="F120" s="7">
        <v>45433.0</v>
      </c>
      <c r="G120" s="3" t="s">
        <v>4</v>
      </c>
      <c r="H120" s="7">
        <v>45219.0</v>
      </c>
      <c r="I120" s="3" t="s">
        <v>568</v>
      </c>
    </row>
    <row r="121" ht="15.75" customHeight="1">
      <c r="A121" s="6" t="s">
        <v>1735</v>
      </c>
      <c r="B121" s="6" t="s">
        <v>627</v>
      </c>
      <c r="C121" s="3" t="s">
        <v>99</v>
      </c>
      <c r="D121" s="3">
        <v>75000.0</v>
      </c>
      <c r="E121" s="8">
        <v>44528.17</v>
      </c>
      <c r="F121" s="7">
        <v>42836.0</v>
      </c>
      <c r="G121" s="3" t="s">
        <v>4</v>
      </c>
      <c r="H121" s="7">
        <v>45939.0</v>
      </c>
      <c r="I121" s="3" t="s">
        <v>568</v>
      </c>
    </row>
    <row r="122" ht="15.75" customHeight="1">
      <c r="A122" s="6" t="s">
        <v>1744</v>
      </c>
      <c r="B122" s="6" t="s">
        <v>1746</v>
      </c>
      <c r="C122" s="3" t="s">
        <v>141</v>
      </c>
      <c r="D122" s="3">
        <v>300000.0</v>
      </c>
      <c r="E122" s="8">
        <v>310760.15</v>
      </c>
      <c r="F122" s="7">
        <v>45251.0</v>
      </c>
      <c r="G122" s="3" t="s">
        <v>4</v>
      </c>
      <c r="H122" s="7">
        <v>45833.0</v>
      </c>
      <c r="I122" s="3" t="s">
        <v>568</v>
      </c>
    </row>
    <row r="123" ht="15.75" customHeight="1">
      <c r="A123" s="6" t="s">
        <v>1754</v>
      </c>
      <c r="B123" s="6" t="s">
        <v>1756</v>
      </c>
      <c r="C123" s="3" t="s">
        <v>124</v>
      </c>
      <c r="D123" s="3">
        <v>150000.0</v>
      </c>
      <c r="E123" s="8">
        <v>56250.17</v>
      </c>
      <c r="F123" s="7">
        <v>43160.0</v>
      </c>
      <c r="G123" s="3" t="s">
        <v>4</v>
      </c>
      <c r="H123" s="7">
        <v>44993.0</v>
      </c>
      <c r="I123" s="3" t="s">
        <v>568</v>
      </c>
    </row>
    <row r="124" ht="15.75" customHeight="1">
      <c r="A124" s="6" t="s">
        <v>1761</v>
      </c>
      <c r="B124" s="6" t="s">
        <v>1763</v>
      </c>
      <c r="C124" s="3" t="s">
        <v>162</v>
      </c>
      <c r="D124" s="3">
        <v>500000.0</v>
      </c>
      <c r="E124" s="8">
        <v>256256.89</v>
      </c>
      <c r="F124" s="7">
        <v>42391.0</v>
      </c>
      <c r="G124" s="3" t="s">
        <v>194</v>
      </c>
      <c r="H124" s="7">
        <v>45215.0</v>
      </c>
      <c r="I124" s="3" t="s">
        <v>568</v>
      </c>
    </row>
    <row r="125" ht="15.75" customHeight="1">
      <c r="A125" s="6" t="s">
        <v>1773</v>
      </c>
      <c r="B125" s="6" t="s">
        <v>1774</v>
      </c>
      <c r="C125" s="3" t="s">
        <v>99</v>
      </c>
      <c r="D125" s="3">
        <v>75000.0</v>
      </c>
      <c r="E125" s="8">
        <v>68296.02</v>
      </c>
      <c r="F125" s="7">
        <v>44541.0</v>
      </c>
      <c r="G125" s="3" t="s">
        <v>4</v>
      </c>
      <c r="H125" s="7">
        <v>45950.0</v>
      </c>
      <c r="I125" s="3" t="s">
        <v>568</v>
      </c>
    </row>
    <row r="126" ht="15.75" customHeight="1">
      <c r="A126" s="6" t="s">
        <v>1782</v>
      </c>
      <c r="B126" s="6" t="s">
        <v>1785</v>
      </c>
      <c r="C126" s="3" t="s">
        <v>141</v>
      </c>
      <c r="D126" s="3">
        <v>300000.0</v>
      </c>
      <c r="E126" s="8">
        <v>142380.16</v>
      </c>
      <c r="F126" s="7">
        <v>45039.0</v>
      </c>
      <c r="G126" s="3" t="s">
        <v>4</v>
      </c>
      <c r="H126" s="7">
        <v>45656.0</v>
      </c>
      <c r="I126" s="3" t="s">
        <v>568</v>
      </c>
    </row>
    <row r="127" ht="15.75" customHeight="1">
      <c r="A127" s="6" t="s">
        <v>1792</v>
      </c>
      <c r="B127" s="6" t="s">
        <v>1795</v>
      </c>
      <c r="C127" s="3" t="s">
        <v>162</v>
      </c>
      <c r="D127" s="3">
        <v>500000.0</v>
      </c>
      <c r="E127" s="8">
        <v>129269.44</v>
      </c>
      <c r="F127" s="7">
        <v>45689.0</v>
      </c>
      <c r="G127" s="3" t="s">
        <v>4</v>
      </c>
      <c r="H127" s="7">
        <v>45265.0</v>
      </c>
      <c r="I127" s="3" t="s">
        <v>568</v>
      </c>
    </row>
    <row r="128" ht="15.75" customHeight="1">
      <c r="A128" s="6" t="s">
        <v>1803</v>
      </c>
      <c r="B128" s="6" t="s">
        <v>1806</v>
      </c>
      <c r="C128" s="3" t="s">
        <v>162</v>
      </c>
      <c r="D128" s="3">
        <v>500000.0</v>
      </c>
      <c r="E128" s="8">
        <v>4624.76</v>
      </c>
      <c r="F128" s="7">
        <v>44784.0</v>
      </c>
      <c r="G128" s="3" t="s">
        <v>4</v>
      </c>
      <c r="H128" s="7">
        <v>45949.0</v>
      </c>
      <c r="I128" s="3" t="s">
        <v>568</v>
      </c>
    </row>
    <row r="129" ht="15.75" customHeight="1">
      <c r="A129" s="6" t="s">
        <v>1813</v>
      </c>
      <c r="B129" s="6" t="s">
        <v>1096</v>
      </c>
      <c r="C129" s="3" t="s">
        <v>162</v>
      </c>
      <c r="D129" s="3">
        <v>500000.0</v>
      </c>
      <c r="E129" s="8">
        <v>123993.73</v>
      </c>
      <c r="F129" s="7">
        <v>43284.0</v>
      </c>
      <c r="G129" s="3" t="s">
        <v>4</v>
      </c>
      <c r="H129" s="7">
        <v>45962.0</v>
      </c>
      <c r="I129" s="3" t="s">
        <v>568</v>
      </c>
    </row>
    <row r="130" ht="15.75" customHeight="1">
      <c r="A130" s="6" t="s">
        <v>1823</v>
      </c>
      <c r="B130" s="6" t="s">
        <v>1644</v>
      </c>
      <c r="C130" s="3" t="s">
        <v>99</v>
      </c>
      <c r="D130" s="3">
        <v>75000.0</v>
      </c>
      <c r="E130" s="8">
        <v>35474.9</v>
      </c>
      <c r="F130" s="7">
        <v>44611.0</v>
      </c>
      <c r="G130" s="3" t="s">
        <v>4</v>
      </c>
      <c r="H130" s="7">
        <v>46031.0</v>
      </c>
      <c r="I130" s="3" t="s">
        <v>568</v>
      </c>
    </row>
    <row r="131" ht="15.75" customHeight="1">
      <c r="A131" s="6" t="s">
        <v>1831</v>
      </c>
      <c r="B131" s="6" t="s">
        <v>423</v>
      </c>
      <c r="C131" s="3" t="s">
        <v>99</v>
      </c>
      <c r="D131" s="3">
        <v>75000.0</v>
      </c>
      <c r="E131" s="8">
        <v>56710.2</v>
      </c>
      <c r="F131" s="7">
        <v>43736.0</v>
      </c>
      <c r="G131" s="3" t="s">
        <v>4</v>
      </c>
      <c r="H131" s="7">
        <v>45427.0</v>
      </c>
      <c r="I131" s="3" t="s">
        <v>568</v>
      </c>
    </row>
    <row r="132" ht="15.75" customHeight="1">
      <c r="A132" s="6" t="s">
        <v>1840</v>
      </c>
      <c r="B132" s="6" t="s">
        <v>1842</v>
      </c>
      <c r="C132" s="3" t="s">
        <v>99</v>
      </c>
      <c r="D132" s="3">
        <v>75000.0</v>
      </c>
      <c r="E132" s="8">
        <v>6913.44</v>
      </c>
      <c r="F132" s="7">
        <v>45338.0</v>
      </c>
      <c r="G132" s="3" t="s">
        <v>5</v>
      </c>
      <c r="H132" s="7">
        <v>45194.0</v>
      </c>
      <c r="I132" s="3" t="s">
        <v>568</v>
      </c>
    </row>
    <row r="133" ht="15.75" customHeight="1">
      <c r="A133" s="6" t="s">
        <v>1848</v>
      </c>
      <c r="B133" s="6" t="s">
        <v>878</v>
      </c>
      <c r="C133" s="3" t="s">
        <v>141</v>
      </c>
      <c r="D133" s="3">
        <v>300000.0</v>
      </c>
      <c r="E133" s="8">
        <v>230367.2</v>
      </c>
      <c r="F133" s="7">
        <v>45533.0</v>
      </c>
      <c r="G133" s="3" t="s">
        <v>194</v>
      </c>
      <c r="H133" s="7">
        <v>46237.0</v>
      </c>
      <c r="I133" s="3" t="s">
        <v>568</v>
      </c>
    </row>
    <row r="134" ht="15.75" customHeight="1">
      <c r="A134" s="6" t="s">
        <v>1861</v>
      </c>
      <c r="B134" s="6" t="s">
        <v>1864</v>
      </c>
      <c r="C134" s="3" t="s">
        <v>77</v>
      </c>
      <c r="D134" s="3">
        <v>800000.0</v>
      </c>
      <c r="E134" s="8">
        <v>838074.86</v>
      </c>
      <c r="F134" s="7">
        <v>44659.0</v>
      </c>
      <c r="G134" s="3" t="s">
        <v>4</v>
      </c>
      <c r="H134" s="7">
        <v>46286.0</v>
      </c>
      <c r="I134" s="3" t="s">
        <v>568</v>
      </c>
    </row>
    <row r="135" ht="15.75" customHeight="1">
      <c r="A135" s="6" t="s">
        <v>1870</v>
      </c>
      <c r="B135" s="6" t="s">
        <v>1873</v>
      </c>
      <c r="C135" s="3" t="s">
        <v>141</v>
      </c>
      <c r="D135" s="3">
        <v>300000.0</v>
      </c>
      <c r="E135" s="8">
        <v>229867.18</v>
      </c>
      <c r="F135" s="7">
        <v>44687.0</v>
      </c>
      <c r="G135" s="3" t="s">
        <v>194</v>
      </c>
      <c r="H135" s="7">
        <v>46102.0</v>
      </c>
      <c r="I135" s="3" t="s">
        <v>568</v>
      </c>
    </row>
    <row r="136" ht="15.75" customHeight="1">
      <c r="A136" s="6" t="s">
        <v>1883</v>
      </c>
      <c r="B136" s="6" t="s">
        <v>1886</v>
      </c>
      <c r="C136" s="3" t="s">
        <v>162</v>
      </c>
      <c r="D136" s="3">
        <v>500000.0</v>
      </c>
      <c r="E136" s="8">
        <v>483499.68</v>
      </c>
      <c r="F136" s="7">
        <v>44787.0</v>
      </c>
      <c r="G136" s="3" t="s">
        <v>4</v>
      </c>
      <c r="H136" s="3"/>
      <c r="I136" s="3" t="s">
        <v>806</v>
      </c>
    </row>
    <row r="137" ht="15.75" customHeight="1">
      <c r="A137" s="6" t="s">
        <v>1891</v>
      </c>
      <c r="B137" s="6" t="s">
        <v>1894</v>
      </c>
      <c r="C137" s="3" t="s">
        <v>141</v>
      </c>
      <c r="D137" s="3">
        <v>300000.0</v>
      </c>
      <c r="E137" s="8">
        <v>220347.26</v>
      </c>
      <c r="F137" s="7">
        <v>42232.0</v>
      </c>
      <c r="G137" s="3" t="s">
        <v>5</v>
      </c>
      <c r="H137" s="3"/>
      <c r="I137" s="3" t="s">
        <v>806</v>
      </c>
    </row>
    <row r="138" ht="15.75" customHeight="1">
      <c r="A138" s="6" t="s">
        <v>1904</v>
      </c>
      <c r="B138" s="6" t="s">
        <v>1906</v>
      </c>
      <c r="C138" s="3" t="s">
        <v>124</v>
      </c>
      <c r="D138" s="3">
        <v>150000.0</v>
      </c>
      <c r="E138" s="8">
        <v>14513.51</v>
      </c>
      <c r="F138" s="7">
        <v>44651.0</v>
      </c>
      <c r="G138" s="3" t="s">
        <v>4</v>
      </c>
      <c r="H138" s="3"/>
      <c r="I138" s="3" t="s">
        <v>806</v>
      </c>
    </row>
    <row r="139" ht="15.75" customHeight="1">
      <c r="A139" s="6" t="s">
        <v>1913</v>
      </c>
      <c r="B139" s="6" t="s">
        <v>1916</v>
      </c>
      <c r="C139" s="3" t="s">
        <v>77</v>
      </c>
      <c r="D139" s="3">
        <v>800000.0</v>
      </c>
      <c r="E139" s="8">
        <v>10990.21</v>
      </c>
      <c r="F139" s="7">
        <v>42291.0</v>
      </c>
      <c r="G139" s="3" t="s">
        <v>5</v>
      </c>
      <c r="H139" s="7">
        <v>46179.0</v>
      </c>
      <c r="I139" s="3" t="s">
        <v>568</v>
      </c>
    </row>
    <row r="140" ht="15.75" customHeight="1">
      <c r="A140" s="6" t="s">
        <v>1920</v>
      </c>
      <c r="B140" s="6" t="s">
        <v>478</v>
      </c>
      <c r="C140" s="3" t="s">
        <v>99</v>
      </c>
      <c r="D140" s="3">
        <v>75000.0</v>
      </c>
      <c r="E140" s="8">
        <v>75032.34</v>
      </c>
      <c r="F140" s="7">
        <v>45333.0</v>
      </c>
      <c r="G140" s="3" t="s">
        <v>4</v>
      </c>
      <c r="H140" s="7">
        <v>45591.0</v>
      </c>
      <c r="I140" s="3" t="s">
        <v>568</v>
      </c>
    </row>
    <row r="141" ht="15.75" customHeight="1">
      <c r="A141" s="6" t="s">
        <v>1926</v>
      </c>
      <c r="B141" s="6" t="s">
        <v>1927</v>
      </c>
      <c r="C141" s="3" t="s">
        <v>162</v>
      </c>
      <c r="D141" s="3">
        <v>500000.0</v>
      </c>
      <c r="E141" s="8">
        <v>411558.68</v>
      </c>
      <c r="F141" s="7">
        <v>44546.0</v>
      </c>
      <c r="G141" s="3" t="s">
        <v>4</v>
      </c>
      <c r="H141" s="3"/>
      <c r="I141" s="3" t="s">
        <v>806</v>
      </c>
    </row>
    <row r="142" ht="15.75" customHeight="1">
      <c r="A142" s="6" t="s">
        <v>1936</v>
      </c>
      <c r="B142" s="6" t="s">
        <v>1939</v>
      </c>
      <c r="C142" s="3" t="s">
        <v>141</v>
      </c>
      <c r="D142" s="3">
        <v>300000.0</v>
      </c>
      <c r="E142" s="8">
        <v>148315.81</v>
      </c>
      <c r="F142" s="7">
        <v>42777.0</v>
      </c>
      <c r="G142" s="3" t="s">
        <v>4</v>
      </c>
      <c r="H142" s="3"/>
      <c r="I142" s="3" t="s">
        <v>806</v>
      </c>
    </row>
    <row r="143" ht="15.75" customHeight="1">
      <c r="A143" s="6" t="s">
        <v>1944</v>
      </c>
      <c r="B143" s="6" t="s">
        <v>1833</v>
      </c>
      <c r="C143" s="3" t="s">
        <v>162</v>
      </c>
      <c r="D143" s="3">
        <v>500000.0</v>
      </c>
      <c r="E143" s="8">
        <v>366277.22</v>
      </c>
      <c r="F143" s="7">
        <v>45490.0</v>
      </c>
      <c r="G143" s="3" t="s">
        <v>4</v>
      </c>
      <c r="H143" s="7">
        <v>45300.0</v>
      </c>
      <c r="I143" s="3" t="s">
        <v>568</v>
      </c>
    </row>
    <row r="144" ht="15.75" customHeight="1">
      <c r="A144" s="6" t="s">
        <v>1952</v>
      </c>
      <c r="B144" s="6" t="s">
        <v>1953</v>
      </c>
      <c r="C144" s="3" t="s">
        <v>141</v>
      </c>
      <c r="D144" s="3">
        <v>300000.0</v>
      </c>
      <c r="E144" s="8">
        <v>90776.73</v>
      </c>
      <c r="F144" s="7">
        <v>43477.0</v>
      </c>
      <c r="G144" s="3" t="s">
        <v>4</v>
      </c>
      <c r="H144" s="7">
        <v>45745.0</v>
      </c>
      <c r="I144" s="3" t="s">
        <v>568</v>
      </c>
    </row>
    <row r="145" ht="15.75" customHeight="1">
      <c r="A145" s="6" t="s">
        <v>1960</v>
      </c>
      <c r="B145" s="6" t="s">
        <v>1964</v>
      </c>
      <c r="C145" s="3" t="s">
        <v>162</v>
      </c>
      <c r="D145" s="3">
        <v>500000.0</v>
      </c>
      <c r="E145" s="8">
        <v>265959.64</v>
      </c>
      <c r="F145" s="7">
        <v>43073.0</v>
      </c>
      <c r="G145" s="3" t="s">
        <v>4</v>
      </c>
      <c r="H145" s="7">
        <v>45993.0</v>
      </c>
      <c r="I145" s="3" t="s">
        <v>568</v>
      </c>
    </row>
    <row r="146" ht="15.75" customHeight="1">
      <c r="A146" s="6" t="s">
        <v>1967</v>
      </c>
      <c r="B146" s="6" t="s">
        <v>1968</v>
      </c>
      <c r="C146" s="3" t="s">
        <v>124</v>
      </c>
      <c r="D146" s="3">
        <v>150000.0</v>
      </c>
      <c r="E146" s="8">
        <v>15192.0</v>
      </c>
      <c r="F146" s="7">
        <v>42750.0</v>
      </c>
      <c r="G146" s="3" t="s">
        <v>4</v>
      </c>
      <c r="H146" s="7">
        <v>45232.0</v>
      </c>
      <c r="I146" s="3" t="s">
        <v>568</v>
      </c>
    </row>
    <row r="147" ht="15.75" customHeight="1">
      <c r="A147" s="6" t="s">
        <v>1976</v>
      </c>
      <c r="B147" s="6" t="s">
        <v>689</v>
      </c>
      <c r="C147" s="3" t="s">
        <v>124</v>
      </c>
      <c r="D147" s="3">
        <v>150000.0</v>
      </c>
      <c r="E147" s="8">
        <v>35726.56</v>
      </c>
      <c r="F147" s="7">
        <v>45064.0</v>
      </c>
      <c r="G147" s="3" t="s">
        <v>4</v>
      </c>
      <c r="H147" s="7">
        <v>46031.0</v>
      </c>
      <c r="I147" s="3" t="s">
        <v>568</v>
      </c>
    </row>
    <row r="148" ht="15.75" customHeight="1">
      <c r="A148" s="6" t="s">
        <v>1980</v>
      </c>
      <c r="B148" s="6" t="s">
        <v>1982</v>
      </c>
      <c r="C148" s="3" t="s">
        <v>141</v>
      </c>
      <c r="D148" s="3">
        <v>300000.0</v>
      </c>
      <c r="E148" s="8">
        <v>131329.82</v>
      </c>
      <c r="F148" s="7">
        <v>42781.0</v>
      </c>
      <c r="G148" s="3" t="s">
        <v>4</v>
      </c>
      <c r="H148" s="7">
        <v>45425.0</v>
      </c>
      <c r="I148" s="3" t="s">
        <v>568</v>
      </c>
    </row>
    <row r="149" ht="15.75" customHeight="1">
      <c r="A149" s="6" t="s">
        <v>1989</v>
      </c>
      <c r="B149" s="6" t="s">
        <v>1990</v>
      </c>
      <c r="C149" s="3" t="s">
        <v>162</v>
      </c>
      <c r="D149" s="3">
        <v>500000.0</v>
      </c>
      <c r="E149" s="8">
        <v>207041.04</v>
      </c>
      <c r="F149" s="7">
        <v>44712.0</v>
      </c>
      <c r="G149" s="3" t="s">
        <v>4</v>
      </c>
      <c r="H149" s="7">
        <v>46265.0</v>
      </c>
      <c r="I149" s="3" t="s">
        <v>568</v>
      </c>
    </row>
    <row r="150" ht="15.75" customHeight="1">
      <c r="A150" s="6" t="s">
        <v>1996</v>
      </c>
      <c r="B150" s="6" t="s">
        <v>1997</v>
      </c>
      <c r="C150" s="3" t="s">
        <v>99</v>
      </c>
      <c r="D150" s="3">
        <v>75000.0</v>
      </c>
      <c r="E150" s="8">
        <v>74053.79</v>
      </c>
      <c r="F150" s="7">
        <v>44131.0</v>
      </c>
      <c r="G150" s="3" t="s">
        <v>4</v>
      </c>
      <c r="H150" s="7">
        <v>46032.0</v>
      </c>
      <c r="I150" s="3" t="s">
        <v>568</v>
      </c>
    </row>
    <row r="151" ht="15.75" customHeight="1">
      <c r="A151" s="6" t="s">
        <v>2007</v>
      </c>
      <c r="B151" s="6" t="s">
        <v>2009</v>
      </c>
      <c r="C151" s="3" t="s">
        <v>162</v>
      </c>
      <c r="D151" s="3">
        <v>500000.0</v>
      </c>
      <c r="E151" s="8">
        <v>307563.5</v>
      </c>
      <c r="F151" s="7">
        <v>43502.0</v>
      </c>
      <c r="G151" s="3" t="s">
        <v>194</v>
      </c>
      <c r="H151" s="7">
        <v>45696.0</v>
      </c>
      <c r="I151" s="3" t="s">
        <v>568</v>
      </c>
    </row>
    <row r="152" ht="15.75" customHeight="1">
      <c r="A152" s="6" t="s">
        <v>2017</v>
      </c>
      <c r="B152" s="6" t="s">
        <v>2018</v>
      </c>
      <c r="C152" s="3" t="s">
        <v>162</v>
      </c>
      <c r="D152" s="3">
        <v>500000.0</v>
      </c>
      <c r="E152" s="8">
        <v>504397.66</v>
      </c>
      <c r="F152" s="7">
        <v>45702.0</v>
      </c>
      <c r="G152" s="3" t="s">
        <v>4</v>
      </c>
      <c r="H152" s="7">
        <v>45441.0</v>
      </c>
      <c r="I152" s="3" t="s">
        <v>568</v>
      </c>
    </row>
    <row r="153" ht="15.75" customHeight="1">
      <c r="A153" s="6" t="s">
        <v>2023</v>
      </c>
      <c r="B153" s="6" t="s">
        <v>2026</v>
      </c>
      <c r="C153" s="3" t="s">
        <v>162</v>
      </c>
      <c r="D153" s="3">
        <v>500000.0</v>
      </c>
      <c r="E153" s="8">
        <v>188300.19</v>
      </c>
      <c r="F153" s="7">
        <v>42123.0</v>
      </c>
      <c r="G153" s="3" t="s">
        <v>4</v>
      </c>
      <c r="H153" s="7">
        <v>45304.0</v>
      </c>
      <c r="I153" s="3" t="s">
        <v>568</v>
      </c>
    </row>
    <row r="154" ht="15.75" customHeight="1">
      <c r="A154" s="6" t="s">
        <v>2031</v>
      </c>
      <c r="B154" s="6" t="s">
        <v>2032</v>
      </c>
      <c r="C154" s="3" t="s">
        <v>162</v>
      </c>
      <c r="D154" s="3">
        <v>500000.0</v>
      </c>
      <c r="E154" s="8">
        <v>65617.46</v>
      </c>
      <c r="F154" s="7">
        <v>45982.0</v>
      </c>
      <c r="G154" s="3" t="s">
        <v>4</v>
      </c>
      <c r="H154" s="7">
        <v>45071.0</v>
      </c>
      <c r="I154" s="3" t="s">
        <v>568</v>
      </c>
    </row>
    <row r="155" ht="15.75" customHeight="1">
      <c r="A155" s="6" t="s">
        <v>2036</v>
      </c>
      <c r="B155" s="6" t="s">
        <v>2038</v>
      </c>
      <c r="C155" s="3" t="s">
        <v>124</v>
      </c>
      <c r="D155" s="3">
        <v>150000.0</v>
      </c>
      <c r="E155" s="8">
        <v>71863.9</v>
      </c>
      <c r="F155" s="7">
        <v>43178.0</v>
      </c>
      <c r="G155" s="3" t="s">
        <v>4</v>
      </c>
      <c r="H155" s="7">
        <v>45310.0</v>
      </c>
      <c r="I155" s="3" t="s">
        <v>568</v>
      </c>
    </row>
    <row r="156" ht="15.75" customHeight="1">
      <c r="A156" s="6" t="s">
        <v>2047</v>
      </c>
      <c r="B156" s="6" t="s">
        <v>1442</v>
      </c>
      <c r="C156" s="3" t="s">
        <v>99</v>
      </c>
      <c r="D156" s="3">
        <v>75000.0</v>
      </c>
      <c r="E156" s="8">
        <v>46602.04</v>
      </c>
      <c r="F156" s="7">
        <v>45590.0</v>
      </c>
      <c r="G156" s="3" t="s">
        <v>4</v>
      </c>
      <c r="H156" s="7">
        <v>45572.0</v>
      </c>
      <c r="I156" s="3" t="s">
        <v>568</v>
      </c>
    </row>
    <row r="157" ht="15.75" customHeight="1">
      <c r="A157" s="6" t="s">
        <v>2055</v>
      </c>
      <c r="B157" s="6" t="s">
        <v>2056</v>
      </c>
      <c r="C157" s="3" t="s">
        <v>162</v>
      </c>
      <c r="D157" s="3">
        <v>500000.0</v>
      </c>
      <c r="E157" s="8">
        <v>363172.48</v>
      </c>
      <c r="F157" s="7">
        <v>43381.0</v>
      </c>
      <c r="G157" s="3" t="s">
        <v>4</v>
      </c>
      <c r="H157" s="7">
        <v>44932.0</v>
      </c>
      <c r="I157" s="3" t="s">
        <v>568</v>
      </c>
    </row>
    <row r="158" ht="15.75" customHeight="1">
      <c r="A158" s="6" t="s">
        <v>2064</v>
      </c>
      <c r="B158" s="6" t="s">
        <v>2066</v>
      </c>
      <c r="C158" s="3" t="s">
        <v>77</v>
      </c>
      <c r="D158" s="3">
        <v>800000.0</v>
      </c>
      <c r="E158" s="8">
        <v>7497.79</v>
      </c>
      <c r="F158" s="7">
        <v>43823.0</v>
      </c>
      <c r="G158" s="3" t="s">
        <v>4</v>
      </c>
      <c r="H158" s="7">
        <v>45070.0</v>
      </c>
      <c r="I158" s="3" t="s">
        <v>568</v>
      </c>
    </row>
    <row r="159" ht="15.75" customHeight="1">
      <c r="A159" s="6" t="s">
        <v>2072</v>
      </c>
      <c r="B159" s="6" t="s">
        <v>2074</v>
      </c>
      <c r="C159" s="3" t="s">
        <v>77</v>
      </c>
      <c r="D159" s="3">
        <v>800000.0</v>
      </c>
      <c r="E159" s="8">
        <v>822853.1</v>
      </c>
      <c r="F159" s="7">
        <v>44570.0</v>
      </c>
      <c r="G159" s="3" t="s">
        <v>4</v>
      </c>
      <c r="H159" s="7">
        <v>46339.0</v>
      </c>
      <c r="I159" s="3" t="s">
        <v>568</v>
      </c>
    </row>
    <row r="160" ht="15.75" customHeight="1">
      <c r="A160" s="6" t="s">
        <v>2085</v>
      </c>
      <c r="B160" s="6" t="s">
        <v>2087</v>
      </c>
      <c r="C160" s="3" t="s">
        <v>77</v>
      </c>
      <c r="D160" s="3">
        <v>800000.0</v>
      </c>
      <c r="E160" s="8">
        <v>801881.92</v>
      </c>
      <c r="F160" s="7">
        <v>45361.0</v>
      </c>
      <c r="G160" s="3" t="s">
        <v>4</v>
      </c>
      <c r="H160" s="7">
        <v>45421.0</v>
      </c>
      <c r="I160" s="3" t="s">
        <v>568</v>
      </c>
    </row>
    <row r="161" ht="15.75" customHeight="1">
      <c r="A161" s="6" t="s">
        <v>2092</v>
      </c>
      <c r="B161" s="6" t="s">
        <v>2093</v>
      </c>
      <c r="C161" s="3" t="s">
        <v>162</v>
      </c>
      <c r="D161" s="3">
        <v>500000.0</v>
      </c>
      <c r="E161" s="8">
        <v>43066.19</v>
      </c>
      <c r="F161" s="7">
        <v>42392.0</v>
      </c>
      <c r="G161" s="3" t="s">
        <v>194</v>
      </c>
      <c r="H161" s="7">
        <v>46147.0</v>
      </c>
      <c r="I161" s="3" t="s">
        <v>568</v>
      </c>
    </row>
    <row r="162" ht="15.75" customHeight="1">
      <c r="A162" s="6" t="s">
        <v>2098</v>
      </c>
      <c r="B162" s="6" t="s">
        <v>2099</v>
      </c>
      <c r="C162" s="3" t="s">
        <v>141</v>
      </c>
      <c r="D162" s="3">
        <v>300000.0</v>
      </c>
      <c r="E162" s="8">
        <v>144043.38</v>
      </c>
      <c r="F162" s="7">
        <v>44230.0</v>
      </c>
      <c r="G162" s="3" t="s">
        <v>4</v>
      </c>
      <c r="H162" s="7">
        <v>45157.0</v>
      </c>
      <c r="I162" s="3" t="s">
        <v>568</v>
      </c>
    </row>
    <row r="163" ht="15.75" customHeight="1">
      <c r="A163" s="6" t="s">
        <v>2109</v>
      </c>
      <c r="B163" s="6" t="s">
        <v>2110</v>
      </c>
      <c r="C163" s="3" t="s">
        <v>141</v>
      </c>
      <c r="D163" s="3">
        <v>300000.0</v>
      </c>
      <c r="E163" s="8">
        <v>212333.32</v>
      </c>
      <c r="F163" s="7">
        <v>45390.0</v>
      </c>
      <c r="G163" s="3" t="s">
        <v>4</v>
      </c>
      <c r="H163" s="7">
        <v>46308.0</v>
      </c>
      <c r="I163" s="3" t="s">
        <v>568</v>
      </c>
    </row>
    <row r="164" ht="15.75" customHeight="1">
      <c r="A164" s="6" t="s">
        <v>2122</v>
      </c>
      <c r="B164" s="6" t="s">
        <v>2124</v>
      </c>
      <c r="C164" s="3" t="s">
        <v>77</v>
      </c>
      <c r="D164" s="3">
        <v>800000.0</v>
      </c>
      <c r="E164" s="8">
        <v>30949.7</v>
      </c>
      <c r="F164" s="7">
        <v>45127.0</v>
      </c>
      <c r="G164" s="3" t="s">
        <v>4</v>
      </c>
      <c r="H164" s="3"/>
      <c r="I164" s="3" t="s">
        <v>806</v>
      </c>
    </row>
    <row r="165" ht="15.75" customHeight="1">
      <c r="A165" s="6" t="s">
        <v>2129</v>
      </c>
      <c r="B165" s="6" t="s">
        <v>2131</v>
      </c>
      <c r="C165" s="3" t="s">
        <v>77</v>
      </c>
      <c r="D165" s="3">
        <v>800000.0</v>
      </c>
      <c r="E165" s="8">
        <v>243101.67</v>
      </c>
      <c r="F165" s="7">
        <v>43779.0</v>
      </c>
      <c r="G165" s="3" t="s">
        <v>4</v>
      </c>
      <c r="H165" s="7">
        <v>45106.0</v>
      </c>
      <c r="I165" s="3" t="s">
        <v>568</v>
      </c>
    </row>
    <row r="166" ht="15.75" customHeight="1">
      <c r="A166" s="6" t="s">
        <v>2142</v>
      </c>
      <c r="B166" s="6" t="s">
        <v>1217</v>
      </c>
      <c r="C166" s="3" t="s">
        <v>141</v>
      </c>
      <c r="D166" s="3">
        <v>300000.0</v>
      </c>
      <c r="E166" s="8">
        <v>22883.73</v>
      </c>
      <c r="F166" s="7">
        <v>45772.0</v>
      </c>
      <c r="G166" s="3" t="s">
        <v>4</v>
      </c>
      <c r="H166" s="3"/>
      <c r="I166" s="3" t="s">
        <v>806</v>
      </c>
    </row>
    <row r="167" ht="15.75" customHeight="1">
      <c r="A167" s="6" t="s">
        <v>2148</v>
      </c>
      <c r="B167" s="6" t="s">
        <v>607</v>
      </c>
      <c r="C167" s="3" t="s">
        <v>77</v>
      </c>
      <c r="D167" s="3">
        <v>800000.0</v>
      </c>
      <c r="E167" s="8">
        <v>486044.39</v>
      </c>
      <c r="F167" s="7">
        <v>44712.0</v>
      </c>
      <c r="G167" s="3" t="s">
        <v>4</v>
      </c>
      <c r="H167" s="7">
        <v>45336.0</v>
      </c>
      <c r="I167" s="3" t="s">
        <v>568</v>
      </c>
    </row>
    <row r="168" ht="15.75" customHeight="1">
      <c r="A168" s="6" t="s">
        <v>2156</v>
      </c>
      <c r="B168" s="6" t="s">
        <v>893</v>
      </c>
      <c r="C168" s="3" t="s">
        <v>124</v>
      </c>
      <c r="D168" s="3">
        <v>150000.0</v>
      </c>
      <c r="E168" s="8">
        <v>81694.65</v>
      </c>
      <c r="F168" s="7">
        <v>44714.0</v>
      </c>
      <c r="G168" s="3" t="s">
        <v>194</v>
      </c>
      <c r="H168" s="7">
        <v>46157.0</v>
      </c>
      <c r="I168" s="3" t="s">
        <v>568</v>
      </c>
    </row>
    <row r="169" ht="15.75" customHeight="1">
      <c r="A169" s="6" t="s">
        <v>2165</v>
      </c>
      <c r="B169" s="6" t="s">
        <v>2167</v>
      </c>
      <c r="C169" s="3" t="s">
        <v>99</v>
      </c>
      <c r="D169" s="3">
        <v>75000.0</v>
      </c>
      <c r="E169" s="8">
        <v>61793.38</v>
      </c>
      <c r="F169" s="7">
        <v>42875.0</v>
      </c>
      <c r="G169" s="3" t="s">
        <v>194</v>
      </c>
      <c r="H169" s="7">
        <v>45013.0</v>
      </c>
      <c r="I169" s="3" t="s">
        <v>568</v>
      </c>
    </row>
    <row r="170" ht="15.75" customHeight="1">
      <c r="A170" s="6" t="s">
        <v>2178</v>
      </c>
      <c r="B170" s="6" t="s">
        <v>1786</v>
      </c>
      <c r="C170" s="3" t="s">
        <v>162</v>
      </c>
      <c r="D170" s="3">
        <v>500000.0</v>
      </c>
      <c r="E170" s="8">
        <v>257266.51</v>
      </c>
      <c r="F170" s="7">
        <v>44980.0</v>
      </c>
      <c r="G170" s="3" t="s">
        <v>4</v>
      </c>
      <c r="H170" s="7">
        <v>45633.0</v>
      </c>
      <c r="I170" s="3" t="s">
        <v>568</v>
      </c>
    </row>
    <row r="171" ht="15.75" customHeight="1">
      <c r="A171" s="6" t="s">
        <v>2184</v>
      </c>
      <c r="B171" s="6" t="s">
        <v>2185</v>
      </c>
      <c r="C171" s="3" t="s">
        <v>77</v>
      </c>
      <c r="D171" s="3">
        <v>800000.0</v>
      </c>
      <c r="E171" s="8">
        <v>362120.66</v>
      </c>
      <c r="F171" s="7">
        <v>45351.0</v>
      </c>
      <c r="G171" s="3" t="s">
        <v>4</v>
      </c>
      <c r="H171" s="7">
        <v>44978.0</v>
      </c>
      <c r="I171" s="3" t="s">
        <v>568</v>
      </c>
    </row>
    <row r="172" ht="15.75" customHeight="1">
      <c r="A172" s="6" t="s">
        <v>2192</v>
      </c>
      <c r="B172" s="6" t="s">
        <v>2193</v>
      </c>
      <c r="C172" s="3" t="s">
        <v>77</v>
      </c>
      <c r="D172" s="3">
        <v>800000.0</v>
      </c>
      <c r="E172" s="8">
        <v>728449.64</v>
      </c>
      <c r="F172" s="7">
        <v>43975.0</v>
      </c>
      <c r="G172" s="3" t="s">
        <v>5</v>
      </c>
      <c r="H172" s="7">
        <v>46146.0</v>
      </c>
      <c r="I172" s="3" t="s">
        <v>568</v>
      </c>
    </row>
    <row r="173" ht="15.75" customHeight="1">
      <c r="A173" s="6" t="s">
        <v>2194</v>
      </c>
      <c r="B173" s="6" t="s">
        <v>2195</v>
      </c>
      <c r="C173" s="3" t="s">
        <v>141</v>
      </c>
      <c r="D173" s="3">
        <v>300000.0</v>
      </c>
      <c r="E173" s="8">
        <v>72991.4</v>
      </c>
      <c r="F173" s="7">
        <v>44239.0</v>
      </c>
      <c r="G173" s="3" t="s">
        <v>4</v>
      </c>
      <c r="H173" s="7">
        <v>44928.0</v>
      </c>
      <c r="I173" s="3" t="s">
        <v>568</v>
      </c>
    </row>
    <row r="174" ht="15.75" customHeight="1">
      <c r="A174" s="6" t="s">
        <v>2202</v>
      </c>
      <c r="B174" s="6" t="s">
        <v>238</v>
      </c>
      <c r="C174" s="3" t="s">
        <v>124</v>
      </c>
      <c r="D174" s="3">
        <v>150000.0</v>
      </c>
      <c r="E174" s="8">
        <v>2190.33</v>
      </c>
      <c r="F174" s="7">
        <v>42791.0</v>
      </c>
      <c r="G174" s="3" t="s">
        <v>5</v>
      </c>
      <c r="H174" s="7">
        <v>45002.0</v>
      </c>
      <c r="I174" s="3" t="s">
        <v>568</v>
      </c>
    </row>
    <row r="175" ht="15.75" customHeight="1">
      <c r="A175" s="6" t="s">
        <v>2208</v>
      </c>
      <c r="B175" s="6" t="s">
        <v>2211</v>
      </c>
      <c r="C175" s="3" t="s">
        <v>141</v>
      </c>
      <c r="D175" s="3">
        <v>300000.0</v>
      </c>
      <c r="E175" s="8">
        <v>135267.68</v>
      </c>
      <c r="F175" s="7">
        <v>44011.0</v>
      </c>
      <c r="G175" s="3" t="s">
        <v>194</v>
      </c>
      <c r="H175" s="7">
        <v>45096.0</v>
      </c>
      <c r="I175" s="3" t="s">
        <v>568</v>
      </c>
    </row>
    <row r="176" ht="15.75" customHeight="1">
      <c r="A176" s="6" t="s">
        <v>2221</v>
      </c>
      <c r="B176" s="6" t="s">
        <v>2223</v>
      </c>
      <c r="C176" s="3" t="s">
        <v>77</v>
      </c>
      <c r="D176" s="3">
        <v>800000.0</v>
      </c>
      <c r="E176" s="8">
        <v>433624.37</v>
      </c>
      <c r="F176" s="7">
        <v>42758.0</v>
      </c>
      <c r="G176" s="3" t="s">
        <v>194</v>
      </c>
      <c r="H176" s="3"/>
      <c r="I176" s="3" t="s">
        <v>806</v>
      </c>
    </row>
    <row r="177" ht="15.75" customHeight="1">
      <c r="A177" s="6" t="s">
        <v>2230</v>
      </c>
      <c r="B177" s="6" t="s">
        <v>2232</v>
      </c>
      <c r="C177" s="3" t="s">
        <v>124</v>
      </c>
      <c r="D177" s="3">
        <v>150000.0</v>
      </c>
      <c r="E177" s="8">
        <v>116757.32</v>
      </c>
      <c r="F177" s="7">
        <v>44962.0</v>
      </c>
      <c r="G177" s="3" t="s">
        <v>4</v>
      </c>
      <c r="H177" s="7">
        <v>45411.0</v>
      </c>
      <c r="I177" s="3" t="s">
        <v>568</v>
      </c>
    </row>
    <row r="178" ht="15.75" customHeight="1">
      <c r="A178" s="6" t="s">
        <v>2241</v>
      </c>
      <c r="B178" s="6" t="s">
        <v>2044</v>
      </c>
      <c r="C178" s="3" t="s">
        <v>99</v>
      </c>
      <c r="D178" s="3">
        <v>75000.0</v>
      </c>
      <c r="E178" s="8">
        <v>24074.74</v>
      </c>
      <c r="F178" s="7">
        <v>43101.0</v>
      </c>
      <c r="G178" s="3" t="s">
        <v>4</v>
      </c>
      <c r="H178" s="7">
        <v>46247.0</v>
      </c>
      <c r="I178" s="3" t="s">
        <v>568</v>
      </c>
    </row>
    <row r="179" ht="15.75" customHeight="1">
      <c r="A179" s="6" t="s">
        <v>2250</v>
      </c>
      <c r="B179" s="6" t="s">
        <v>2252</v>
      </c>
      <c r="C179" s="3" t="s">
        <v>162</v>
      </c>
      <c r="D179" s="3">
        <v>500000.0</v>
      </c>
      <c r="E179" s="8">
        <v>407820.27</v>
      </c>
      <c r="F179" s="7">
        <v>43017.0</v>
      </c>
      <c r="G179" s="3" t="s">
        <v>5</v>
      </c>
      <c r="H179" s="7">
        <v>44963.0</v>
      </c>
      <c r="I179" s="3" t="s">
        <v>568</v>
      </c>
    </row>
    <row r="180" ht="15.75" customHeight="1">
      <c r="A180" s="6" t="s">
        <v>2260</v>
      </c>
      <c r="B180" s="6" t="s">
        <v>2262</v>
      </c>
      <c r="C180" s="3" t="s">
        <v>99</v>
      </c>
      <c r="D180" s="3">
        <v>75000.0</v>
      </c>
      <c r="E180" s="8">
        <v>44969.22</v>
      </c>
      <c r="F180" s="7">
        <v>43363.0</v>
      </c>
      <c r="G180" s="3" t="s">
        <v>4</v>
      </c>
      <c r="H180" s="7">
        <v>45488.0</v>
      </c>
      <c r="I180" s="3" t="s">
        <v>568</v>
      </c>
    </row>
    <row r="181" ht="15.75" customHeight="1">
      <c r="A181" s="6" t="s">
        <v>2269</v>
      </c>
      <c r="B181" s="6" t="s">
        <v>2272</v>
      </c>
      <c r="C181" s="3" t="s">
        <v>124</v>
      </c>
      <c r="D181" s="3">
        <v>150000.0</v>
      </c>
      <c r="E181" s="8">
        <v>76971.59</v>
      </c>
      <c r="F181" s="7">
        <v>43247.0</v>
      </c>
      <c r="G181" s="3" t="s">
        <v>4</v>
      </c>
      <c r="H181" s="7">
        <v>45276.0</v>
      </c>
      <c r="I181" s="3" t="s">
        <v>568</v>
      </c>
    </row>
    <row r="182" ht="15.75" customHeight="1">
      <c r="A182" s="6" t="s">
        <v>2283</v>
      </c>
      <c r="B182" s="6" t="s">
        <v>2284</v>
      </c>
      <c r="C182" s="3" t="s">
        <v>99</v>
      </c>
      <c r="D182" s="3">
        <v>75000.0</v>
      </c>
      <c r="E182" s="8">
        <v>6543.33</v>
      </c>
      <c r="F182" s="7">
        <v>43019.0</v>
      </c>
      <c r="G182" s="3" t="s">
        <v>4</v>
      </c>
      <c r="H182" s="7">
        <v>46180.0</v>
      </c>
      <c r="I182" s="3" t="s">
        <v>568</v>
      </c>
    </row>
    <row r="183" ht="15.75" customHeight="1">
      <c r="A183" s="6" t="s">
        <v>2291</v>
      </c>
      <c r="B183" s="6" t="s">
        <v>2293</v>
      </c>
      <c r="C183" s="3" t="s">
        <v>162</v>
      </c>
      <c r="D183" s="3">
        <v>500000.0</v>
      </c>
      <c r="E183" s="8">
        <v>438332.81</v>
      </c>
      <c r="F183" s="7">
        <v>42846.0</v>
      </c>
      <c r="G183" s="3" t="s">
        <v>4</v>
      </c>
      <c r="H183" s="7">
        <v>46338.0</v>
      </c>
      <c r="I183" s="3" t="s">
        <v>568</v>
      </c>
    </row>
    <row r="184" ht="15.75" customHeight="1">
      <c r="A184" s="6" t="s">
        <v>2298</v>
      </c>
      <c r="B184" s="6" t="s">
        <v>731</v>
      </c>
      <c r="C184" s="3" t="s">
        <v>77</v>
      </c>
      <c r="D184" s="3">
        <v>800000.0</v>
      </c>
      <c r="E184" s="8">
        <v>168709.19</v>
      </c>
      <c r="F184" s="7">
        <v>43904.0</v>
      </c>
      <c r="G184" s="3" t="s">
        <v>4</v>
      </c>
      <c r="H184" s="7">
        <v>45860.0</v>
      </c>
      <c r="I184" s="3" t="s">
        <v>568</v>
      </c>
    </row>
    <row r="185" ht="15.75" customHeight="1">
      <c r="A185" s="6" t="s">
        <v>2305</v>
      </c>
      <c r="B185" s="6" t="s">
        <v>166</v>
      </c>
      <c r="C185" s="3" t="s">
        <v>162</v>
      </c>
      <c r="D185" s="3">
        <v>500000.0</v>
      </c>
      <c r="E185" s="8">
        <v>164487.56</v>
      </c>
      <c r="F185" s="7">
        <v>45982.0</v>
      </c>
      <c r="G185" s="3" t="s">
        <v>4</v>
      </c>
      <c r="H185" s="7">
        <v>45344.0</v>
      </c>
      <c r="I185" s="3" t="s">
        <v>568</v>
      </c>
    </row>
    <row r="186" ht="15.75" customHeight="1">
      <c r="A186" s="6" t="s">
        <v>2313</v>
      </c>
      <c r="B186" s="6" t="s">
        <v>2315</v>
      </c>
      <c r="C186" s="3" t="s">
        <v>162</v>
      </c>
      <c r="D186" s="3">
        <v>500000.0</v>
      </c>
      <c r="E186" s="8">
        <v>35850.51</v>
      </c>
      <c r="F186" s="7">
        <v>43184.0</v>
      </c>
      <c r="G186" s="3" t="s">
        <v>4</v>
      </c>
      <c r="H186" s="7">
        <v>45137.0</v>
      </c>
      <c r="I186" s="3" t="s">
        <v>568</v>
      </c>
    </row>
    <row r="187" ht="15.75" customHeight="1">
      <c r="A187" s="6" t="s">
        <v>2322</v>
      </c>
      <c r="B187" s="6" t="s">
        <v>2323</v>
      </c>
      <c r="C187" s="3" t="s">
        <v>77</v>
      </c>
      <c r="D187" s="3">
        <v>800000.0</v>
      </c>
      <c r="E187" s="8">
        <v>743174.39</v>
      </c>
      <c r="F187" s="7">
        <v>45294.0</v>
      </c>
      <c r="G187" s="3" t="s">
        <v>4</v>
      </c>
      <c r="H187" s="7">
        <v>45630.0</v>
      </c>
      <c r="I187" s="3" t="s">
        <v>568</v>
      </c>
    </row>
    <row r="188" ht="15.75" customHeight="1">
      <c r="A188" s="6" t="s">
        <v>2334</v>
      </c>
      <c r="B188" s="6" t="s">
        <v>2335</v>
      </c>
      <c r="C188" s="3" t="s">
        <v>124</v>
      </c>
      <c r="D188" s="3">
        <v>150000.0</v>
      </c>
      <c r="E188" s="8">
        <v>100094.83</v>
      </c>
      <c r="F188" s="7">
        <v>43907.0</v>
      </c>
      <c r="G188" s="3" t="s">
        <v>194</v>
      </c>
      <c r="H188" s="7">
        <v>46061.0</v>
      </c>
      <c r="I188" s="3" t="s">
        <v>568</v>
      </c>
    </row>
    <row r="189" ht="15.75" customHeight="1">
      <c r="A189" s="6" t="s">
        <v>2341</v>
      </c>
      <c r="B189" s="6" t="s">
        <v>2342</v>
      </c>
      <c r="C189" s="3" t="s">
        <v>141</v>
      </c>
      <c r="D189" s="3">
        <v>300000.0</v>
      </c>
      <c r="E189" s="8">
        <v>239316.62</v>
      </c>
      <c r="F189" s="7">
        <v>45430.0</v>
      </c>
      <c r="G189" s="3" t="s">
        <v>4</v>
      </c>
      <c r="H189" s="7">
        <v>46253.0</v>
      </c>
      <c r="I189" s="3" t="s">
        <v>568</v>
      </c>
    </row>
    <row r="190" ht="15.75" customHeight="1">
      <c r="A190" s="6" t="s">
        <v>2353</v>
      </c>
      <c r="B190" s="6" t="s">
        <v>2354</v>
      </c>
      <c r="C190" s="3" t="s">
        <v>124</v>
      </c>
      <c r="D190" s="3">
        <v>150000.0</v>
      </c>
      <c r="E190" s="8">
        <v>104083.25</v>
      </c>
      <c r="F190" s="7">
        <v>45644.0</v>
      </c>
      <c r="G190" s="3" t="s">
        <v>4</v>
      </c>
      <c r="H190" s="3"/>
      <c r="I190" s="3" t="s">
        <v>806</v>
      </c>
    </row>
    <row r="191" ht="15.75" customHeight="1">
      <c r="A191" s="6" t="s">
        <v>2365</v>
      </c>
      <c r="B191" s="6" t="s">
        <v>2180</v>
      </c>
      <c r="C191" s="3" t="s">
        <v>77</v>
      </c>
      <c r="D191" s="3">
        <v>800000.0</v>
      </c>
      <c r="E191" s="8">
        <v>141051.98</v>
      </c>
      <c r="F191" s="7">
        <v>44505.0</v>
      </c>
      <c r="G191" s="3" t="s">
        <v>5</v>
      </c>
      <c r="H191" s="7">
        <v>46099.0</v>
      </c>
      <c r="I191" s="3" t="s">
        <v>568</v>
      </c>
    </row>
    <row r="192" ht="15.75" customHeight="1">
      <c r="A192" s="6" t="s">
        <v>2372</v>
      </c>
      <c r="B192" s="6" t="s">
        <v>2374</v>
      </c>
      <c r="C192" s="3" t="s">
        <v>162</v>
      </c>
      <c r="D192" s="3">
        <v>500000.0</v>
      </c>
      <c r="E192" s="8">
        <v>280203.26</v>
      </c>
      <c r="F192" s="7">
        <v>43322.0</v>
      </c>
      <c r="G192" s="3" t="s">
        <v>5</v>
      </c>
      <c r="H192" s="7">
        <v>44979.0</v>
      </c>
      <c r="I192" s="3" t="s">
        <v>568</v>
      </c>
    </row>
    <row r="193" ht="15.75" customHeight="1">
      <c r="A193" s="6" t="s">
        <v>2380</v>
      </c>
      <c r="B193" s="6" t="s">
        <v>732</v>
      </c>
      <c r="C193" s="3" t="s">
        <v>99</v>
      </c>
      <c r="D193" s="3">
        <v>75000.0</v>
      </c>
      <c r="E193" s="8">
        <v>31659.3</v>
      </c>
      <c r="F193" s="7">
        <v>45833.0</v>
      </c>
      <c r="G193" s="3" t="s">
        <v>4</v>
      </c>
      <c r="H193" s="7">
        <v>45094.0</v>
      </c>
      <c r="I193" s="3" t="s">
        <v>568</v>
      </c>
    </row>
    <row r="194" ht="15.75" customHeight="1">
      <c r="A194" s="6" t="s">
        <v>2391</v>
      </c>
      <c r="B194" s="6" t="s">
        <v>2393</v>
      </c>
      <c r="C194" s="3" t="s">
        <v>99</v>
      </c>
      <c r="D194" s="3">
        <v>75000.0</v>
      </c>
      <c r="E194" s="8">
        <v>18730.64</v>
      </c>
      <c r="F194" s="7">
        <v>44268.0</v>
      </c>
      <c r="G194" s="3" t="s">
        <v>4</v>
      </c>
      <c r="H194" s="7">
        <v>46040.0</v>
      </c>
      <c r="I194" s="3" t="s">
        <v>568</v>
      </c>
    </row>
    <row r="195" ht="15.75" customHeight="1">
      <c r="A195" s="6" t="s">
        <v>2398</v>
      </c>
      <c r="B195" s="6" t="s">
        <v>2402</v>
      </c>
      <c r="C195" s="3" t="s">
        <v>99</v>
      </c>
      <c r="D195" s="3">
        <v>75000.0</v>
      </c>
      <c r="E195" s="8">
        <v>32760.04</v>
      </c>
      <c r="F195" s="7">
        <v>43461.0</v>
      </c>
      <c r="G195" s="3" t="s">
        <v>4</v>
      </c>
      <c r="H195" s="7">
        <v>45917.0</v>
      </c>
      <c r="I195" s="3" t="s">
        <v>568</v>
      </c>
    </row>
    <row r="196" ht="15.75" customHeight="1">
      <c r="A196" s="6" t="s">
        <v>2406</v>
      </c>
      <c r="B196" s="6" t="s">
        <v>2407</v>
      </c>
      <c r="C196" s="3" t="s">
        <v>124</v>
      </c>
      <c r="D196" s="3">
        <v>150000.0</v>
      </c>
      <c r="E196" s="8">
        <v>100727.95</v>
      </c>
      <c r="F196" s="7">
        <v>43792.0</v>
      </c>
      <c r="G196" s="3" t="s">
        <v>4</v>
      </c>
      <c r="H196" s="3"/>
      <c r="I196" s="3" t="s">
        <v>806</v>
      </c>
    </row>
    <row r="197" ht="15.75" customHeight="1">
      <c r="A197" s="6" t="s">
        <v>2413</v>
      </c>
      <c r="B197" s="6" t="s">
        <v>1713</v>
      </c>
      <c r="C197" s="3" t="s">
        <v>141</v>
      </c>
      <c r="D197" s="3">
        <v>300000.0</v>
      </c>
      <c r="E197" s="8">
        <v>231019.36</v>
      </c>
      <c r="F197" s="7">
        <v>44216.0</v>
      </c>
      <c r="G197" s="3" t="s">
        <v>194</v>
      </c>
      <c r="H197" s="7">
        <v>45797.0</v>
      </c>
      <c r="I197" s="3" t="s">
        <v>568</v>
      </c>
    </row>
    <row r="198" ht="15.75" customHeight="1">
      <c r="A198" s="6" t="s">
        <v>2424</v>
      </c>
      <c r="B198" s="6" t="s">
        <v>2426</v>
      </c>
      <c r="C198" s="3" t="s">
        <v>77</v>
      </c>
      <c r="D198" s="3">
        <v>800000.0</v>
      </c>
      <c r="E198" s="8">
        <v>506196.09</v>
      </c>
      <c r="F198" s="7">
        <v>44174.0</v>
      </c>
      <c r="G198" s="3" t="s">
        <v>4</v>
      </c>
      <c r="H198" s="7">
        <v>45426.0</v>
      </c>
      <c r="I198" s="3" t="s">
        <v>568</v>
      </c>
    </row>
    <row r="199" ht="15.75" customHeight="1">
      <c r="A199" s="6" t="s">
        <v>2431</v>
      </c>
      <c r="B199" s="6" t="s">
        <v>671</v>
      </c>
      <c r="C199" s="3" t="s">
        <v>77</v>
      </c>
      <c r="D199" s="3">
        <v>800000.0</v>
      </c>
      <c r="E199" s="8">
        <v>589542.34</v>
      </c>
      <c r="F199" s="7">
        <v>44476.0</v>
      </c>
      <c r="G199" s="3" t="s">
        <v>4</v>
      </c>
      <c r="H199" s="7">
        <v>45949.0</v>
      </c>
      <c r="I199" s="3" t="s">
        <v>568</v>
      </c>
    </row>
    <row r="200" ht="15.75" customHeight="1">
      <c r="A200" s="6" t="s">
        <v>2440</v>
      </c>
      <c r="B200" s="6" t="s">
        <v>2441</v>
      </c>
      <c r="C200" s="3" t="s">
        <v>162</v>
      </c>
      <c r="D200" s="3">
        <v>500000.0</v>
      </c>
      <c r="E200" s="8">
        <v>88665.65</v>
      </c>
      <c r="F200" s="7">
        <v>44366.0</v>
      </c>
      <c r="G200" s="3" t="s">
        <v>194</v>
      </c>
      <c r="H200" s="7">
        <v>45332.0</v>
      </c>
      <c r="I200" s="3" t="s">
        <v>568</v>
      </c>
    </row>
    <row r="201" ht="15.75" customHeight="1">
      <c r="A201" s="6" t="s">
        <v>2450</v>
      </c>
      <c r="B201" s="6" t="s">
        <v>1928</v>
      </c>
      <c r="C201" s="3" t="s">
        <v>77</v>
      </c>
      <c r="D201" s="3">
        <v>800000.0</v>
      </c>
      <c r="E201" s="8">
        <v>743706.21</v>
      </c>
      <c r="F201" s="7">
        <v>42644.0</v>
      </c>
      <c r="G201" s="3" t="s">
        <v>4</v>
      </c>
      <c r="H201" s="7">
        <v>44990.0</v>
      </c>
      <c r="I201" s="3" t="s">
        <v>568</v>
      </c>
    </row>
    <row r="202" ht="15.75" customHeight="1">
      <c r="A202" s="6" t="s">
        <v>2457</v>
      </c>
      <c r="B202" s="6" t="s">
        <v>470</v>
      </c>
      <c r="C202" s="3" t="s">
        <v>162</v>
      </c>
      <c r="D202" s="3">
        <v>500000.0</v>
      </c>
      <c r="E202" s="8">
        <v>96643.27</v>
      </c>
      <c r="F202" s="7">
        <v>43358.0</v>
      </c>
      <c r="G202" s="3" t="s">
        <v>4</v>
      </c>
      <c r="H202" s="7">
        <v>44992.0</v>
      </c>
      <c r="I202" s="3" t="s">
        <v>568</v>
      </c>
    </row>
    <row r="203" ht="15.75" customHeight="1">
      <c r="A203" s="6" t="s">
        <v>2467</v>
      </c>
      <c r="B203" s="6" t="s">
        <v>2469</v>
      </c>
      <c r="C203" s="3" t="s">
        <v>77</v>
      </c>
      <c r="D203" s="3">
        <v>800000.0</v>
      </c>
      <c r="E203" s="8">
        <v>174495.29</v>
      </c>
      <c r="F203" s="7">
        <v>45594.0</v>
      </c>
      <c r="G203" s="3" t="s">
        <v>4</v>
      </c>
      <c r="H203" s="7">
        <v>45047.0</v>
      </c>
      <c r="I203" s="3" t="s">
        <v>568</v>
      </c>
    </row>
    <row r="204" ht="15.75" customHeight="1">
      <c r="A204" s="6" t="s">
        <v>2475</v>
      </c>
      <c r="B204" s="6" t="s">
        <v>2477</v>
      </c>
      <c r="C204" s="3" t="s">
        <v>99</v>
      </c>
      <c r="D204" s="3">
        <v>75000.0</v>
      </c>
      <c r="E204" s="8">
        <v>4143.17</v>
      </c>
      <c r="F204" s="7">
        <v>45849.0</v>
      </c>
      <c r="G204" s="3" t="s">
        <v>4</v>
      </c>
      <c r="H204" s="7">
        <v>45674.0</v>
      </c>
      <c r="I204" s="3" t="s">
        <v>568</v>
      </c>
    </row>
    <row r="205" ht="15.75" customHeight="1">
      <c r="A205" s="6" t="s">
        <v>2489</v>
      </c>
      <c r="B205" s="6" t="s">
        <v>2491</v>
      </c>
      <c r="C205" s="3" t="s">
        <v>99</v>
      </c>
      <c r="D205" s="3">
        <v>75000.0</v>
      </c>
      <c r="E205" s="8">
        <v>59033.31</v>
      </c>
      <c r="F205" s="7">
        <v>44171.0</v>
      </c>
      <c r="G205" s="3" t="s">
        <v>4</v>
      </c>
      <c r="H205" s="3"/>
      <c r="I205" s="3" t="s">
        <v>806</v>
      </c>
    </row>
    <row r="206" ht="15.75" customHeight="1">
      <c r="A206" s="6" t="s">
        <v>2498</v>
      </c>
      <c r="B206" s="6" t="s">
        <v>1947</v>
      </c>
      <c r="C206" s="3" t="s">
        <v>99</v>
      </c>
      <c r="D206" s="3">
        <v>75000.0</v>
      </c>
      <c r="E206" s="8">
        <v>51381.46</v>
      </c>
      <c r="F206" s="7">
        <v>44419.0</v>
      </c>
      <c r="G206" s="3" t="s">
        <v>5</v>
      </c>
      <c r="H206" s="7">
        <v>45222.0</v>
      </c>
      <c r="I206" s="3" t="s">
        <v>568</v>
      </c>
    </row>
    <row r="207" ht="15.75" customHeight="1">
      <c r="A207" s="6" t="s">
        <v>2506</v>
      </c>
      <c r="B207" s="6" t="s">
        <v>2508</v>
      </c>
      <c r="C207" s="3" t="s">
        <v>124</v>
      </c>
      <c r="D207" s="3">
        <v>150000.0</v>
      </c>
      <c r="E207" s="8">
        <v>55956.69</v>
      </c>
      <c r="F207" s="7">
        <v>45608.0</v>
      </c>
      <c r="G207" s="3" t="s">
        <v>4</v>
      </c>
      <c r="H207" s="7">
        <v>45454.0</v>
      </c>
      <c r="I207" s="3" t="s">
        <v>568</v>
      </c>
    </row>
    <row r="208" ht="15.75" customHeight="1">
      <c r="A208" s="6" t="s">
        <v>2515</v>
      </c>
      <c r="B208" s="6" t="s">
        <v>2517</v>
      </c>
      <c r="C208" s="3" t="s">
        <v>124</v>
      </c>
      <c r="D208" s="3">
        <v>150000.0</v>
      </c>
      <c r="E208" s="8">
        <v>108090.89</v>
      </c>
      <c r="F208" s="7">
        <v>44646.0</v>
      </c>
      <c r="G208" s="3" t="s">
        <v>4</v>
      </c>
      <c r="H208" s="7">
        <v>46313.0</v>
      </c>
      <c r="I208" s="3" t="s">
        <v>568</v>
      </c>
    </row>
    <row r="209" ht="15.75" customHeight="1">
      <c r="A209" s="6" t="s">
        <v>2526</v>
      </c>
      <c r="B209" s="6" t="s">
        <v>2528</v>
      </c>
      <c r="C209" s="3" t="s">
        <v>124</v>
      </c>
      <c r="D209" s="3">
        <v>150000.0</v>
      </c>
      <c r="E209" s="8">
        <v>125265.83</v>
      </c>
      <c r="F209" s="7">
        <v>44115.0</v>
      </c>
      <c r="G209" s="3" t="s">
        <v>4</v>
      </c>
      <c r="H209" s="7">
        <v>44960.0</v>
      </c>
      <c r="I209" s="3" t="s">
        <v>568</v>
      </c>
    </row>
    <row r="210" ht="15.75" customHeight="1">
      <c r="A210" s="6" t="s">
        <v>2533</v>
      </c>
      <c r="B210" s="6" t="s">
        <v>1037</v>
      </c>
      <c r="C210" s="3" t="s">
        <v>162</v>
      </c>
      <c r="D210" s="3">
        <v>500000.0</v>
      </c>
      <c r="E210" s="8">
        <v>330214.19</v>
      </c>
      <c r="F210" s="7">
        <v>42577.0</v>
      </c>
      <c r="G210" s="3" t="s">
        <v>4</v>
      </c>
      <c r="H210" s="7">
        <v>46114.0</v>
      </c>
      <c r="I210" s="3" t="s">
        <v>568</v>
      </c>
    </row>
    <row r="211" ht="15.75" customHeight="1">
      <c r="A211" s="6" t="s">
        <v>2544</v>
      </c>
      <c r="B211" s="6" t="s">
        <v>1087</v>
      </c>
      <c r="C211" s="3" t="s">
        <v>141</v>
      </c>
      <c r="D211" s="3">
        <v>300000.0</v>
      </c>
      <c r="E211" s="8">
        <v>258992.87</v>
      </c>
      <c r="F211" s="7">
        <v>43985.0</v>
      </c>
      <c r="G211" s="3" t="s">
        <v>4</v>
      </c>
      <c r="H211" s="7">
        <v>46267.0</v>
      </c>
      <c r="I211" s="3" t="s">
        <v>568</v>
      </c>
    </row>
    <row r="212" ht="15.75" customHeight="1">
      <c r="A212" s="6" t="s">
        <v>2552</v>
      </c>
      <c r="B212" s="6" t="s">
        <v>2280</v>
      </c>
      <c r="C212" s="3" t="s">
        <v>99</v>
      </c>
      <c r="D212" s="3">
        <v>75000.0</v>
      </c>
      <c r="E212" s="8">
        <v>47650.18</v>
      </c>
      <c r="F212" s="7">
        <v>42422.0</v>
      </c>
      <c r="G212" s="3" t="s">
        <v>4</v>
      </c>
      <c r="H212" s="7">
        <v>45838.0</v>
      </c>
      <c r="I212" s="3" t="s">
        <v>568</v>
      </c>
    </row>
    <row r="213" ht="15.75" customHeight="1">
      <c r="A213" s="6" t="s">
        <v>2559</v>
      </c>
      <c r="B213" s="6" t="s">
        <v>2561</v>
      </c>
      <c r="C213" s="3" t="s">
        <v>99</v>
      </c>
      <c r="D213" s="3">
        <v>75000.0</v>
      </c>
      <c r="E213" s="8">
        <v>63568.57</v>
      </c>
      <c r="F213" s="7">
        <v>44003.0</v>
      </c>
      <c r="G213" s="3" t="s">
        <v>194</v>
      </c>
      <c r="H213" s="7">
        <v>45911.0</v>
      </c>
      <c r="I213" s="3" t="s">
        <v>568</v>
      </c>
    </row>
    <row r="214" ht="15.75" customHeight="1">
      <c r="A214" s="6" t="s">
        <v>2566</v>
      </c>
      <c r="B214" s="6" t="s">
        <v>2568</v>
      </c>
      <c r="C214" s="3" t="s">
        <v>141</v>
      </c>
      <c r="D214" s="3">
        <v>300000.0</v>
      </c>
      <c r="E214" s="8">
        <v>106956.28</v>
      </c>
      <c r="F214" s="7">
        <v>42816.0</v>
      </c>
      <c r="G214" s="3" t="s">
        <v>5</v>
      </c>
      <c r="H214" s="7">
        <v>45318.0</v>
      </c>
      <c r="I214" s="3" t="s">
        <v>568</v>
      </c>
    </row>
    <row r="215" ht="15.75" customHeight="1">
      <c r="A215" s="6" t="s">
        <v>2575</v>
      </c>
      <c r="B215" s="6" t="s">
        <v>2577</v>
      </c>
      <c r="C215" s="3" t="s">
        <v>141</v>
      </c>
      <c r="D215" s="3">
        <v>300000.0</v>
      </c>
      <c r="E215" s="8">
        <v>213626.99</v>
      </c>
      <c r="F215" s="7">
        <v>43222.0</v>
      </c>
      <c r="G215" s="3" t="s">
        <v>4</v>
      </c>
      <c r="H215" s="7">
        <v>45069.0</v>
      </c>
      <c r="I215" s="3" t="s">
        <v>568</v>
      </c>
    </row>
    <row r="216" ht="15.75" customHeight="1">
      <c r="A216" s="6" t="s">
        <v>2582</v>
      </c>
      <c r="B216" s="6" t="s">
        <v>2583</v>
      </c>
      <c r="C216" s="3" t="s">
        <v>77</v>
      </c>
      <c r="D216" s="3">
        <v>800000.0</v>
      </c>
      <c r="E216" s="8">
        <v>638271.12</v>
      </c>
      <c r="F216" s="7">
        <v>42820.0</v>
      </c>
      <c r="G216" s="3" t="s">
        <v>4</v>
      </c>
      <c r="H216" s="7">
        <v>45743.0</v>
      </c>
      <c r="I216" s="3" t="s">
        <v>568</v>
      </c>
    </row>
    <row r="217" ht="15.75" customHeight="1">
      <c r="A217" s="6" t="s">
        <v>2590</v>
      </c>
      <c r="B217" s="6" t="s">
        <v>2592</v>
      </c>
      <c r="C217" s="3" t="s">
        <v>124</v>
      </c>
      <c r="D217" s="3">
        <v>150000.0</v>
      </c>
      <c r="E217" s="8">
        <v>61692.11</v>
      </c>
      <c r="F217" s="7">
        <v>43341.0</v>
      </c>
      <c r="G217" s="3" t="s">
        <v>4</v>
      </c>
      <c r="H217" s="7">
        <v>45567.0</v>
      </c>
      <c r="I217" s="3" t="s">
        <v>568</v>
      </c>
    </row>
    <row r="218" ht="15.75" customHeight="1">
      <c r="A218" s="6" t="s">
        <v>2599</v>
      </c>
      <c r="B218" s="6" t="s">
        <v>2601</v>
      </c>
      <c r="C218" s="3" t="s">
        <v>124</v>
      </c>
      <c r="D218" s="3">
        <v>150000.0</v>
      </c>
      <c r="E218" s="8">
        <v>38324.38</v>
      </c>
      <c r="F218" s="7">
        <v>43537.0</v>
      </c>
      <c r="G218" s="3" t="s">
        <v>4</v>
      </c>
      <c r="H218" s="7">
        <v>45157.0</v>
      </c>
      <c r="I218" s="3" t="s">
        <v>568</v>
      </c>
    </row>
    <row r="219" ht="15.75" customHeight="1">
      <c r="A219" s="6" t="s">
        <v>2606</v>
      </c>
      <c r="B219" s="6" t="s">
        <v>2607</v>
      </c>
      <c r="C219" s="3" t="s">
        <v>124</v>
      </c>
      <c r="D219" s="3">
        <v>150000.0</v>
      </c>
      <c r="E219" s="8">
        <v>125932.64</v>
      </c>
      <c r="F219" s="7">
        <v>45168.0</v>
      </c>
      <c r="G219" s="3" t="s">
        <v>4</v>
      </c>
      <c r="H219" s="7">
        <v>45516.0</v>
      </c>
      <c r="I219" s="3" t="s">
        <v>568</v>
      </c>
    </row>
    <row r="220" ht="15.75" customHeight="1">
      <c r="A220" s="6" t="s">
        <v>2615</v>
      </c>
      <c r="B220" s="6" t="s">
        <v>2618</v>
      </c>
      <c r="C220" s="3" t="s">
        <v>162</v>
      </c>
      <c r="D220" s="3">
        <v>500000.0</v>
      </c>
      <c r="E220" s="8">
        <v>328219.9</v>
      </c>
      <c r="F220" s="7">
        <v>45332.0</v>
      </c>
      <c r="G220" s="3" t="s">
        <v>4</v>
      </c>
      <c r="H220" s="7">
        <v>45420.0</v>
      </c>
      <c r="I220" s="3" t="s">
        <v>568</v>
      </c>
    </row>
    <row r="221" ht="15.75" customHeight="1">
      <c r="A221" s="6" t="s">
        <v>2624</v>
      </c>
      <c r="B221" s="6" t="s">
        <v>2626</v>
      </c>
      <c r="C221" s="3" t="s">
        <v>124</v>
      </c>
      <c r="D221" s="3">
        <v>150000.0</v>
      </c>
      <c r="E221" s="8">
        <v>42113.83</v>
      </c>
      <c r="F221" s="7">
        <v>45310.0</v>
      </c>
      <c r="G221" s="3" t="s">
        <v>4</v>
      </c>
      <c r="H221" s="7">
        <v>44934.0</v>
      </c>
      <c r="I221" s="3" t="s">
        <v>568</v>
      </c>
    </row>
    <row r="222" ht="15.75" customHeight="1">
      <c r="A222" s="6" t="s">
        <v>2633</v>
      </c>
      <c r="B222" s="6" t="s">
        <v>1910</v>
      </c>
      <c r="C222" s="3" t="s">
        <v>162</v>
      </c>
      <c r="D222" s="3">
        <v>500000.0</v>
      </c>
      <c r="E222" s="8">
        <v>438701.49</v>
      </c>
      <c r="F222" s="7">
        <v>42619.0</v>
      </c>
      <c r="G222" s="3" t="s">
        <v>4</v>
      </c>
      <c r="H222" s="7">
        <v>46173.0</v>
      </c>
      <c r="I222" s="3" t="s">
        <v>568</v>
      </c>
    </row>
    <row r="223" ht="15.75" customHeight="1">
      <c r="A223" s="6" t="s">
        <v>2638</v>
      </c>
      <c r="B223" s="6" t="s">
        <v>533</v>
      </c>
      <c r="C223" s="3" t="s">
        <v>162</v>
      </c>
      <c r="D223" s="3">
        <v>500000.0</v>
      </c>
      <c r="E223" s="8">
        <v>70853.95</v>
      </c>
      <c r="F223" s="7">
        <v>42111.0</v>
      </c>
      <c r="G223" s="3" t="s">
        <v>4</v>
      </c>
      <c r="H223" s="7">
        <v>45546.0</v>
      </c>
      <c r="I223" s="3" t="s">
        <v>568</v>
      </c>
    </row>
    <row r="224" ht="15.75" customHeight="1">
      <c r="A224" s="6" t="s">
        <v>2646</v>
      </c>
      <c r="B224" s="6" t="s">
        <v>2172</v>
      </c>
      <c r="C224" s="3" t="s">
        <v>99</v>
      </c>
      <c r="D224" s="3">
        <v>75000.0</v>
      </c>
      <c r="E224" s="8">
        <v>46261.78</v>
      </c>
      <c r="F224" s="7">
        <v>42337.0</v>
      </c>
      <c r="G224" s="3" t="s">
        <v>4</v>
      </c>
      <c r="H224" s="3"/>
      <c r="I224" s="3" t="s">
        <v>806</v>
      </c>
    </row>
    <row r="225" ht="15.75" customHeight="1">
      <c r="A225" s="6" t="s">
        <v>2652</v>
      </c>
      <c r="B225" s="6" t="s">
        <v>2655</v>
      </c>
      <c r="C225" s="3" t="s">
        <v>124</v>
      </c>
      <c r="D225" s="3">
        <v>150000.0</v>
      </c>
      <c r="E225" s="8">
        <v>89547.76</v>
      </c>
      <c r="F225" s="7">
        <v>45480.0</v>
      </c>
      <c r="G225" s="3" t="s">
        <v>4</v>
      </c>
      <c r="H225" s="7">
        <v>46104.0</v>
      </c>
      <c r="I225" s="3" t="s">
        <v>568</v>
      </c>
    </row>
    <row r="226" ht="15.75" customHeight="1">
      <c r="A226" s="6" t="s">
        <v>2663</v>
      </c>
      <c r="B226" s="6" t="s">
        <v>2665</v>
      </c>
      <c r="C226" s="3" t="s">
        <v>162</v>
      </c>
      <c r="D226" s="3">
        <v>500000.0</v>
      </c>
      <c r="E226" s="8">
        <v>184785.53</v>
      </c>
      <c r="F226" s="7">
        <v>45442.0</v>
      </c>
      <c r="G226" s="3" t="s">
        <v>4</v>
      </c>
      <c r="H226" s="7">
        <v>45717.0</v>
      </c>
      <c r="I226" s="3" t="s">
        <v>568</v>
      </c>
    </row>
    <row r="227" ht="15.75" customHeight="1">
      <c r="A227" s="6" t="s">
        <v>2669</v>
      </c>
      <c r="B227" s="6" t="s">
        <v>2671</v>
      </c>
      <c r="C227" s="3" t="s">
        <v>141</v>
      </c>
      <c r="D227" s="3">
        <v>300000.0</v>
      </c>
      <c r="E227" s="8">
        <v>282722.39</v>
      </c>
      <c r="F227" s="7">
        <v>45988.0</v>
      </c>
      <c r="G227" s="3" t="s">
        <v>4</v>
      </c>
      <c r="H227" s="7">
        <v>45831.0</v>
      </c>
      <c r="I227" s="3" t="s">
        <v>568</v>
      </c>
    </row>
    <row r="228" ht="15.75" customHeight="1">
      <c r="A228" s="6" t="s">
        <v>2680</v>
      </c>
      <c r="B228" s="6" t="s">
        <v>2681</v>
      </c>
      <c r="C228" s="3" t="s">
        <v>124</v>
      </c>
      <c r="D228" s="3">
        <v>150000.0</v>
      </c>
      <c r="E228" s="8">
        <v>138015.93</v>
      </c>
      <c r="F228" s="7">
        <v>42664.0</v>
      </c>
      <c r="G228" s="3" t="s">
        <v>4</v>
      </c>
      <c r="H228" s="3"/>
      <c r="I228" s="3" t="s">
        <v>806</v>
      </c>
    </row>
    <row r="229" ht="15.75" customHeight="1">
      <c r="A229" s="6" t="s">
        <v>2690</v>
      </c>
      <c r="B229" s="6" t="s">
        <v>2691</v>
      </c>
      <c r="C229" s="3" t="s">
        <v>77</v>
      </c>
      <c r="D229" s="3">
        <v>800000.0</v>
      </c>
      <c r="E229" s="8">
        <v>245134.97</v>
      </c>
      <c r="F229" s="7">
        <v>42687.0</v>
      </c>
      <c r="G229" s="3" t="s">
        <v>4</v>
      </c>
      <c r="H229" s="7">
        <v>45525.0</v>
      </c>
      <c r="I229" s="3" t="s">
        <v>568</v>
      </c>
    </row>
    <row r="230" ht="15.75" customHeight="1">
      <c r="A230" s="6" t="s">
        <v>2698</v>
      </c>
      <c r="B230" s="6" t="s">
        <v>2700</v>
      </c>
      <c r="C230" s="3" t="s">
        <v>124</v>
      </c>
      <c r="D230" s="3">
        <v>150000.0</v>
      </c>
      <c r="E230" s="8">
        <v>20127.66</v>
      </c>
      <c r="F230" s="7">
        <v>45602.0</v>
      </c>
      <c r="G230" s="3" t="s">
        <v>4</v>
      </c>
      <c r="H230" s="7">
        <v>45052.0</v>
      </c>
      <c r="I230" s="3" t="s">
        <v>568</v>
      </c>
    </row>
    <row r="231" ht="15.75" customHeight="1">
      <c r="A231" s="6" t="s">
        <v>2705</v>
      </c>
      <c r="B231" s="6" t="s">
        <v>2707</v>
      </c>
      <c r="C231" s="3" t="s">
        <v>141</v>
      </c>
      <c r="D231" s="3">
        <v>300000.0</v>
      </c>
      <c r="E231" s="8">
        <v>230576.35</v>
      </c>
      <c r="F231" s="7">
        <v>43360.0</v>
      </c>
      <c r="G231" s="3" t="s">
        <v>4</v>
      </c>
      <c r="H231" s="3"/>
      <c r="I231" s="3" t="s">
        <v>806</v>
      </c>
    </row>
    <row r="232" ht="15.75" customHeight="1">
      <c r="A232" s="6" t="s">
        <v>2714</v>
      </c>
      <c r="B232" s="6" t="s">
        <v>1064</v>
      </c>
      <c r="C232" s="3" t="s">
        <v>99</v>
      </c>
      <c r="D232" s="3">
        <v>75000.0</v>
      </c>
      <c r="E232" s="8">
        <v>59224.5</v>
      </c>
      <c r="F232" s="7">
        <v>44800.0</v>
      </c>
      <c r="G232" s="3" t="s">
        <v>4</v>
      </c>
      <c r="H232" s="7">
        <v>45958.0</v>
      </c>
      <c r="I232" s="3" t="s">
        <v>568</v>
      </c>
    </row>
    <row r="233" ht="15.75" customHeight="1">
      <c r="A233" s="6" t="s">
        <v>2728</v>
      </c>
      <c r="B233" s="6" t="s">
        <v>1302</v>
      </c>
      <c r="C233" s="3" t="s">
        <v>124</v>
      </c>
      <c r="D233" s="3">
        <v>150000.0</v>
      </c>
      <c r="E233" s="8">
        <v>4156.41</v>
      </c>
      <c r="F233" s="7">
        <v>43860.0</v>
      </c>
      <c r="G233" s="3" t="s">
        <v>4</v>
      </c>
      <c r="H233" s="7">
        <v>44967.0</v>
      </c>
      <c r="I233" s="3" t="s">
        <v>568</v>
      </c>
    </row>
    <row r="234" ht="15.75" customHeight="1">
      <c r="A234" s="6" t="s">
        <v>2742</v>
      </c>
      <c r="B234" s="6" t="s">
        <v>1741</v>
      </c>
      <c r="C234" s="3" t="s">
        <v>141</v>
      </c>
      <c r="D234" s="3">
        <v>300000.0</v>
      </c>
      <c r="E234" s="8">
        <v>112516.22</v>
      </c>
      <c r="F234" s="7">
        <v>42348.0</v>
      </c>
      <c r="G234" s="3" t="s">
        <v>4</v>
      </c>
      <c r="H234" s="7">
        <v>44941.0</v>
      </c>
      <c r="I234" s="3" t="s">
        <v>568</v>
      </c>
    </row>
    <row r="235" ht="15.75" customHeight="1">
      <c r="A235" s="6" t="s">
        <v>2750</v>
      </c>
      <c r="B235" s="6" t="s">
        <v>2752</v>
      </c>
      <c r="C235" s="3" t="s">
        <v>124</v>
      </c>
      <c r="D235" s="3">
        <v>150000.0</v>
      </c>
      <c r="E235" s="8">
        <v>35092.66</v>
      </c>
      <c r="F235" s="7">
        <v>42484.0</v>
      </c>
      <c r="G235" s="3" t="s">
        <v>4</v>
      </c>
      <c r="H235" s="7">
        <v>45909.0</v>
      </c>
      <c r="I235" s="3" t="s">
        <v>568</v>
      </c>
    </row>
    <row r="236" ht="15.75" customHeight="1">
      <c r="A236" s="6" t="s">
        <v>2756</v>
      </c>
      <c r="B236" s="6" t="s">
        <v>2757</v>
      </c>
      <c r="C236" s="3" t="s">
        <v>141</v>
      </c>
      <c r="D236" s="3">
        <v>300000.0</v>
      </c>
      <c r="E236" s="8">
        <v>72766.97</v>
      </c>
      <c r="F236" s="7">
        <v>42033.0</v>
      </c>
      <c r="G236" s="3" t="s">
        <v>194</v>
      </c>
      <c r="H236" s="7">
        <v>45648.0</v>
      </c>
      <c r="I236" s="3" t="s">
        <v>568</v>
      </c>
    </row>
    <row r="237" ht="15.75" customHeight="1">
      <c r="A237" s="6" t="s">
        <v>2763</v>
      </c>
      <c r="B237" s="6" t="s">
        <v>512</v>
      </c>
      <c r="C237" s="3" t="s">
        <v>162</v>
      </c>
      <c r="D237" s="3">
        <v>500000.0</v>
      </c>
      <c r="E237" s="8">
        <v>69347.58</v>
      </c>
      <c r="F237" s="7">
        <v>42972.0</v>
      </c>
      <c r="G237" s="3" t="s">
        <v>4</v>
      </c>
      <c r="H237" s="3"/>
      <c r="I237" s="3" t="s">
        <v>806</v>
      </c>
    </row>
    <row r="238" ht="15.75" customHeight="1">
      <c r="A238" s="6" t="s">
        <v>2770</v>
      </c>
      <c r="B238" s="6" t="s">
        <v>2772</v>
      </c>
      <c r="C238" s="3" t="s">
        <v>77</v>
      </c>
      <c r="D238" s="3">
        <v>800000.0</v>
      </c>
      <c r="E238" s="8">
        <v>830183.46</v>
      </c>
      <c r="F238" s="7">
        <v>45136.0</v>
      </c>
      <c r="G238" s="3" t="s">
        <v>4</v>
      </c>
      <c r="H238" s="7">
        <v>46226.0</v>
      </c>
      <c r="I238" s="3" t="s">
        <v>568</v>
      </c>
    </row>
    <row r="239" ht="15.75" customHeight="1">
      <c r="A239" s="6" t="s">
        <v>2777</v>
      </c>
      <c r="B239" s="6" t="s">
        <v>1472</v>
      </c>
      <c r="C239" s="3" t="s">
        <v>141</v>
      </c>
      <c r="D239" s="3">
        <v>300000.0</v>
      </c>
      <c r="E239" s="8">
        <v>43210.3</v>
      </c>
      <c r="F239" s="7">
        <v>44492.0</v>
      </c>
      <c r="G239" s="3" t="s">
        <v>4</v>
      </c>
      <c r="H239" s="7">
        <v>45921.0</v>
      </c>
      <c r="I239" s="3" t="s">
        <v>568</v>
      </c>
    </row>
    <row r="240" ht="15.75" customHeight="1">
      <c r="A240" s="6" t="s">
        <v>2787</v>
      </c>
      <c r="B240" s="6" t="s">
        <v>1860</v>
      </c>
      <c r="C240" s="3" t="s">
        <v>77</v>
      </c>
      <c r="D240" s="3">
        <v>800000.0</v>
      </c>
      <c r="E240" s="8">
        <v>460593.02</v>
      </c>
      <c r="F240" s="7">
        <v>44373.0</v>
      </c>
      <c r="G240" s="3" t="s">
        <v>4</v>
      </c>
      <c r="H240" s="7">
        <v>44943.0</v>
      </c>
      <c r="I240" s="3" t="s">
        <v>568</v>
      </c>
    </row>
    <row r="241" ht="15.75" customHeight="1">
      <c r="A241" s="6" t="s">
        <v>2790</v>
      </c>
      <c r="B241" s="6" t="s">
        <v>1650</v>
      </c>
      <c r="C241" s="3" t="s">
        <v>162</v>
      </c>
      <c r="D241" s="3">
        <v>500000.0</v>
      </c>
      <c r="E241" s="8">
        <v>190275.42</v>
      </c>
      <c r="F241" s="7">
        <v>45877.0</v>
      </c>
      <c r="G241" s="3" t="s">
        <v>4</v>
      </c>
      <c r="H241" s="3"/>
      <c r="I241" s="3" t="s">
        <v>806</v>
      </c>
    </row>
    <row r="242" ht="15.75" customHeight="1">
      <c r="A242" s="6" t="s">
        <v>2798</v>
      </c>
      <c r="B242" s="6" t="s">
        <v>2394</v>
      </c>
      <c r="C242" s="3" t="s">
        <v>141</v>
      </c>
      <c r="D242" s="3">
        <v>300000.0</v>
      </c>
      <c r="E242" s="8">
        <v>78186.95</v>
      </c>
      <c r="F242" s="7">
        <v>42123.0</v>
      </c>
      <c r="G242" s="3" t="s">
        <v>194</v>
      </c>
      <c r="H242" s="7">
        <v>46008.0</v>
      </c>
      <c r="I242" s="3" t="s">
        <v>568</v>
      </c>
    </row>
    <row r="243" ht="15.75" customHeight="1">
      <c r="A243" s="6" t="s">
        <v>2803</v>
      </c>
      <c r="B243" s="6" t="s">
        <v>2805</v>
      </c>
      <c r="C243" s="3" t="s">
        <v>162</v>
      </c>
      <c r="D243" s="3">
        <v>500000.0</v>
      </c>
      <c r="E243" s="8">
        <v>366905.0</v>
      </c>
      <c r="F243" s="7">
        <v>45966.0</v>
      </c>
      <c r="G243" s="3" t="s">
        <v>4</v>
      </c>
      <c r="H243" s="7">
        <v>46381.0</v>
      </c>
      <c r="I243" s="3" t="s">
        <v>568</v>
      </c>
    </row>
    <row r="244" ht="15.75" customHeight="1">
      <c r="A244" s="6" t="s">
        <v>2812</v>
      </c>
      <c r="B244" s="6" t="s">
        <v>1292</v>
      </c>
      <c r="C244" s="3" t="s">
        <v>162</v>
      </c>
      <c r="D244" s="3">
        <v>500000.0</v>
      </c>
      <c r="E244" s="8">
        <v>54236.34</v>
      </c>
      <c r="F244" s="7">
        <v>43051.0</v>
      </c>
      <c r="G244" s="3" t="s">
        <v>5</v>
      </c>
      <c r="H244" s="7">
        <v>45504.0</v>
      </c>
      <c r="I244" s="3" t="s">
        <v>568</v>
      </c>
    </row>
    <row r="245" ht="15.75" customHeight="1">
      <c r="A245" s="6" t="s">
        <v>2820</v>
      </c>
      <c r="B245" s="6" t="s">
        <v>885</v>
      </c>
      <c r="C245" s="3" t="s">
        <v>77</v>
      </c>
      <c r="D245" s="3">
        <v>800000.0</v>
      </c>
      <c r="E245" s="8">
        <v>586298.87</v>
      </c>
      <c r="F245" s="7">
        <v>45186.0</v>
      </c>
      <c r="G245" s="3" t="s">
        <v>4</v>
      </c>
      <c r="H245" s="7">
        <v>46305.0</v>
      </c>
      <c r="I245" s="3" t="s">
        <v>568</v>
      </c>
    </row>
    <row r="246" ht="15.75" customHeight="1">
      <c r="A246" s="6" t="s">
        <v>2827</v>
      </c>
      <c r="B246" s="6" t="s">
        <v>2829</v>
      </c>
      <c r="C246" s="3" t="s">
        <v>77</v>
      </c>
      <c r="D246" s="3">
        <v>800000.0</v>
      </c>
      <c r="E246" s="8">
        <v>6805.98</v>
      </c>
      <c r="F246" s="7">
        <v>45191.0</v>
      </c>
      <c r="G246" s="3" t="s">
        <v>4</v>
      </c>
      <c r="H246" s="3"/>
      <c r="I246" s="3" t="s">
        <v>806</v>
      </c>
    </row>
    <row r="247" ht="15.75" customHeight="1">
      <c r="A247" s="6" t="s">
        <v>2835</v>
      </c>
      <c r="B247" s="6" t="s">
        <v>2836</v>
      </c>
      <c r="C247" s="3" t="s">
        <v>124</v>
      </c>
      <c r="D247" s="3">
        <v>150000.0</v>
      </c>
      <c r="E247" s="8">
        <v>119600.63</v>
      </c>
      <c r="F247" s="7">
        <v>43179.0</v>
      </c>
      <c r="G247" s="3" t="s">
        <v>4</v>
      </c>
      <c r="H247" s="7">
        <v>46062.0</v>
      </c>
      <c r="I247" s="3" t="s">
        <v>568</v>
      </c>
    </row>
    <row r="248" ht="15.75" customHeight="1">
      <c r="A248" s="6" t="s">
        <v>2840</v>
      </c>
      <c r="B248" s="6" t="s">
        <v>2307</v>
      </c>
      <c r="C248" s="3" t="s">
        <v>99</v>
      </c>
      <c r="D248" s="3">
        <v>75000.0</v>
      </c>
      <c r="E248" s="8">
        <v>67813.25</v>
      </c>
      <c r="F248" s="7">
        <v>44329.0</v>
      </c>
      <c r="G248" s="3" t="s">
        <v>4</v>
      </c>
      <c r="H248" s="7">
        <v>45903.0</v>
      </c>
      <c r="I248" s="3" t="s">
        <v>568</v>
      </c>
    </row>
    <row r="249" ht="15.75" customHeight="1">
      <c r="A249" s="6" t="s">
        <v>2846</v>
      </c>
      <c r="B249" s="6" t="s">
        <v>1106</v>
      </c>
      <c r="C249" s="3" t="s">
        <v>124</v>
      </c>
      <c r="D249" s="3">
        <v>150000.0</v>
      </c>
      <c r="E249" s="8">
        <v>137000.65</v>
      </c>
      <c r="F249" s="7">
        <v>42500.0</v>
      </c>
      <c r="G249" s="3" t="s">
        <v>4</v>
      </c>
      <c r="H249" s="7">
        <v>45416.0</v>
      </c>
      <c r="I249" s="3" t="s">
        <v>568</v>
      </c>
    </row>
    <row r="250" ht="15.75" customHeight="1">
      <c r="A250" s="6" t="s">
        <v>2854</v>
      </c>
      <c r="B250" s="6" t="s">
        <v>863</v>
      </c>
      <c r="C250" s="3" t="s">
        <v>141</v>
      </c>
      <c r="D250" s="3">
        <v>300000.0</v>
      </c>
      <c r="E250" s="8">
        <v>229202.7</v>
      </c>
      <c r="F250" s="7">
        <v>44249.0</v>
      </c>
      <c r="G250" s="3" t="s">
        <v>4</v>
      </c>
      <c r="H250" s="7">
        <v>45499.0</v>
      </c>
      <c r="I250" s="3" t="s">
        <v>568</v>
      </c>
    </row>
    <row r="251" ht="15.75" customHeight="1">
      <c r="A251" s="6" t="s">
        <v>2861</v>
      </c>
      <c r="B251" s="6" t="s">
        <v>2864</v>
      </c>
      <c r="C251" s="3" t="s">
        <v>124</v>
      </c>
      <c r="D251" s="3">
        <v>150000.0</v>
      </c>
      <c r="E251" s="8">
        <v>105127.61</v>
      </c>
      <c r="F251" s="7">
        <v>43090.0</v>
      </c>
      <c r="G251" s="3" t="s">
        <v>4</v>
      </c>
      <c r="H251" s="3"/>
      <c r="I251" s="3" t="s">
        <v>806</v>
      </c>
    </row>
    <row r="252" ht="15.75" customHeight="1">
      <c r="A252" s="6" t="s">
        <v>2872</v>
      </c>
      <c r="B252" s="6" t="s">
        <v>2873</v>
      </c>
      <c r="C252" s="3" t="s">
        <v>99</v>
      </c>
      <c r="D252" s="3">
        <v>75000.0</v>
      </c>
      <c r="E252" s="8">
        <v>32431.19</v>
      </c>
      <c r="F252" s="7">
        <v>42131.0</v>
      </c>
      <c r="G252" s="3" t="s">
        <v>4</v>
      </c>
      <c r="H252" s="7">
        <v>45392.0</v>
      </c>
      <c r="I252" s="3" t="s">
        <v>568</v>
      </c>
    </row>
    <row r="253" ht="15.75" customHeight="1">
      <c r="A253" s="6" t="s">
        <v>2875</v>
      </c>
      <c r="B253" s="6" t="s">
        <v>2445</v>
      </c>
      <c r="C253" s="3" t="s">
        <v>162</v>
      </c>
      <c r="D253" s="3">
        <v>500000.0</v>
      </c>
      <c r="E253" s="8">
        <v>107119.77</v>
      </c>
      <c r="F253" s="7">
        <v>43578.0</v>
      </c>
      <c r="G253" s="3" t="s">
        <v>4</v>
      </c>
      <c r="H253" s="3"/>
      <c r="I253" s="3" t="s">
        <v>806</v>
      </c>
    </row>
    <row r="254" ht="15.75" customHeight="1">
      <c r="A254" s="6" t="s">
        <v>2880</v>
      </c>
      <c r="B254" s="6" t="s">
        <v>2881</v>
      </c>
      <c r="C254" s="3" t="s">
        <v>141</v>
      </c>
      <c r="D254" s="3">
        <v>300000.0</v>
      </c>
      <c r="E254" s="8">
        <v>136310.47</v>
      </c>
      <c r="F254" s="7">
        <v>43761.0</v>
      </c>
      <c r="G254" s="3" t="s">
        <v>4</v>
      </c>
      <c r="H254" s="7">
        <v>45176.0</v>
      </c>
      <c r="I254" s="3" t="s">
        <v>568</v>
      </c>
    </row>
    <row r="255" ht="15.75" customHeight="1">
      <c r="A255" s="6" t="s">
        <v>2889</v>
      </c>
      <c r="B255" s="6" t="s">
        <v>1113</v>
      </c>
      <c r="C255" s="3" t="s">
        <v>162</v>
      </c>
      <c r="D255" s="3">
        <v>500000.0</v>
      </c>
      <c r="E255" s="8">
        <v>344821.41</v>
      </c>
      <c r="F255" s="7">
        <v>45327.0</v>
      </c>
      <c r="G255" s="3" t="s">
        <v>4</v>
      </c>
      <c r="H255" s="7">
        <v>45632.0</v>
      </c>
      <c r="I255" s="3" t="s">
        <v>568</v>
      </c>
    </row>
    <row r="256" ht="15.75" customHeight="1">
      <c r="A256" s="6" t="s">
        <v>2894</v>
      </c>
      <c r="B256" s="6" t="s">
        <v>739</v>
      </c>
      <c r="C256" s="3" t="s">
        <v>162</v>
      </c>
      <c r="D256" s="3">
        <v>500000.0</v>
      </c>
      <c r="E256" s="8">
        <v>69350.92</v>
      </c>
      <c r="F256" s="7">
        <v>44825.0</v>
      </c>
      <c r="G256" s="3" t="s">
        <v>4</v>
      </c>
      <c r="H256" s="7">
        <v>46145.0</v>
      </c>
      <c r="I256" s="3" t="s">
        <v>568</v>
      </c>
    </row>
    <row r="257" ht="15.75" customHeight="1">
      <c r="A257" s="6" t="s">
        <v>2903</v>
      </c>
      <c r="B257" s="6" t="s">
        <v>2792</v>
      </c>
      <c r="C257" s="3" t="s">
        <v>162</v>
      </c>
      <c r="D257" s="3">
        <v>500000.0</v>
      </c>
      <c r="E257" s="8">
        <v>22517.71</v>
      </c>
      <c r="F257" s="7">
        <v>44457.0</v>
      </c>
      <c r="G257" s="3" t="s">
        <v>4</v>
      </c>
      <c r="H257" s="7">
        <v>45496.0</v>
      </c>
      <c r="I257" s="3" t="s">
        <v>568</v>
      </c>
    </row>
    <row r="258" ht="15.75" customHeight="1">
      <c r="A258" s="6" t="s">
        <v>2910</v>
      </c>
      <c r="B258" s="6" t="s">
        <v>1999</v>
      </c>
      <c r="C258" s="3" t="s">
        <v>99</v>
      </c>
      <c r="D258" s="3">
        <v>75000.0</v>
      </c>
      <c r="E258" s="8">
        <v>35420.19</v>
      </c>
      <c r="F258" s="7">
        <v>43649.0</v>
      </c>
      <c r="G258" s="3" t="s">
        <v>4</v>
      </c>
      <c r="H258" s="7">
        <v>45951.0</v>
      </c>
      <c r="I258" s="3" t="s">
        <v>568</v>
      </c>
    </row>
    <row r="259" ht="15.75" customHeight="1">
      <c r="A259" s="6" t="s">
        <v>2915</v>
      </c>
      <c r="B259" s="6" t="s">
        <v>1611</v>
      </c>
      <c r="C259" s="3" t="s">
        <v>141</v>
      </c>
      <c r="D259" s="3">
        <v>300000.0</v>
      </c>
      <c r="E259" s="8">
        <v>157011.44</v>
      </c>
      <c r="F259" s="7">
        <v>43734.0</v>
      </c>
      <c r="G259" s="3" t="s">
        <v>4</v>
      </c>
      <c r="H259" s="7">
        <v>46173.0</v>
      </c>
      <c r="I259" s="3" t="s">
        <v>568</v>
      </c>
    </row>
    <row r="260" ht="15.75" customHeight="1">
      <c r="A260" s="6" t="s">
        <v>2922</v>
      </c>
      <c r="B260" s="6" t="s">
        <v>2923</v>
      </c>
      <c r="C260" s="3" t="s">
        <v>124</v>
      </c>
      <c r="D260" s="3">
        <v>150000.0</v>
      </c>
      <c r="E260" s="8">
        <v>60734.98</v>
      </c>
      <c r="F260" s="7">
        <v>44052.0</v>
      </c>
      <c r="G260" s="3" t="s">
        <v>4</v>
      </c>
      <c r="H260" s="7">
        <v>45038.0</v>
      </c>
      <c r="I260" s="3" t="s">
        <v>568</v>
      </c>
    </row>
    <row r="261" ht="15.75" customHeight="1">
      <c r="A261" s="6" t="s">
        <v>2933</v>
      </c>
      <c r="B261" s="6" t="s">
        <v>1020</v>
      </c>
      <c r="C261" s="3" t="s">
        <v>162</v>
      </c>
      <c r="D261" s="3">
        <v>500000.0</v>
      </c>
      <c r="E261" s="8">
        <v>397331.59</v>
      </c>
      <c r="F261" s="7">
        <v>43761.0</v>
      </c>
      <c r="G261" s="3" t="s">
        <v>4</v>
      </c>
      <c r="H261" s="7">
        <v>45223.0</v>
      </c>
      <c r="I261" s="3" t="s">
        <v>568</v>
      </c>
    </row>
    <row r="262" ht="15.75" customHeight="1">
      <c r="A262" s="6" t="s">
        <v>2938</v>
      </c>
      <c r="B262" s="6" t="s">
        <v>811</v>
      </c>
      <c r="C262" s="3" t="s">
        <v>124</v>
      </c>
      <c r="D262" s="3">
        <v>150000.0</v>
      </c>
      <c r="E262" s="8">
        <v>149134.08</v>
      </c>
      <c r="F262" s="7">
        <v>44087.0</v>
      </c>
      <c r="G262" s="3" t="s">
        <v>4</v>
      </c>
      <c r="H262" s="7">
        <v>46211.0</v>
      </c>
      <c r="I262" s="3" t="s">
        <v>568</v>
      </c>
    </row>
    <row r="263" ht="15.75" customHeight="1">
      <c r="A263" s="6" t="s">
        <v>2944</v>
      </c>
      <c r="B263" s="6" t="s">
        <v>2945</v>
      </c>
      <c r="C263" s="3" t="s">
        <v>99</v>
      </c>
      <c r="D263" s="3">
        <v>75000.0</v>
      </c>
      <c r="E263" s="8">
        <v>4879.33</v>
      </c>
      <c r="F263" s="7">
        <v>45834.0</v>
      </c>
      <c r="G263" s="3" t="s">
        <v>4</v>
      </c>
      <c r="H263" s="7">
        <v>45542.0</v>
      </c>
      <c r="I263" s="3" t="s">
        <v>568</v>
      </c>
    </row>
    <row r="264" ht="15.75" customHeight="1">
      <c r="A264" s="6" t="s">
        <v>2949</v>
      </c>
      <c r="B264" s="6" t="s">
        <v>2950</v>
      </c>
      <c r="C264" s="3" t="s">
        <v>77</v>
      </c>
      <c r="D264" s="3">
        <v>800000.0</v>
      </c>
      <c r="E264" s="8">
        <v>261099.83</v>
      </c>
      <c r="F264" s="7">
        <v>45407.0</v>
      </c>
      <c r="G264" s="3" t="s">
        <v>4</v>
      </c>
      <c r="H264" s="7">
        <v>46359.0</v>
      </c>
      <c r="I264" s="3" t="s">
        <v>568</v>
      </c>
    </row>
    <row r="265" ht="15.75" customHeight="1">
      <c r="A265" s="6" t="s">
        <v>2961</v>
      </c>
      <c r="B265" s="6" t="s">
        <v>636</v>
      </c>
      <c r="C265" s="3" t="s">
        <v>124</v>
      </c>
      <c r="D265" s="3">
        <v>150000.0</v>
      </c>
      <c r="E265" s="8">
        <v>43675.68</v>
      </c>
      <c r="F265" s="7">
        <v>45953.0</v>
      </c>
      <c r="G265" s="3" t="s">
        <v>4</v>
      </c>
      <c r="H265" s="7">
        <v>44962.0</v>
      </c>
      <c r="I265" s="3" t="s">
        <v>568</v>
      </c>
    </row>
    <row r="266" ht="15.75" customHeight="1">
      <c r="A266" s="6" t="s">
        <v>2968</v>
      </c>
      <c r="B266" s="6" t="s">
        <v>2969</v>
      </c>
      <c r="C266" s="3" t="s">
        <v>77</v>
      </c>
      <c r="D266" s="3">
        <v>800000.0</v>
      </c>
      <c r="E266" s="8">
        <v>69166.44</v>
      </c>
      <c r="F266" s="7">
        <v>42747.0</v>
      </c>
      <c r="G266" s="3" t="s">
        <v>4</v>
      </c>
      <c r="H266" s="7">
        <v>45251.0</v>
      </c>
      <c r="I266" s="3" t="s">
        <v>568</v>
      </c>
    </row>
    <row r="267" ht="15.75" customHeight="1">
      <c r="A267" s="6" t="s">
        <v>2977</v>
      </c>
      <c r="B267" s="6" t="s">
        <v>2980</v>
      </c>
      <c r="C267" s="3" t="s">
        <v>141</v>
      </c>
      <c r="D267" s="3">
        <v>300000.0</v>
      </c>
      <c r="E267" s="8">
        <v>259305.44</v>
      </c>
      <c r="F267" s="7">
        <v>44351.0</v>
      </c>
      <c r="G267" s="3" t="s">
        <v>4</v>
      </c>
      <c r="H267" s="7">
        <v>45986.0</v>
      </c>
      <c r="I267" s="3" t="s">
        <v>568</v>
      </c>
    </row>
    <row r="268" ht="15.75" customHeight="1">
      <c r="A268" s="6" t="s">
        <v>2982</v>
      </c>
      <c r="B268" s="6" t="s">
        <v>2983</v>
      </c>
      <c r="C268" s="3" t="s">
        <v>124</v>
      </c>
      <c r="D268" s="3">
        <v>150000.0</v>
      </c>
      <c r="E268" s="8">
        <v>125756.17</v>
      </c>
      <c r="F268" s="7">
        <v>43670.0</v>
      </c>
      <c r="G268" s="3" t="s">
        <v>4</v>
      </c>
      <c r="H268" s="7">
        <v>45857.0</v>
      </c>
      <c r="I268" s="3" t="s">
        <v>568</v>
      </c>
    </row>
    <row r="269" ht="15.75" customHeight="1">
      <c r="A269" s="6" t="s">
        <v>2993</v>
      </c>
      <c r="B269" s="6" t="s">
        <v>805</v>
      </c>
      <c r="C269" s="3" t="s">
        <v>141</v>
      </c>
      <c r="D269" s="3">
        <v>300000.0</v>
      </c>
      <c r="E269" s="8">
        <v>184205.62</v>
      </c>
      <c r="F269" s="7">
        <v>44284.0</v>
      </c>
      <c r="G269" s="3" t="s">
        <v>4</v>
      </c>
      <c r="H269" s="7">
        <v>46067.0</v>
      </c>
      <c r="I269" s="3" t="s">
        <v>568</v>
      </c>
    </row>
    <row r="270" ht="15.75" customHeight="1">
      <c r="A270" s="6" t="s">
        <v>3002</v>
      </c>
      <c r="B270" s="6" t="s">
        <v>3003</v>
      </c>
      <c r="C270" s="3" t="s">
        <v>77</v>
      </c>
      <c r="D270" s="3">
        <v>800000.0</v>
      </c>
      <c r="E270" s="8">
        <v>293668.68</v>
      </c>
      <c r="F270" s="7">
        <v>43826.0</v>
      </c>
      <c r="G270" s="3" t="s">
        <v>4</v>
      </c>
      <c r="H270" s="7">
        <v>45091.0</v>
      </c>
      <c r="I270" s="3" t="s">
        <v>568</v>
      </c>
    </row>
    <row r="271" ht="15.75" customHeight="1">
      <c r="A271" s="6" t="s">
        <v>3010</v>
      </c>
      <c r="B271" s="6" t="s">
        <v>1632</v>
      </c>
      <c r="C271" s="3" t="s">
        <v>77</v>
      </c>
      <c r="D271" s="3">
        <v>800000.0</v>
      </c>
      <c r="E271" s="8">
        <v>760751.38</v>
      </c>
      <c r="F271" s="7">
        <v>43161.0</v>
      </c>
      <c r="G271" s="3" t="s">
        <v>4</v>
      </c>
      <c r="H271" s="7">
        <v>46012.0</v>
      </c>
      <c r="I271" s="3" t="s">
        <v>568</v>
      </c>
    </row>
    <row r="272" ht="15.75" customHeight="1">
      <c r="A272" s="6" t="s">
        <v>3020</v>
      </c>
      <c r="B272" s="6" t="s">
        <v>3022</v>
      </c>
      <c r="C272" s="3" t="s">
        <v>99</v>
      </c>
      <c r="D272" s="3">
        <v>75000.0</v>
      </c>
      <c r="E272" s="8">
        <v>73076.89</v>
      </c>
      <c r="F272" s="7">
        <v>43964.0</v>
      </c>
      <c r="G272" s="3" t="s">
        <v>4</v>
      </c>
      <c r="H272" s="7">
        <v>45462.0</v>
      </c>
      <c r="I272" s="3" t="s">
        <v>568</v>
      </c>
    </row>
    <row r="273" ht="15.75" customHeight="1">
      <c r="A273" s="6" t="s">
        <v>3032</v>
      </c>
      <c r="B273" s="6" t="s">
        <v>467</v>
      </c>
      <c r="C273" s="3" t="s">
        <v>124</v>
      </c>
      <c r="D273" s="3">
        <v>150000.0</v>
      </c>
      <c r="E273" s="8">
        <v>111595.73</v>
      </c>
      <c r="F273" s="7">
        <v>43818.0</v>
      </c>
      <c r="G273" s="3" t="s">
        <v>4</v>
      </c>
      <c r="H273" s="7">
        <v>45716.0</v>
      </c>
      <c r="I273" s="3" t="s">
        <v>568</v>
      </c>
    </row>
    <row r="274" ht="15.75" customHeight="1">
      <c r="A274" s="6" t="s">
        <v>3041</v>
      </c>
      <c r="B274" s="6" t="s">
        <v>1564</v>
      </c>
      <c r="C274" s="3" t="s">
        <v>99</v>
      </c>
      <c r="D274" s="3">
        <v>75000.0</v>
      </c>
      <c r="E274" s="8">
        <v>18454.47</v>
      </c>
      <c r="F274" s="7">
        <v>45920.0</v>
      </c>
      <c r="G274" s="3" t="s">
        <v>4</v>
      </c>
      <c r="H274" s="7">
        <v>45558.0</v>
      </c>
      <c r="I274" s="3" t="s">
        <v>568</v>
      </c>
    </row>
    <row r="275" ht="15.75" customHeight="1">
      <c r="A275" s="6" t="s">
        <v>3051</v>
      </c>
      <c r="B275" s="6" t="s">
        <v>1692</v>
      </c>
      <c r="C275" s="3" t="s">
        <v>162</v>
      </c>
      <c r="D275" s="3">
        <v>500000.0</v>
      </c>
      <c r="E275" s="8">
        <v>363303.52</v>
      </c>
      <c r="F275" s="7">
        <v>44867.0</v>
      </c>
      <c r="G275" s="3" t="s">
        <v>4</v>
      </c>
      <c r="H275" s="7">
        <v>46030.0</v>
      </c>
      <c r="I275" s="3" t="s">
        <v>568</v>
      </c>
    </row>
    <row r="276" ht="15.75" customHeight="1">
      <c r="A276" s="6" t="s">
        <v>3059</v>
      </c>
      <c r="B276" s="6" t="s">
        <v>3061</v>
      </c>
      <c r="C276" s="3" t="s">
        <v>99</v>
      </c>
      <c r="D276" s="3">
        <v>75000.0</v>
      </c>
      <c r="E276" s="8">
        <v>37926.59</v>
      </c>
      <c r="F276" s="7">
        <v>44410.0</v>
      </c>
      <c r="G276" s="3" t="s">
        <v>4</v>
      </c>
      <c r="H276" s="7">
        <v>45763.0</v>
      </c>
      <c r="I276" s="3" t="s">
        <v>568</v>
      </c>
    </row>
    <row r="277" ht="15.75" customHeight="1">
      <c r="A277" s="6" t="s">
        <v>3068</v>
      </c>
      <c r="B277" s="6" t="s">
        <v>3070</v>
      </c>
      <c r="C277" s="3" t="s">
        <v>141</v>
      </c>
      <c r="D277" s="3">
        <v>300000.0</v>
      </c>
      <c r="E277" s="8">
        <v>28066.92</v>
      </c>
      <c r="F277" s="7">
        <v>45203.0</v>
      </c>
      <c r="G277" s="3" t="s">
        <v>4</v>
      </c>
      <c r="H277" s="7">
        <v>46155.0</v>
      </c>
      <c r="I277" s="3" t="s">
        <v>568</v>
      </c>
    </row>
    <row r="278" ht="15.75" customHeight="1">
      <c r="A278" s="6" t="s">
        <v>3082</v>
      </c>
      <c r="B278" s="6" t="s">
        <v>1510</v>
      </c>
      <c r="C278" s="3" t="s">
        <v>124</v>
      </c>
      <c r="D278" s="3">
        <v>150000.0</v>
      </c>
      <c r="E278" s="8">
        <v>37821.68</v>
      </c>
      <c r="F278" s="7">
        <v>43174.0</v>
      </c>
      <c r="G278" s="3" t="s">
        <v>194</v>
      </c>
      <c r="H278" s="7">
        <v>45094.0</v>
      </c>
      <c r="I278" s="3" t="s">
        <v>568</v>
      </c>
    </row>
    <row r="279" ht="15.75" customHeight="1">
      <c r="A279" s="6" t="s">
        <v>3087</v>
      </c>
      <c r="B279" s="6" t="s">
        <v>2955</v>
      </c>
      <c r="C279" s="3" t="s">
        <v>77</v>
      </c>
      <c r="D279" s="3">
        <v>800000.0</v>
      </c>
      <c r="E279" s="8">
        <v>124479.79</v>
      </c>
      <c r="F279" s="7">
        <v>43050.0</v>
      </c>
      <c r="G279" s="3" t="s">
        <v>194</v>
      </c>
      <c r="H279" s="7">
        <v>46330.0</v>
      </c>
      <c r="I279" s="3" t="s">
        <v>568</v>
      </c>
    </row>
    <row r="280" ht="15.75" customHeight="1">
      <c r="A280" s="6" t="s">
        <v>3093</v>
      </c>
      <c r="B280" s="6" t="s">
        <v>3094</v>
      </c>
      <c r="C280" s="3" t="s">
        <v>141</v>
      </c>
      <c r="D280" s="3">
        <v>300000.0</v>
      </c>
      <c r="E280" s="8">
        <v>69020.05</v>
      </c>
      <c r="F280" s="7">
        <v>45828.0</v>
      </c>
      <c r="G280" s="3" t="s">
        <v>4</v>
      </c>
      <c r="H280" s="7">
        <v>45042.0</v>
      </c>
      <c r="I280" s="3" t="s">
        <v>568</v>
      </c>
    </row>
    <row r="281" ht="15.75" customHeight="1">
      <c r="A281" s="6" t="s">
        <v>3098</v>
      </c>
      <c r="B281" s="6" t="s">
        <v>1320</v>
      </c>
      <c r="C281" s="3" t="s">
        <v>162</v>
      </c>
      <c r="D281" s="3">
        <v>500000.0</v>
      </c>
      <c r="E281" s="8">
        <v>497140.17</v>
      </c>
      <c r="F281" s="7">
        <v>45141.0</v>
      </c>
      <c r="G281" s="3" t="s">
        <v>4</v>
      </c>
      <c r="H281" s="3"/>
      <c r="I281" s="3" t="s">
        <v>806</v>
      </c>
    </row>
    <row r="282" ht="15.75" customHeight="1">
      <c r="A282" s="6" t="s">
        <v>3103</v>
      </c>
      <c r="B282" s="6" t="s">
        <v>2532</v>
      </c>
      <c r="C282" s="3" t="s">
        <v>99</v>
      </c>
      <c r="D282" s="3">
        <v>75000.0</v>
      </c>
      <c r="E282" s="8">
        <v>27456.06</v>
      </c>
      <c r="F282" s="7">
        <v>43033.0</v>
      </c>
      <c r="G282" s="3" t="s">
        <v>4</v>
      </c>
      <c r="H282" s="7">
        <v>45548.0</v>
      </c>
      <c r="I282" s="3" t="s">
        <v>568</v>
      </c>
    </row>
    <row r="283" ht="15.75" customHeight="1">
      <c r="A283" s="6" t="s">
        <v>3112</v>
      </c>
      <c r="B283" s="6" t="s">
        <v>3113</v>
      </c>
      <c r="C283" s="3" t="s">
        <v>124</v>
      </c>
      <c r="D283" s="3">
        <v>150000.0</v>
      </c>
      <c r="E283" s="8">
        <v>113090.55</v>
      </c>
      <c r="F283" s="7">
        <v>43162.0</v>
      </c>
      <c r="G283" s="3" t="s">
        <v>4</v>
      </c>
      <c r="H283" s="7">
        <v>45986.0</v>
      </c>
      <c r="I283" s="3" t="s">
        <v>568</v>
      </c>
    </row>
    <row r="284" ht="15.75" customHeight="1">
      <c r="A284" s="6" t="s">
        <v>3118</v>
      </c>
      <c r="B284" s="6" t="s">
        <v>3119</v>
      </c>
      <c r="C284" s="3" t="s">
        <v>141</v>
      </c>
      <c r="D284" s="3">
        <v>300000.0</v>
      </c>
      <c r="E284" s="8">
        <v>261968.61</v>
      </c>
      <c r="F284" s="7">
        <v>46007.0</v>
      </c>
      <c r="G284" s="3" t="s">
        <v>5</v>
      </c>
      <c r="H284" s="7">
        <v>45785.0</v>
      </c>
      <c r="I284" s="3" t="s">
        <v>568</v>
      </c>
    </row>
    <row r="285" ht="15.75" customHeight="1">
      <c r="A285" s="6" t="s">
        <v>3129</v>
      </c>
      <c r="B285" s="6" t="s">
        <v>350</v>
      </c>
      <c r="C285" s="3" t="s">
        <v>162</v>
      </c>
      <c r="D285" s="3">
        <v>500000.0</v>
      </c>
      <c r="E285" s="8">
        <v>253252.8</v>
      </c>
      <c r="F285" s="7">
        <v>42309.0</v>
      </c>
      <c r="G285" s="3" t="s">
        <v>4</v>
      </c>
      <c r="H285" s="7">
        <v>45847.0</v>
      </c>
      <c r="I285" s="3" t="s">
        <v>568</v>
      </c>
    </row>
    <row r="286" ht="15.75" customHeight="1">
      <c r="A286" s="6" t="s">
        <v>3137</v>
      </c>
      <c r="B286" s="6" t="s">
        <v>3138</v>
      </c>
      <c r="C286" s="3" t="s">
        <v>141</v>
      </c>
      <c r="D286" s="3">
        <v>300000.0</v>
      </c>
      <c r="E286" s="8">
        <v>44982.83</v>
      </c>
      <c r="F286" s="7">
        <v>44516.0</v>
      </c>
      <c r="G286" s="3" t="s">
        <v>4</v>
      </c>
      <c r="H286" s="7">
        <v>46244.0</v>
      </c>
      <c r="I286" s="3" t="s">
        <v>568</v>
      </c>
    </row>
    <row r="287" ht="15.75" customHeight="1">
      <c r="A287" s="6" t="s">
        <v>3147</v>
      </c>
      <c r="B287" s="6" t="s">
        <v>968</v>
      </c>
      <c r="C287" s="3" t="s">
        <v>124</v>
      </c>
      <c r="D287" s="3">
        <v>150000.0</v>
      </c>
      <c r="E287" s="8">
        <v>122977.39</v>
      </c>
      <c r="F287" s="7">
        <v>42714.0</v>
      </c>
      <c r="G287" s="3" t="s">
        <v>4</v>
      </c>
      <c r="H287" s="7">
        <v>45069.0</v>
      </c>
      <c r="I287" s="3" t="s">
        <v>568</v>
      </c>
    </row>
    <row r="288" ht="15.75" customHeight="1">
      <c r="A288" s="6" t="s">
        <v>3153</v>
      </c>
      <c r="B288" s="6" t="s">
        <v>3154</v>
      </c>
      <c r="C288" s="3" t="s">
        <v>162</v>
      </c>
      <c r="D288" s="3">
        <v>500000.0</v>
      </c>
      <c r="E288" s="8">
        <v>308300.85</v>
      </c>
      <c r="F288" s="7">
        <v>45161.0</v>
      </c>
      <c r="G288" s="3" t="s">
        <v>4</v>
      </c>
      <c r="H288" s="7">
        <v>45090.0</v>
      </c>
      <c r="I288" s="3" t="s">
        <v>568</v>
      </c>
    </row>
    <row r="289" ht="15.75" customHeight="1">
      <c r="A289" s="6" t="s">
        <v>3159</v>
      </c>
      <c r="B289" s="6" t="s">
        <v>453</v>
      </c>
      <c r="C289" s="3" t="s">
        <v>162</v>
      </c>
      <c r="D289" s="3">
        <v>500000.0</v>
      </c>
      <c r="E289" s="8">
        <v>31173.12</v>
      </c>
      <c r="F289" s="7">
        <v>43183.0</v>
      </c>
      <c r="G289" s="3" t="s">
        <v>4</v>
      </c>
      <c r="H289" s="7">
        <v>45732.0</v>
      </c>
      <c r="I289" s="3" t="s">
        <v>568</v>
      </c>
    </row>
    <row r="290" ht="15.75" customHeight="1">
      <c r="A290" s="6" t="s">
        <v>3168</v>
      </c>
      <c r="B290" s="6" t="s">
        <v>3170</v>
      </c>
      <c r="C290" s="3" t="s">
        <v>77</v>
      </c>
      <c r="D290" s="3">
        <v>800000.0</v>
      </c>
      <c r="E290" s="8">
        <v>20189.68</v>
      </c>
      <c r="F290" s="7">
        <v>43937.0</v>
      </c>
      <c r="G290" s="3" t="s">
        <v>4</v>
      </c>
      <c r="H290" s="7">
        <v>45004.0</v>
      </c>
      <c r="I290" s="3" t="s">
        <v>568</v>
      </c>
    </row>
    <row r="291" ht="15.75" customHeight="1">
      <c r="A291" s="6" t="s">
        <v>3174</v>
      </c>
      <c r="B291" s="6" t="s">
        <v>3176</v>
      </c>
      <c r="C291" s="3" t="s">
        <v>77</v>
      </c>
      <c r="D291" s="3">
        <v>800000.0</v>
      </c>
      <c r="E291" s="8">
        <v>242252.81</v>
      </c>
      <c r="F291" s="7">
        <v>43826.0</v>
      </c>
      <c r="G291" s="3" t="s">
        <v>4</v>
      </c>
      <c r="H291" s="7">
        <v>46104.0</v>
      </c>
      <c r="I291" s="3" t="s">
        <v>568</v>
      </c>
    </row>
    <row r="292" ht="15.75" customHeight="1">
      <c r="A292" s="6" t="s">
        <v>3183</v>
      </c>
      <c r="B292" s="6" t="s">
        <v>3184</v>
      </c>
      <c r="C292" s="3" t="s">
        <v>124</v>
      </c>
      <c r="D292" s="3">
        <v>150000.0</v>
      </c>
      <c r="E292" s="8">
        <v>156292.86</v>
      </c>
      <c r="F292" s="7">
        <v>42484.0</v>
      </c>
      <c r="G292" s="3" t="s">
        <v>4</v>
      </c>
      <c r="H292" s="7">
        <v>46171.0</v>
      </c>
      <c r="I292" s="3" t="s">
        <v>568</v>
      </c>
    </row>
    <row r="293" ht="15.75" customHeight="1">
      <c r="A293" s="6" t="s">
        <v>3188</v>
      </c>
      <c r="B293" s="6" t="s">
        <v>2549</v>
      </c>
      <c r="C293" s="3" t="s">
        <v>162</v>
      </c>
      <c r="D293" s="3">
        <v>500000.0</v>
      </c>
      <c r="E293" s="8">
        <v>64410.38</v>
      </c>
      <c r="F293" s="7">
        <v>45341.0</v>
      </c>
      <c r="G293" s="3" t="s">
        <v>5</v>
      </c>
      <c r="H293" s="7">
        <v>45485.0</v>
      </c>
      <c r="I293" s="3" t="s">
        <v>568</v>
      </c>
    </row>
    <row r="294" ht="15.75" customHeight="1">
      <c r="A294" s="6" t="s">
        <v>3197</v>
      </c>
      <c r="B294" s="6" t="s">
        <v>2442</v>
      </c>
      <c r="C294" s="3" t="s">
        <v>99</v>
      </c>
      <c r="D294" s="3">
        <v>75000.0</v>
      </c>
      <c r="E294" s="8">
        <v>28990.44</v>
      </c>
      <c r="F294" s="7">
        <v>44279.0</v>
      </c>
      <c r="G294" s="3" t="s">
        <v>4</v>
      </c>
      <c r="H294" s="7">
        <v>45633.0</v>
      </c>
      <c r="I294" s="3" t="s">
        <v>568</v>
      </c>
    </row>
    <row r="295" ht="15.75" customHeight="1">
      <c r="A295" s="6" t="s">
        <v>3200</v>
      </c>
      <c r="B295" s="6" t="s">
        <v>2824</v>
      </c>
      <c r="C295" s="3" t="s">
        <v>141</v>
      </c>
      <c r="D295" s="3">
        <v>300000.0</v>
      </c>
      <c r="E295" s="8">
        <v>203875.03</v>
      </c>
      <c r="F295" s="7">
        <v>43332.0</v>
      </c>
      <c r="G295" s="3" t="s">
        <v>4</v>
      </c>
      <c r="H295" s="7">
        <v>45231.0</v>
      </c>
      <c r="I295" s="3" t="s">
        <v>568</v>
      </c>
    </row>
    <row r="296" ht="15.75" customHeight="1">
      <c r="A296" s="6" t="s">
        <v>3205</v>
      </c>
      <c r="B296" s="6" t="s">
        <v>3207</v>
      </c>
      <c r="C296" s="3" t="s">
        <v>124</v>
      </c>
      <c r="D296" s="3">
        <v>150000.0</v>
      </c>
      <c r="E296" s="8">
        <v>81556.03</v>
      </c>
      <c r="F296" s="7">
        <v>45415.0</v>
      </c>
      <c r="G296" s="3" t="s">
        <v>4</v>
      </c>
      <c r="H296" s="7">
        <v>46165.0</v>
      </c>
      <c r="I296" s="3" t="s">
        <v>568</v>
      </c>
    </row>
    <row r="297" ht="15.75" customHeight="1">
      <c r="A297" s="6" t="s">
        <v>3212</v>
      </c>
      <c r="B297" s="6" t="s">
        <v>3213</v>
      </c>
      <c r="C297" s="3" t="s">
        <v>77</v>
      </c>
      <c r="D297" s="3">
        <v>800000.0</v>
      </c>
      <c r="E297" s="8">
        <v>528631.32</v>
      </c>
      <c r="F297" s="7">
        <v>45698.0</v>
      </c>
      <c r="G297" s="3" t="s">
        <v>4</v>
      </c>
      <c r="H297" s="7">
        <v>45077.0</v>
      </c>
      <c r="I297" s="3" t="s">
        <v>568</v>
      </c>
    </row>
    <row r="298" ht="15.75" customHeight="1">
      <c r="A298" s="6" t="s">
        <v>3218</v>
      </c>
      <c r="B298" s="6" t="s">
        <v>3221</v>
      </c>
      <c r="C298" s="3" t="s">
        <v>162</v>
      </c>
      <c r="D298" s="3">
        <v>500000.0</v>
      </c>
      <c r="E298" s="8">
        <v>122541.36</v>
      </c>
      <c r="F298" s="7">
        <v>42787.0</v>
      </c>
      <c r="G298" s="3" t="s">
        <v>4</v>
      </c>
      <c r="H298" s="7">
        <v>45167.0</v>
      </c>
      <c r="I298" s="3" t="s">
        <v>568</v>
      </c>
    </row>
    <row r="299" ht="15.75" customHeight="1">
      <c r="A299" s="6" t="s">
        <v>3228</v>
      </c>
      <c r="B299" s="6" t="s">
        <v>3071</v>
      </c>
      <c r="C299" s="3" t="s">
        <v>124</v>
      </c>
      <c r="D299" s="3">
        <v>150000.0</v>
      </c>
      <c r="E299" s="8">
        <v>108170.21</v>
      </c>
      <c r="F299" s="7">
        <v>42043.0</v>
      </c>
      <c r="G299" s="3" t="s">
        <v>4</v>
      </c>
      <c r="H299" s="7">
        <v>45512.0</v>
      </c>
      <c r="I299" s="3" t="s">
        <v>568</v>
      </c>
    </row>
    <row r="300" ht="15.75" customHeight="1">
      <c r="A300" s="6" t="s">
        <v>3232</v>
      </c>
      <c r="B300" s="6" t="s">
        <v>3234</v>
      </c>
      <c r="C300" s="3" t="s">
        <v>141</v>
      </c>
      <c r="D300" s="3">
        <v>300000.0</v>
      </c>
      <c r="E300" s="8">
        <v>151236.16</v>
      </c>
      <c r="F300" s="7">
        <v>45237.0</v>
      </c>
      <c r="G300" s="3" t="s">
        <v>194</v>
      </c>
      <c r="H300" s="7">
        <v>46096.0</v>
      </c>
      <c r="I300" s="3" t="s">
        <v>568</v>
      </c>
    </row>
    <row r="301" ht="15.75" customHeight="1">
      <c r="A301" s="6" t="s">
        <v>3240</v>
      </c>
      <c r="B301" s="6" t="s">
        <v>3242</v>
      </c>
      <c r="C301" s="3" t="s">
        <v>99</v>
      </c>
      <c r="D301" s="3">
        <v>75000.0</v>
      </c>
      <c r="E301" s="8">
        <v>21980.13</v>
      </c>
      <c r="F301" s="7">
        <v>44491.0</v>
      </c>
      <c r="G301" s="3" t="s">
        <v>4</v>
      </c>
      <c r="H301" s="3"/>
      <c r="I301" s="3" t="s">
        <v>806</v>
      </c>
    </row>
    <row r="302" ht="15.75" customHeight="1">
      <c r="A302" s="6" t="s">
        <v>3245</v>
      </c>
      <c r="B302" s="6" t="s">
        <v>3246</v>
      </c>
      <c r="C302" s="3" t="s">
        <v>99</v>
      </c>
      <c r="D302" s="3">
        <v>75000.0</v>
      </c>
      <c r="E302" s="8">
        <v>57597.6</v>
      </c>
      <c r="F302" s="7">
        <v>43949.0</v>
      </c>
      <c r="G302" s="3" t="s">
        <v>4</v>
      </c>
      <c r="H302" s="7">
        <v>45755.0</v>
      </c>
      <c r="I302" s="3" t="s">
        <v>568</v>
      </c>
    </row>
    <row r="303" ht="15.75" customHeight="1">
      <c r="A303" s="6" t="s">
        <v>3249</v>
      </c>
      <c r="B303" s="6" t="s">
        <v>3252</v>
      </c>
      <c r="C303" s="3" t="s">
        <v>77</v>
      </c>
      <c r="D303" s="3">
        <v>800000.0</v>
      </c>
      <c r="E303" s="8">
        <v>281313.34</v>
      </c>
      <c r="F303" s="7">
        <v>44528.0</v>
      </c>
      <c r="G303" s="3" t="s">
        <v>4</v>
      </c>
      <c r="H303" s="7">
        <v>45034.0</v>
      </c>
      <c r="I303" s="3" t="s">
        <v>568</v>
      </c>
    </row>
    <row r="304" ht="15.75" customHeight="1">
      <c r="A304" s="6" t="s">
        <v>3258</v>
      </c>
      <c r="B304" s="6" t="s">
        <v>1880</v>
      </c>
      <c r="C304" s="3" t="s">
        <v>141</v>
      </c>
      <c r="D304" s="3">
        <v>300000.0</v>
      </c>
      <c r="E304" s="8">
        <v>89013.47</v>
      </c>
      <c r="F304" s="7">
        <v>42864.0</v>
      </c>
      <c r="G304" s="3" t="s">
        <v>4</v>
      </c>
      <c r="H304" s="7">
        <v>45582.0</v>
      </c>
      <c r="I304" s="3" t="s">
        <v>568</v>
      </c>
    </row>
    <row r="305" ht="15.75" customHeight="1">
      <c r="A305" s="6" t="s">
        <v>3263</v>
      </c>
      <c r="B305" s="6" t="s">
        <v>3264</v>
      </c>
      <c r="C305" s="3" t="s">
        <v>162</v>
      </c>
      <c r="D305" s="3">
        <v>500000.0</v>
      </c>
      <c r="E305" s="8">
        <v>223480.96</v>
      </c>
      <c r="F305" s="7">
        <v>42360.0</v>
      </c>
      <c r="G305" s="3" t="s">
        <v>4</v>
      </c>
      <c r="H305" s="7">
        <v>45711.0</v>
      </c>
      <c r="I305" s="3" t="s">
        <v>568</v>
      </c>
    </row>
    <row r="306" ht="15.75" customHeight="1">
      <c r="A306" s="6" t="s">
        <v>3268</v>
      </c>
      <c r="B306" s="6" t="s">
        <v>332</v>
      </c>
      <c r="C306" s="3" t="s">
        <v>124</v>
      </c>
      <c r="D306" s="3">
        <v>150000.0</v>
      </c>
      <c r="E306" s="8">
        <v>61707.61</v>
      </c>
      <c r="F306" s="7">
        <v>43169.0</v>
      </c>
      <c r="G306" s="3" t="s">
        <v>4</v>
      </c>
      <c r="H306" s="7">
        <v>45367.0</v>
      </c>
      <c r="I306" s="3" t="s">
        <v>568</v>
      </c>
    </row>
    <row r="307" ht="15.75" customHeight="1">
      <c r="A307" s="6" t="s">
        <v>3272</v>
      </c>
      <c r="B307" s="6" t="s">
        <v>174</v>
      </c>
      <c r="C307" s="3" t="s">
        <v>162</v>
      </c>
      <c r="D307" s="3">
        <v>500000.0</v>
      </c>
      <c r="E307" s="8">
        <v>147415.75</v>
      </c>
      <c r="F307" s="7">
        <v>44067.0</v>
      </c>
      <c r="G307" s="3" t="s">
        <v>194</v>
      </c>
      <c r="H307" s="3"/>
      <c r="I307" s="3" t="s">
        <v>806</v>
      </c>
    </row>
    <row r="308" ht="15.75" customHeight="1">
      <c r="A308" s="6" t="s">
        <v>3283</v>
      </c>
      <c r="B308" s="6" t="s">
        <v>1462</v>
      </c>
      <c r="C308" s="3" t="s">
        <v>141</v>
      </c>
      <c r="D308" s="3">
        <v>300000.0</v>
      </c>
      <c r="E308" s="8">
        <v>83643.61</v>
      </c>
      <c r="F308" s="7">
        <v>42311.0</v>
      </c>
      <c r="G308" s="3" t="s">
        <v>4</v>
      </c>
      <c r="H308" s="7">
        <v>46006.0</v>
      </c>
      <c r="I308" s="3" t="s">
        <v>568</v>
      </c>
    </row>
    <row r="309" ht="15.75" customHeight="1">
      <c r="A309" s="6" t="s">
        <v>3287</v>
      </c>
      <c r="B309" s="6" t="s">
        <v>760</v>
      </c>
      <c r="C309" s="3" t="s">
        <v>124</v>
      </c>
      <c r="D309" s="3">
        <v>150000.0</v>
      </c>
      <c r="E309" s="8">
        <v>49768.51</v>
      </c>
      <c r="F309" s="7">
        <v>44949.0</v>
      </c>
      <c r="G309" s="3" t="s">
        <v>4</v>
      </c>
      <c r="H309" s="7">
        <v>45646.0</v>
      </c>
      <c r="I309" s="3" t="s">
        <v>568</v>
      </c>
    </row>
    <row r="310" ht="15.75" customHeight="1">
      <c r="A310" s="6" t="s">
        <v>3293</v>
      </c>
      <c r="B310" s="6" t="s">
        <v>788</v>
      </c>
      <c r="C310" s="3" t="s">
        <v>124</v>
      </c>
      <c r="D310" s="3">
        <v>150000.0</v>
      </c>
      <c r="E310" s="8">
        <v>61802.12</v>
      </c>
      <c r="F310" s="7">
        <v>43009.0</v>
      </c>
      <c r="G310" s="3" t="s">
        <v>4</v>
      </c>
      <c r="H310" s="7">
        <v>45712.0</v>
      </c>
      <c r="I310" s="3" t="s">
        <v>568</v>
      </c>
    </row>
    <row r="311" ht="15.75" customHeight="1">
      <c r="A311" s="6" t="s">
        <v>3302</v>
      </c>
      <c r="B311" s="6" t="s">
        <v>579</v>
      </c>
      <c r="C311" s="3" t="s">
        <v>162</v>
      </c>
      <c r="D311" s="3">
        <v>500000.0</v>
      </c>
      <c r="E311" s="8">
        <v>251354.12</v>
      </c>
      <c r="F311" s="7">
        <v>44314.0</v>
      </c>
      <c r="G311" s="3" t="s">
        <v>4</v>
      </c>
      <c r="H311" s="7">
        <v>45354.0</v>
      </c>
      <c r="I311" s="3" t="s">
        <v>568</v>
      </c>
    </row>
    <row r="312" ht="15.75" customHeight="1">
      <c r="A312" s="6" t="s">
        <v>3307</v>
      </c>
      <c r="B312" s="6" t="s">
        <v>3310</v>
      </c>
      <c r="C312" s="3" t="s">
        <v>99</v>
      </c>
      <c r="D312" s="3">
        <v>75000.0</v>
      </c>
      <c r="E312" s="8">
        <v>71928.7</v>
      </c>
      <c r="F312" s="7">
        <v>42888.0</v>
      </c>
      <c r="G312" s="3" t="s">
        <v>4</v>
      </c>
      <c r="H312" s="3"/>
      <c r="I312" s="3" t="s">
        <v>806</v>
      </c>
    </row>
    <row r="313" ht="15.75" customHeight="1">
      <c r="A313" s="6" t="s">
        <v>3316</v>
      </c>
      <c r="B313" s="6" t="s">
        <v>2567</v>
      </c>
      <c r="C313" s="3" t="s">
        <v>77</v>
      </c>
      <c r="D313" s="3">
        <v>800000.0</v>
      </c>
      <c r="E313" s="8">
        <v>531145.31</v>
      </c>
      <c r="F313" s="7">
        <v>43446.0</v>
      </c>
      <c r="G313" s="3" t="s">
        <v>194</v>
      </c>
      <c r="H313" s="7">
        <v>45752.0</v>
      </c>
      <c r="I313" s="3" t="s">
        <v>568</v>
      </c>
    </row>
    <row r="314" ht="15.75" customHeight="1">
      <c r="A314" s="6" t="s">
        <v>3319</v>
      </c>
      <c r="B314" s="6" t="s">
        <v>2034</v>
      </c>
      <c r="C314" s="3" t="s">
        <v>141</v>
      </c>
      <c r="D314" s="3">
        <v>300000.0</v>
      </c>
      <c r="E314" s="8">
        <v>1487.98</v>
      </c>
      <c r="F314" s="7">
        <v>43762.0</v>
      </c>
      <c r="G314" s="3" t="s">
        <v>4</v>
      </c>
      <c r="H314" s="7">
        <v>46278.0</v>
      </c>
      <c r="I314" s="3" t="s">
        <v>568</v>
      </c>
    </row>
    <row r="315" ht="15.75" customHeight="1">
      <c r="A315" s="6" t="s">
        <v>3326</v>
      </c>
      <c r="B315" s="6" t="s">
        <v>667</v>
      </c>
      <c r="C315" s="3" t="s">
        <v>77</v>
      </c>
      <c r="D315" s="3">
        <v>800000.0</v>
      </c>
      <c r="E315" s="8">
        <v>49883.08</v>
      </c>
      <c r="F315" s="7">
        <v>42993.0</v>
      </c>
      <c r="G315" s="3" t="s">
        <v>5</v>
      </c>
      <c r="H315" s="7">
        <v>45145.0</v>
      </c>
      <c r="I315" s="3" t="s">
        <v>568</v>
      </c>
    </row>
    <row r="316" ht="15.75" customHeight="1">
      <c r="A316" s="6" t="s">
        <v>3334</v>
      </c>
      <c r="B316" s="6" t="s">
        <v>3053</v>
      </c>
      <c r="C316" s="3" t="s">
        <v>77</v>
      </c>
      <c r="D316" s="3">
        <v>800000.0</v>
      </c>
      <c r="E316" s="8">
        <v>152656.12</v>
      </c>
      <c r="F316" s="7">
        <v>42445.0</v>
      </c>
      <c r="G316" s="3" t="s">
        <v>4</v>
      </c>
      <c r="H316" s="7">
        <v>46003.0</v>
      </c>
      <c r="I316" s="3" t="s">
        <v>568</v>
      </c>
    </row>
    <row r="317" ht="15.75" customHeight="1">
      <c r="A317" s="6" t="s">
        <v>3339</v>
      </c>
      <c r="B317" s="6" t="s">
        <v>558</v>
      </c>
      <c r="C317" s="3" t="s">
        <v>124</v>
      </c>
      <c r="D317" s="3">
        <v>150000.0</v>
      </c>
      <c r="E317" s="8">
        <v>18428.38</v>
      </c>
      <c r="F317" s="7">
        <v>43434.0</v>
      </c>
      <c r="G317" s="3" t="s">
        <v>4</v>
      </c>
      <c r="H317" s="7">
        <v>45974.0</v>
      </c>
      <c r="I317" s="3" t="s">
        <v>568</v>
      </c>
    </row>
    <row r="318" ht="15.75" customHeight="1">
      <c r="A318" s="6" t="s">
        <v>3348</v>
      </c>
      <c r="B318" s="6" t="s">
        <v>3349</v>
      </c>
      <c r="C318" s="3" t="s">
        <v>141</v>
      </c>
      <c r="D318" s="3">
        <v>300000.0</v>
      </c>
      <c r="E318" s="8">
        <v>145791.88</v>
      </c>
      <c r="F318" s="7">
        <v>44138.0</v>
      </c>
      <c r="G318" s="3" t="s">
        <v>4</v>
      </c>
      <c r="H318" s="7">
        <v>45571.0</v>
      </c>
      <c r="I318" s="3" t="s">
        <v>568</v>
      </c>
    </row>
    <row r="319" ht="15.75" customHeight="1">
      <c r="A319" s="6" t="s">
        <v>3355</v>
      </c>
      <c r="B319" s="6" t="s">
        <v>304</v>
      </c>
      <c r="C319" s="3" t="s">
        <v>77</v>
      </c>
      <c r="D319" s="3">
        <v>800000.0</v>
      </c>
      <c r="E319" s="8">
        <v>9381.76</v>
      </c>
      <c r="F319" s="7">
        <v>44603.0</v>
      </c>
      <c r="G319" s="3" t="s">
        <v>5</v>
      </c>
      <c r="H319" s="3"/>
      <c r="I319" s="3" t="s">
        <v>806</v>
      </c>
    </row>
    <row r="320" ht="15.75" customHeight="1">
      <c r="A320" s="6" t="s">
        <v>3360</v>
      </c>
      <c r="B320" s="6" t="s">
        <v>1715</v>
      </c>
      <c r="C320" s="3" t="s">
        <v>162</v>
      </c>
      <c r="D320" s="3">
        <v>500000.0</v>
      </c>
      <c r="E320" s="8">
        <v>18644.64</v>
      </c>
      <c r="F320" s="7">
        <v>44134.0</v>
      </c>
      <c r="G320" s="3" t="s">
        <v>194</v>
      </c>
      <c r="H320" s="7">
        <v>45229.0</v>
      </c>
      <c r="I320" s="3" t="s">
        <v>568</v>
      </c>
    </row>
    <row r="321" ht="15.75" customHeight="1">
      <c r="A321" s="6" t="s">
        <v>3368</v>
      </c>
      <c r="B321" s="6" t="s">
        <v>573</v>
      </c>
      <c r="C321" s="3" t="s">
        <v>77</v>
      </c>
      <c r="D321" s="3">
        <v>800000.0</v>
      </c>
      <c r="E321" s="8">
        <v>529974.9</v>
      </c>
      <c r="F321" s="7">
        <v>42986.0</v>
      </c>
      <c r="G321" s="3" t="s">
        <v>4</v>
      </c>
      <c r="H321" s="7">
        <v>45575.0</v>
      </c>
      <c r="I321" s="3" t="s">
        <v>568</v>
      </c>
    </row>
    <row r="322" ht="15.75" customHeight="1">
      <c r="A322" s="6" t="s">
        <v>3373</v>
      </c>
      <c r="B322" s="6" t="s">
        <v>3375</v>
      </c>
      <c r="C322" s="3" t="s">
        <v>162</v>
      </c>
      <c r="D322" s="3">
        <v>500000.0</v>
      </c>
      <c r="E322" s="8">
        <v>515380.51</v>
      </c>
      <c r="F322" s="7">
        <v>42157.0</v>
      </c>
      <c r="G322" s="3" t="s">
        <v>4</v>
      </c>
      <c r="H322" s="7">
        <v>46233.0</v>
      </c>
      <c r="I322" s="3" t="s">
        <v>568</v>
      </c>
    </row>
    <row r="323" ht="15.75" customHeight="1">
      <c r="A323" s="6" t="s">
        <v>3379</v>
      </c>
      <c r="B323" s="6" t="s">
        <v>1121</v>
      </c>
      <c r="C323" s="3" t="s">
        <v>99</v>
      </c>
      <c r="D323" s="3">
        <v>75000.0</v>
      </c>
      <c r="E323" s="8">
        <v>51241.31</v>
      </c>
      <c r="F323" s="7">
        <v>45500.0</v>
      </c>
      <c r="G323" s="3" t="s">
        <v>5</v>
      </c>
      <c r="H323" s="7">
        <v>45050.0</v>
      </c>
      <c r="I323" s="3" t="s">
        <v>568</v>
      </c>
    </row>
    <row r="324" ht="15.75" customHeight="1">
      <c r="A324" s="6" t="s">
        <v>3387</v>
      </c>
      <c r="B324" s="6" t="s">
        <v>3363</v>
      </c>
      <c r="C324" s="3" t="s">
        <v>77</v>
      </c>
      <c r="D324" s="3">
        <v>800000.0</v>
      </c>
      <c r="E324" s="8">
        <v>337202.29</v>
      </c>
      <c r="F324" s="7">
        <v>45630.0</v>
      </c>
      <c r="G324" s="3" t="s">
        <v>194</v>
      </c>
      <c r="H324" s="7">
        <v>45924.0</v>
      </c>
      <c r="I324" s="3" t="s">
        <v>568</v>
      </c>
    </row>
    <row r="325" ht="15.75" customHeight="1">
      <c r="A325" s="6" t="s">
        <v>3392</v>
      </c>
      <c r="B325" s="6" t="s">
        <v>2505</v>
      </c>
      <c r="C325" s="3" t="s">
        <v>77</v>
      </c>
      <c r="D325" s="3">
        <v>800000.0</v>
      </c>
      <c r="E325" s="8">
        <v>767331.92</v>
      </c>
      <c r="F325" s="7">
        <v>42508.0</v>
      </c>
      <c r="G325" s="3" t="s">
        <v>4</v>
      </c>
      <c r="H325" s="7">
        <v>45976.0</v>
      </c>
      <c r="I325" s="3" t="s">
        <v>568</v>
      </c>
    </row>
    <row r="326" ht="15.75" customHeight="1">
      <c r="A326" s="6" t="s">
        <v>3402</v>
      </c>
      <c r="B326" s="6" t="s">
        <v>2210</v>
      </c>
      <c r="C326" s="3" t="s">
        <v>77</v>
      </c>
      <c r="D326" s="3">
        <v>800000.0</v>
      </c>
      <c r="E326" s="8">
        <v>177161.63</v>
      </c>
      <c r="F326" s="7">
        <v>42011.0</v>
      </c>
      <c r="G326" s="3" t="s">
        <v>4</v>
      </c>
      <c r="H326" s="7">
        <v>45797.0</v>
      </c>
      <c r="I326" s="3" t="s">
        <v>568</v>
      </c>
    </row>
    <row r="327" ht="15.75" customHeight="1">
      <c r="A327" s="6" t="s">
        <v>3408</v>
      </c>
      <c r="B327" s="6" t="s">
        <v>3409</v>
      </c>
      <c r="C327" s="3" t="s">
        <v>124</v>
      </c>
      <c r="D327" s="3">
        <v>150000.0</v>
      </c>
      <c r="E327" s="8">
        <v>97216.18</v>
      </c>
      <c r="F327" s="7">
        <v>44312.0</v>
      </c>
      <c r="G327" s="3" t="s">
        <v>4</v>
      </c>
      <c r="H327" s="7">
        <v>45651.0</v>
      </c>
      <c r="I327" s="3" t="s">
        <v>568</v>
      </c>
    </row>
    <row r="328" ht="15.75" customHeight="1">
      <c r="A328" s="6" t="s">
        <v>3414</v>
      </c>
      <c r="B328" s="6" t="s">
        <v>3416</v>
      </c>
      <c r="C328" s="3" t="s">
        <v>141</v>
      </c>
      <c r="D328" s="3">
        <v>300000.0</v>
      </c>
      <c r="E328" s="8">
        <v>157934.46</v>
      </c>
      <c r="F328" s="7">
        <v>45124.0</v>
      </c>
      <c r="G328" s="3" t="s">
        <v>4</v>
      </c>
      <c r="H328" s="7">
        <v>46235.0</v>
      </c>
      <c r="I328" s="3" t="s">
        <v>568</v>
      </c>
    </row>
    <row r="329" ht="15.75" customHeight="1">
      <c r="A329" s="6" t="s">
        <v>3422</v>
      </c>
      <c r="B329" s="6" t="s">
        <v>3424</v>
      </c>
      <c r="C329" s="3" t="s">
        <v>162</v>
      </c>
      <c r="D329" s="3">
        <v>500000.0</v>
      </c>
      <c r="E329" s="8">
        <v>393376.84</v>
      </c>
      <c r="F329" s="7">
        <v>45542.0</v>
      </c>
      <c r="G329" s="3" t="s">
        <v>4</v>
      </c>
      <c r="H329" s="7">
        <v>44943.0</v>
      </c>
      <c r="I329" s="3" t="s">
        <v>568</v>
      </c>
    </row>
    <row r="330" ht="15.75" customHeight="1">
      <c r="A330" s="6" t="s">
        <v>3427</v>
      </c>
      <c r="B330" s="6" t="s">
        <v>3428</v>
      </c>
      <c r="C330" s="3" t="s">
        <v>124</v>
      </c>
      <c r="D330" s="3">
        <v>150000.0</v>
      </c>
      <c r="E330" s="8">
        <v>82527.83</v>
      </c>
      <c r="F330" s="7">
        <v>45615.0</v>
      </c>
      <c r="G330" s="3" t="s">
        <v>194</v>
      </c>
      <c r="H330" s="7">
        <v>45454.0</v>
      </c>
      <c r="I330" s="3" t="s">
        <v>568</v>
      </c>
    </row>
    <row r="331" ht="15.75" customHeight="1">
      <c r="A331" s="6" t="s">
        <v>3437</v>
      </c>
      <c r="B331" s="6" t="s">
        <v>3438</v>
      </c>
      <c r="C331" s="3" t="s">
        <v>77</v>
      </c>
      <c r="D331" s="3">
        <v>800000.0</v>
      </c>
      <c r="E331" s="8">
        <v>454338.56</v>
      </c>
      <c r="F331" s="7">
        <v>45488.0</v>
      </c>
      <c r="G331" s="3" t="s">
        <v>4</v>
      </c>
      <c r="H331" s="3"/>
      <c r="I331" s="3" t="s">
        <v>806</v>
      </c>
    </row>
    <row r="332" ht="15.75" customHeight="1">
      <c r="A332" s="6" t="s">
        <v>3444</v>
      </c>
      <c r="B332" s="6" t="s">
        <v>717</v>
      </c>
      <c r="C332" s="3" t="s">
        <v>99</v>
      </c>
      <c r="D332" s="3">
        <v>75000.0</v>
      </c>
      <c r="E332" s="8">
        <v>819.36</v>
      </c>
      <c r="F332" s="7">
        <v>44187.0</v>
      </c>
      <c r="G332" s="3" t="s">
        <v>4</v>
      </c>
      <c r="H332" s="7">
        <v>45316.0</v>
      </c>
      <c r="I332" s="3" t="s">
        <v>568</v>
      </c>
    </row>
    <row r="333" ht="15.75" customHeight="1">
      <c r="A333" s="6" t="s">
        <v>3450</v>
      </c>
      <c r="B333" s="6" t="s">
        <v>3451</v>
      </c>
      <c r="C333" s="3" t="s">
        <v>77</v>
      </c>
      <c r="D333" s="3">
        <v>800000.0</v>
      </c>
      <c r="E333" s="8">
        <v>269482.84</v>
      </c>
      <c r="F333" s="7">
        <v>43206.0</v>
      </c>
      <c r="G333" s="3" t="s">
        <v>194</v>
      </c>
      <c r="H333" s="7">
        <v>45741.0</v>
      </c>
      <c r="I333" s="3" t="s">
        <v>568</v>
      </c>
    </row>
    <row r="334" ht="15.75" customHeight="1">
      <c r="A334" s="6" t="s">
        <v>3457</v>
      </c>
      <c r="B334" s="6" t="s">
        <v>3458</v>
      </c>
      <c r="C334" s="3" t="s">
        <v>141</v>
      </c>
      <c r="D334" s="3">
        <v>300000.0</v>
      </c>
      <c r="E334" s="8">
        <v>288379.99</v>
      </c>
      <c r="F334" s="7">
        <v>45013.0</v>
      </c>
      <c r="G334" s="3" t="s">
        <v>5</v>
      </c>
      <c r="H334" s="7">
        <v>45544.0</v>
      </c>
      <c r="I334" s="3" t="s">
        <v>568</v>
      </c>
    </row>
    <row r="335" ht="15.75" customHeight="1">
      <c r="A335" s="6" t="s">
        <v>3462</v>
      </c>
      <c r="B335" s="6" t="s">
        <v>3465</v>
      </c>
      <c r="C335" s="3" t="s">
        <v>162</v>
      </c>
      <c r="D335" s="3">
        <v>500000.0</v>
      </c>
      <c r="E335" s="8">
        <v>204742.66</v>
      </c>
      <c r="F335" s="7">
        <v>44141.0</v>
      </c>
      <c r="G335" s="3" t="s">
        <v>4</v>
      </c>
      <c r="H335" s="7">
        <v>45778.0</v>
      </c>
      <c r="I335" s="3" t="s">
        <v>568</v>
      </c>
    </row>
    <row r="336" ht="15.75" customHeight="1">
      <c r="A336" s="6" t="s">
        <v>3472</v>
      </c>
      <c r="B336" s="6" t="s">
        <v>3473</v>
      </c>
      <c r="C336" s="3" t="s">
        <v>77</v>
      </c>
      <c r="D336" s="3">
        <v>800000.0</v>
      </c>
      <c r="E336" s="8">
        <v>429655.83</v>
      </c>
      <c r="F336" s="7">
        <v>44784.0</v>
      </c>
      <c r="G336" s="3" t="s">
        <v>4</v>
      </c>
      <c r="H336" s="7">
        <v>46352.0</v>
      </c>
      <c r="I336" s="3" t="s">
        <v>568</v>
      </c>
    </row>
    <row r="337" ht="15.75" customHeight="1">
      <c r="A337" s="6" t="s">
        <v>3482</v>
      </c>
      <c r="B337" s="6" t="s">
        <v>3483</v>
      </c>
      <c r="C337" s="3" t="s">
        <v>141</v>
      </c>
      <c r="D337" s="3">
        <v>300000.0</v>
      </c>
      <c r="E337" s="8">
        <v>47074.75</v>
      </c>
      <c r="F337" s="7">
        <v>43672.0</v>
      </c>
      <c r="G337" s="3" t="s">
        <v>4</v>
      </c>
      <c r="H337" s="7">
        <v>46245.0</v>
      </c>
      <c r="I337" s="3" t="s">
        <v>568</v>
      </c>
    </row>
    <row r="338" ht="15.75" customHeight="1">
      <c r="A338" s="6" t="s">
        <v>3485</v>
      </c>
      <c r="B338" s="6" t="s">
        <v>3486</v>
      </c>
      <c r="C338" s="3" t="s">
        <v>99</v>
      </c>
      <c r="D338" s="3">
        <v>75000.0</v>
      </c>
      <c r="E338" s="8">
        <v>20495.78</v>
      </c>
      <c r="F338" s="7">
        <v>43348.0</v>
      </c>
      <c r="G338" s="3" t="s">
        <v>4</v>
      </c>
      <c r="H338" s="7">
        <v>44970.0</v>
      </c>
      <c r="I338" s="3" t="s">
        <v>568</v>
      </c>
    </row>
    <row r="339" ht="15.75" customHeight="1">
      <c r="A339" s="6" t="s">
        <v>3496</v>
      </c>
      <c r="B339" s="6" t="s">
        <v>1591</v>
      </c>
      <c r="C339" s="3" t="s">
        <v>99</v>
      </c>
      <c r="D339" s="3">
        <v>75000.0</v>
      </c>
      <c r="E339" s="8">
        <v>5430.45</v>
      </c>
      <c r="F339" s="7">
        <v>45778.0</v>
      </c>
      <c r="G339" s="3" t="s">
        <v>5</v>
      </c>
      <c r="H339" s="7">
        <v>46074.0</v>
      </c>
      <c r="I339" s="3" t="s">
        <v>568</v>
      </c>
    </row>
    <row r="340" ht="15.75" customHeight="1">
      <c r="A340" s="6" t="s">
        <v>3501</v>
      </c>
      <c r="B340" s="6" t="s">
        <v>2569</v>
      </c>
      <c r="C340" s="3" t="s">
        <v>77</v>
      </c>
      <c r="D340" s="3">
        <v>800000.0</v>
      </c>
      <c r="E340" s="8">
        <v>66945.43</v>
      </c>
      <c r="F340" s="7">
        <v>44985.0</v>
      </c>
      <c r="G340" s="3" t="s">
        <v>4</v>
      </c>
      <c r="H340" s="7">
        <v>45308.0</v>
      </c>
      <c r="I340" s="3" t="s">
        <v>568</v>
      </c>
    </row>
    <row r="341" ht="15.75" customHeight="1">
      <c r="A341" s="6" t="s">
        <v>3507</v>
      </c>
      <c r="B341" s="6" t="s">
        <v>1069</v>
      </c>
      <c r="C341" s="3" t="s">
        <v>141</v>
      </c>
      <c r="D341" s="3">
        <v>300000.0</v>
      </c>
      <c r="E341" s="8">
        <v>280272.23</v>
      </c>
      <c r="F341" s="7">
        <v>44920.0</v>
      </c>
      <c r="G341" s="3" t="s">
        <v>4</v>
      </c>
      <c r="H341" s="7">
        <v>45565.0</v>
      </c>
      <c r="I341" s="3" t="s">
        <v>568</v>
      </c>
    </row>
    <row r="342" ht="15.75" customHeight="1">
      <c r="A342" s="6" t="s">
        <v>3510</v>
      </c>
      <c r="B342" s="6" t="s">
        <v>1958</v>
      </c>
      <c r="C342" s="3" t="s">
        <v>141</v>
      </c>
      <c r="D342" s="3">
        <v>300000.0</v>
      </c>
      <c r="E342" s="8">
        <v>186129.64</v>
      </c>
      <c r="F342" s="7">
        <v>42650.0</v>
      </c>
      <c r="G342" s="3" t="s">
        <v>4</v>
      </c>
      <c r="H342" s="7">
        <v>46120.0</v>
      </c>
      <c r="I342" s="3" t="s">
        <v>568</v>
      </c>
    </row>
    <row r="343" ht="15.75" customHeight="1">
      <c r="A343" s="6" t="s">
        <v>3515</v>
      </c>
      <c r="B343" s="6" t="s">
        <v>2247</v>
      </c>
      <c r="C343" s="3" t="s">
        <v>124</v>
      </c>
      <c r="D343" s="3">
        <v>150000.0</v>
      </c>
      <c r="E343" s="8">
        <v>92022.99</v>
      </c>
      <c r="F343" s="7">
        <v>45587.0</v>
      </c>
      <c r="G343" s="3" t="s">
        <v>4</v>
      </c>
      <c r="H343" s="7">
        <v>45234.0</v>
      </c>
      <c r="I343" s="3" t="s">
        <v>568</v>
      </c>
    </row>
    <row r="344" ht="15.75" customHeight="1">
      <c r="A344" s="6" t="s">
        <v>3520</v>
      </c>
      <c r="B344" s="6" t="s">
        <v>2161</v>
      </c>
      <c r="C344" s="3" t="s">
        <v>124</v>
      </c>
      <c r="D344" s="3">
        <v>150000.0</v>
      </c>
      <c r="E344" s="8">
        <v>84827.9</v>
      </c>
      <c r="F344" s="7">
        <v>43423.0</v>
      </c>
      <c r="G344" s="3" t="s">
        <v>4</v>
      </c>
      <c r="H344" s="3"/>
      <c r="I344" s="3" t="s">
        <v>806</v>
      </c>
    </row>
    <row r="345" ht="15.75" customHeight="1">
      <c r="A345" s="6" t="s">
        <v>3526</v>
      </c>
      <c r="B345" s="6" t="s">
        <v>2496</v>
      </c>
      <c r="C345" s="3" t="s">
        <v>99</v>
      </c>
      <c r="D345" s="3">
        <v>75000.0</v>
      </c>
      <c r="E345" s="8">
        <v>3123.54</v>
      </c>
      <c r="F345" s="7">
        <v>43382.0</v>
      </c>
      <c r="G345" s="3" t="s">
        <v>4</v>
      </c>
      <c r="H345" s="3"/>
      <c r="I345" s="3" t="s">
        <v>806</v>
      </c>
    </row>
    <row r="346" ht="15.75" customHeight="1">
      <c r="A346" s="6" t="s">
        <v>3530</v>
      </c>
      <c r="B346" s="6" t="s">
        <v>3531</v>
      </c>
      <c r="C346" s="3" t="s">
        <v>124</v>
      </c>
      <c r="D346" s="3">
        <v>150000.0</v>
      </c>
      <c r="E346" s="8">
        <v>28880.08</v>
      </c>
      <c r="F346" s="7">
        <v>43447.0</v>
      </c>
      <c r="G346" s="3" t="s">
        <v>194</v>
      </c>
      <c r="H346" s="3"/>
      <c r="I346" s="3" t="s">
        <v>806</v>
      </c>
    </row>
    <row r="347" ht="15.75" customHeight="1">
      <c r="A347" s="6" t="s">
        <v>3539</v>
      </c>
      <c r="B347" s="6" t="s">
        <v>626</v>
      </c>
      <c r="C347" s="3" t="s">
        <v>141</v>
      </c>
      <c r="D347" s="3">
        <v>300000.0</v>
      </c>
      <c r="E347" s="8">
        <v>90417.07</v>
      </c>
      <c r="F347" s="7">
        <v>45261.0</v>
      </c>
      <c r="G347" s="3" t="s">
        <v>194</v>
      </c>
      <c r="H347" s="7">
        <v>45231.0</v>
      </c>
      <c r="I347" s="3" t="s">
        <v>568</v>
      </c>
    </row>
    <row r="348" ht="15.75" customHeight="1">
      <c r="A348" s="6" t="s">
        <v>3544</v>
      </c>
      <c r="B348" s="6" t="s">
        <v>2996</v>
      </c>
      <c r="C348" s="3" t="s">
        <v>124</v>
      </c>
      <c r="D348" s="3">
        <v>150000.0</v>
      </c>
      <c r="E348" s="8">
        <v>125239.84</v>
      </c>
      <c r="F348" s="7">
        <v>45611.0</v>
      </c>
      <c r="G348" s="3" t="s">
        <v>4</v>
      </c>
      <c r="H348" s="7">
        <v>45959.0</v>
      </c>
      <c r="I348" s="3" t="s">
        <v>568</v>
      </c>
    </row>
    <row r="349" ht="15.75" customHeight="1">
      <c r="A349" s="6" t="s">
        <v>3553</v>
      </c>
      <c r="B349" s="6" t="s">
        <v>3057</v>
      </c>
      <c r="C349" s="3" t="s">
        <v>77</v>
      </c>
      <c r="D349" s="3">
        <v>800000.0</v>
      </c>
      <c r="E349" s="8">
        <v>306129.83</v>
      </c>
      <c r="F349" s="7">
        <v>43339.0</v>
      </c>
      <c r="G349" s="3" t="s">
        <v>5</v>
      </c>
      <c r="H349" s="7">
        <v>45377.0</v>
      </c>
      <c r="I349" s="3" t="s">
        <v>568</v>
      </c>
    </row>
    <row r="350" ht="15.75" customHeight="1">
      <c r="A350" s="6" t="s">
        <v>3560</v>
      </c>
      <c r="B350" s="6" t="s">
        <v>925</v>
      </c>
      <c r="C350" s="3" t="s">
        <v>162</v>
      </c>
      <c r="D350" s="3">
        <v>500000.0</v>
      </c>
      <c r="E350" s="8">
        <v>140474.31</v>
      </c>
      <c r="F350" s="7">
        <v>43637.0</v>
      </c>
      <c r="G350" s="3" t="s">
        <v>4</v>
      </c>
      <c r="H350" s="7">
        <v>45653.0</v>
      </c>
      <c r="I350" s="3" t="s">
        <v>568</v>
      </c>
    </row>
    <row r="351" ht="15.75" customHeight="1">
      <c r="A351" s="6" t="s">
        <v>3563</v>
      </c>
      <c r="B351" s="6" t="s">
        <v>3566</v>
      </c>
      <c r="C351" s="3" t="s">
        <v>124</v>
      </c>
      <c r="D351" s="3">
        <v>150000.0</v>
      </c>
      <c r="E351" s="8">
        <v>154842.39</v>
      </c>
      <c r="F351" s="7">
        <v>45121.0</v>
      </c>
      <c r="G351" s="3" t="s">
        <v>4</v>
      </c>
      <c r="H351" s="7">
        <v>46128.0</v>
      </c>
      <c r="I351" s="3" t="s">
        <v>568</v>
      </c>
    </row>
    <row r="352" ht="15.75" customHeight="1">
      <c r="A352" s="6" t="s">
        <v>3573</v>
      </c>
      <c r="B352" s="6" t="s">
        <v>3215</v>
      </c>
      <c r="C352" s="3" t="s">
        <v>99</v>
      </c>
      <c r="D352" s="3">
        <v>75000.0</v>
      </c>
      <c r="E352" s="8">
        <v>20935.54</v>
      </c>
      <c r="F352" s="7">
        <v>45139.0</v>
      </c>
      <c r="G352" s="3" t="s">
        <v>4</v>
      </c>
      <c r="H352" s="7">
        <v>45575.0</v>
      </c>
      <c r="I352" s="3" t="s">
        <v>568</v>
      </c>
    </row>
    <row r="353" ht="15.75" customHeight="1">
      <c r="A353" s="6" t="s">
        <v>3578</v>
      </c>
      <c r="B353" s="6" t="s">
        <v>3580</v>
      </c>
      <c r="C353" s="3" t="s">
        <v>77</v>
      </c>
      <c r="D353" s="3">
        <v>800000.0</v>
      </c>
      <c r="E353" s="8">
        <v>687506.42</v>
      </c>
      <c r="F353" s="7">
        <v>45293.0</v>
      </c>
      <c r="G353" s="3" t="s">
        <v>5</v>
      </c>
      <c r="H353" s="7">
        <v>45116.0</v>
      </c>
      <c r="I353" s="3" t="s">
        <v>568</v>
      </c>
    </row>
    <row r="354" ht="15.75" customHeight="1">
      <c r="A354" s="6" t="s">
        <v>3586</v>
      </c>
      <c r="B354" s="6" t="s">
        <v>3587</v>
      </c>
      <c r="C354" s="3" t="s">
        <v>124</v>
      </c>
      <c r="D354" s="3">
        <v>150000.0</v>
      </c>
      <c r="E354" s="8">
        <v>149343.14</v>
      </c>
      <c r="F354" s="7">
        <v>42988.0</v>
      </c>
      <c r="G354" s="3" t="s">
        <v>4</v>
      </c>
      <c r="H354" s="7">
        <v>46193.0</v>
      </c>
      <c r="I354" s="3" t="s">
        <v>568</v>
      </c>
    </row>
    <row r="355" ht="15.75" customHeight="1">
      <c r="A355" s="6" t="s">
        <v>3595</v>
      </c>
      <c r="B355" s="6" t="s">
        <v>767</v>
      </c>
      <c r="C355" s="3" t="s">
        <v>77</v>
      </c>
      <c r="D355" s="3">
        <v>800000.0</v>
      </c>
      <c r="E355" s="8">
        <v>503954.95</v>
      </c>
      <c r="F355" s="7">
        <v>42828.0</v>
      </c>
      <c r="G355" s="3" t="s">
        <v>4</v>
      </c>
      <c r="H355" s="7">
        <v>45025.0</v>
      </c>
      <c r="I355" s="3" t="s">
        <v>568</v>
      </c>
    </row>
    <row r="356" ht="15.75" customHeight="1">
      <c r="A356" s="6" t="s">
        <v>3598</v>
      </c>
      <c r="B356" s="6" t="s">
        <v>3600</v>
      </c>
      <c r="C356" s="3" t="s">
        <v>141</v>
      </c>
      <c r="D356" s="3">
        <v>300000.0</v>
      </c>
      <c r="E356" s="8">
        <v>281719.14</v>
      </c>
      <c r="F356" s="7">
        <v>45761.0</v>
      </c>
      <c r="G356" s="3" t="s">
        <v>4</v>
      </c>
      <c r="H356" s="7">
        <v>45885.0</v>
      </c>
      <c r="I356" s="3" t="s">
        <v>568</v>
      </c>
    </row>
    <row r="357" ht="15.75" customHeight="1">
      <c r="A357" s="6" t="s">
        <v>3604</v>
      </c>
      <c r="B357" s="6" t="s">
        <v>3606</v>
      </c>
      <c r="C357" s="3" t="s">
        <v>77</v>
      </c>
      <c r="D357" s="3">
        <v>800000.0</v>
      </c>
      <c r="E357" s="8">
        <v>665681.37</v>
      </c>
      <c r="F357" s="7">
        <v>44182.0</v>
      </c>
      <c r="G357" s="3" t="s">
        <v>4</v>
      </c>
      <c r="H357" s="7">
        <v>45939.0</v>
      </c>
      <c r="I357" s="3" t="s">
        <v>568</v>
      </c>
    </row>
    <row r="358" ht="15.75" customHeight="1">
      <c r="A358" s="6" t="s">
        <v>3613</v>
      </c>
      <c r="B358" s="6" t="s">
        <v>3614</v>
      </c>
      <c r="C358" s="3" t="s">
        <v>77</v>
      </c>
      <c r="D358" s="3">
        <v>800000.0</v>
      </c>
      <c r="E358" s="8">
        <v>715505.89</v>
      </c>
      <c r="F358" s="7">
        <v>44357.0</v>
      </c>
      <c r="G358" s="3" t="s">
        <v>4</v>
      </c>
      <c r="H358" s="7">
        <v>45508.0</v>
      </c>
      <c r="I358" s="3" t="s">
        <v>568</v>
      </c>
    </row>
    <row r="359" ht="15.75" customHeight="1">
      <c r="A359" s="6" t="s">
        <v>3620</v>
      </c>
      <c r="B359" s="6" t="s">
        <v>2068</v>
      </c>
      <c r="C359" s="3" t="s">
        <v>99</v>
      </c>
      <c r="D359" s="3">
        <v>75000.0</v>
      </c>
      <c r="E359" s="8">
        <v>44825.21</v>
      </c>
      <c r="F359" s="7">
        <v>45948.0</v>
      </c>
      <c r="G359" s="3" t="s">
        <v>4</v>
      </c>
      <c r="H359" s="7">
        <v>45585.0</v>
      </c>
      <c r="I359" s="3" t="s">
        <v>568</v>
      </c>
    </row>
    <row r="360" ht="15.75" customHeight="1">
      <c r="A360" s="6" t="s">
        <v>3627</v>
      </c>
      <c r="B360" s="6" t="s">
        <v>1392</v>
      </c>
      <c r="C360" s="3" t="s">
        <v>162</v>
      </c>
      <c r="D360" s="3">
        <v>500000.0</v>
      </c>
      <c r="E360" s="8">
        <v>268017.28</v>
      </c>
      <c r="F360" s="7">
        <v>43903.0</v>
      </c>
      <c r="G360" s="3" t="s">
        <v>4</v>
      </c>
      <c r="H360" s="7">
        <v>45360.0</v>
      </c>
      <c r="I360" s="3" t="s">
        <v>568</v>
      </c>
    </row>
    <row r="361" ht="15.75" customHeight="1">
      <c r="A361" s="6" t="s">
        <v>3631</v>
      </c>
      <c r="B361" s="6" t="s">
        <v>3632</v>
      </c>
      <c r="C361" s="3" t="s">
        <v>124</v>
      </c>
      <c r="D361" s="3">
        <v>150000.0</v>
      </c>
      <c r="E361" s="8">
        <v>24652.82</v>
      </c>
      <c r="F361" s="7">
        <v>45922.0</v>
      </c>
      <c r="G361" s="3" t="s">
        <v>194</v>
      </c>
      <c r="H361" s="7">
        <v>45430.0</v>
      </c>
      <c r="I361" s="3" t="s">
        <v>568</v>
      </c>
    </row>
    <row r="362" ht="15.75" customHeight="1">
      <c r="A362" s="6" t="s">
        <v>3637</v>
      </c>
      <c r="B362" s="6" t="s">
        <v>1816</v>
      </c>
      <c r="C362" s="3" t="s">
        <v>141</v>
      </c>
      <c r="D362" s="3">
        <v>300000.0</v>
      </c>
      <c r="E362" s="8">
        <v>13280.2</v>
      </c>
      <c r="F362" s="7">
        <v>44626.0</v>
      </c>
      <c r="G362" s="3" t="s">
        <v>4</v>
      </c>
      <c r="H362" s="7">
        <v>46321.0</v>
      </c>
      <c r="I362" s="3" t="s">
        <v>568</v>
      </c>
    </row>
    <row r="363" ht="15.75" customHeight="1">
      <c r="A363" s="6" t="s">
        <v>3642</v>
      </c>
      <c r="B363" s="6" t="s">
        <v>3643</v>
      </c>
      <c r="C363" s="3" t="s">
        <v>99</v>
      </c>
      <c r="D363" s="3">
        <v>75000.0</v>
      </c>
      <c r="E363" s="8">
        <v>63186.65</v>
      </c>
      <c r="F363" s="7">
        <v>43436.0</v>
      </c>
      <c r="G363" s="3" t="s">
        <v>4</v>
      </c>
      <c r="H363" s="7">
        <v>45666.0</v>
      </c>
      <c r="I363" s="3" t="s">
        <v>568</v>
      </c>
    </row>
    <row r="364" ht="15.75" customHeight="1">
      <c r="A364" s="6" t="s">
        <v>3648</v>
      </c>
      <c r="B364" s="6" t="s">
        <v>1236</v>
      </c>
      <c r="C364" s="3" t="s">
        <v>162</v>
      </c>
      <c r="D364" s="3">
        <v>500000.0</v>
      </c>
      <c r="E364" s="8">
        <v>490765.59</v>
      </c>
      <c r="F364" s="7">
        <v>44955.0</v>
      </c>
      <c r="G364" s="3" t="s">
        <v>4</v>
      </c>
      <c r="H364" s="7">
        <v>45068.0</v>
      </c>
      <c r="I364" s="3" t="s">
        <v>568</v>
      </c>
    </row>
    <row r="365" ht="15.75" customHeight="1">
      <c r="A365" s="6" t="s">
        <v>3656</v>
      </c>
      <c r="B365" s="6" t="s">
        <v>1498</v>
      </c>
      <c r="C365" s="3" t="s">
        <v>77</v>
      </c>
      <c r="D365" s="3">
        <v>800000.0</v>
      </c>
      <c r="E365" s="8">
        <v>319628.57</v>
      </c>
      <c r="F365" s="7">
        <v>43313.0</v>
      </c>
      <c r="G365" s="3" t="s">
        <v>4</v>
      </c>
      <c r="H365" s="3"/>
      <c r="I365" s="3" t="s">
        <v>806</v>
      </c>
    </row>
    <row r="366" ht="15.75" customHeight="1">
      <c r="A366" s="6" t="s">
        <v>3663</v>
      </c>
      <c r="B366" s="6" t="s">
        <v>949</v>
      </c>
      <c r="C366" s="3" t="s">
        <v>99</v>
      </c>
      <c r="D366" s="3">
        <v>75000.0</v>
      </c>
      <c r="E366" s="8">
        <v>64051.26</v>
      </c>
      <c r="F366" s="7">
        <v>43326.0</v>
      </c>
      <c r="G366" s="3" t="s">
        <v>4</v>
      </c>
      <c r="H366" s="7">
        <v>45142.0</v>
      </c>
      <c r="I366" s="3" t="s">
        <v>568</v>
      </c>
    </row>
    <row r="367" ht="15.75" customHeight="1">
      <c r="A367" s="6" t="s">
        <v>3668</v>
      </c>
      <c r="B367" s="6" t="s">
        <v>3671</v>
      </c>
      <c r="C367" s="3" t="s">
        <v>124</v>
      </c>
      <c r="D367" s="3">
        <v>150000.0</v>
      </c>
      <c r="E367" s="8">
        <v>27310.84</v>
      </c>
      <c r="F367" s="7">
        <v>45584.0</v>
      </c>
      <c r="G367" s="3" t="s">
        <v>194</v>
      </c>
      <c r="H367" s="7">
        <v>45728.0</v>
      </c>
      <c r="I367" s="3" t="s">
        <v>568</v>
      </c>
    </row>
    <row r="368" ht="15.75" customHeight="1">
      <c r="A368" s="6" t="s">
        <v>3677</v>
      </c>
      <c r="B368" s="6" t="s">
        <v>655</v>
      </c>
      <c r="C368" s="3" t="s">
        <v>141</v>
      </c>
      <c r="D368" s="3">
        <v>300000.0</v>
      </c>
      <c r="E368" s="8">
        <v>53737.1</v>
      </c>
      <c r="F368" s="7">
        <v>42126.0</v>
      </c>
      <c r="G368" s="3" t="s">
        <v>4</v>
      </c>
      <c r="H368" s="7">
        <v>45236.0</v>
      </c>
      <c r="I368" s="3" t="s">
        <v>568</v>
      </c>
    </row>
    <row r="369" ht="15.75" customHeight="1">
      <c r="A369" s="6" t="s">
        <v>3682</v>
      </c>
      <c r="B369" s="6" t="s">
        <v>3303</v>
      </c>
      <c r="C369" s="3" t="s">
        <v>162</v>
      </c>
      <c r="D369" s="3">
        <v>500000.0</v>
      </c>
      <c r="E369" s="8">
        <v>316020.46</v>
      </c>
      <c r="F369" s="7">
        <v>43816.0</v>
      </c>
      <c r="G369" s="3" t="s">
        <v>4</v>
      </c>
      <c r="H369" s="7">
        <v>45391.0</v>
      </c>
      <c r="I369" s="3" t="s">
        <v>568</v>
      </c>
    </row>
    <row r="370" ht="15.75" customHeight="1">
      <c r="A370" s="6" t="s">
        <v>3690</v>
      </c>
      <c r="B370" s="6" t="s">
        <v>3691</v>
      </c>
      <c r="C370" s="3" t="s">
        <v>99</v>
      </c>
      <c r="D370" s="3">
        <v>75000.0</v>
      </c>
      <c r="E370" s="8">
        <v>900.7</v>
      </c>
      <c r="F370" s="7">
        <v>42756.0</v>
      </c>
      <c r="G370" s="3" t="s">
        <v>5</v>
      </c>
      <c r="H370" s="7">
        <v>45017.0</v>
      </c>
      <c r="I370" s="3" t="s">
        <v>568</v>
      </c>
    </row>
    <row r="371" ht="15.75" customHeight="1">
      <c r="A371" s="6" t="s">
        <v>3696</v>
      </c>
      <c r="B371" s="6" t="s">
        <v>726</v>
      </c>
      <c r="C371" s="3" t="s">
        <v>162</v>
      </c>
      <c r="D371" s="3">
        <v>500000.0</v>
      </c>
      <c r="E371" s="8">
        <v>427355.28</v>
      </c>
      <c r="F371" s="7">
        <v>42323.0</v>
      </c>
      <c r="G371" s="3" t="s">
        <v>4</v>
      </c>
      <c r="H371" s="7">
        <v>46046.0</v>
      </c>
      <c r="I371" s="3" t="s">
        <v>568</v>
      </c>
    </row>
    <row r="372" ht="15.75" customHeight="1">
      <c r="A372" s="6" t="s">
        <v>3702</v>
      </c>
      <c r="B372" s="6" t="s">
        <v>1797</v>
      </c>
      <c r="C372" s="3" t="s">
        <v>99</v>
      </c>
      <c r="D372" s="3">
        <v>75000.0</v>
      </c>
      <c r="E372" s="8">
        <v>77012.99</v>
      </c>
      <c r="F372" s="7">
        <v>42820.0</v>
      </c>
      <c r="G372" s="3" t="s">
        <v>5</v>
      </c>
      <c r="H372" s="7">
        <v>45379.0</v>
      </c>
      <c r="I372" s="3" t="s">
        <v>568</v>
      </c>
    </row>
    <row r="373" ht="15.75" customHeight="1">
      <c r="A373" s="6" t="s">
        <v>3709</v>
      </c>
      <c r="B373" s="6" t="s">
        <v>132</v>
      </c>
      <c r="C373" s="3" t="s">
        <v>99</v>
      </c>
      <c r="D373" s="3">
        <v>75000.0</v>
      </c>
      <c r="E373" s="8">
        <v>55177.67</v>
      </c>
      <c r="F373" s="7">
        <v>43990.0</v>
      </c>
      <c r="G373" s="3" t="s">
        <v>4</v>
      </c>
      <c r="H373" s="7">
        <v>46217.0</v>
      </c>
      <c r="I373" s="3" t="s">
        <v>568</v>
      </c>
    </row>
    <row r="374" ht="15.75" customHeight="1">
      <c r="A374" s="6" t="s">
        <v>3715</v>
      </c>
      <c r="B374" s="6" t="s">
        <v>1815</v>
      </c>
      <c r="C374" s="3" t="s">
        <v>162</v>
      </c>
      <c r="D374" s="3">
        <v>500000.0</v>
      </c>
      <c r="E374" s="8">
        <v>227413.62</v>
      </c>
      <c r="F374" s="7">
        <v>44024.0</v>
      </c>
      <c r="G374" s="3" t="s">
        <v>4</v>
      </c>
      <c r="H374" s="7">
        <v>45584.0</v>
      </c>
      <c r="I374" s="3" t="s">
        <v>568</v>
      </c>
    </row>
    <row r="375" ht="15.75" customHeight="1">
      <c r="A375" s="6" t="s">
        <v>3722</v>
      </c>
      <c r="B375" s="6" t="s">
        <v>2107</v>
      </c>
      <c r="C375" s="3" t="s">
        <v>162</v>
      </c>
      <c r="D375" s="3">
        <v>500000.0</v>
      </c>
      <c r="E375" s="8">
        <v>107987.3</v>
      </c>
      <c r="F375" s="7">
        <v>45258.0</v>
      </c>
      <c r="G375" s="3" t="s">
        <v>194</v>
      </c>
      <c r="H375" s="7">
        <v>45071.0</v>
      </c>
      <c r="I375" s="3" t="s">
        <v>568</v>
      </c>
    </row>
    <row r="376" ht="15.75" customHeight="1">
      <c r="A376" s="6" t="s">
        <v>3726</v>
      </c>
      <c r="B376" s="6" t="s">
        <v>2899</v>
      </c>
      <c r="C376" s="3" t="s">
        <v>124</v>
      </c>
      <c r="D376" s="3">
        <v>150000.0</v>
      </c>
      <c r="E376" s="8">
        <v>115219.89</v>
      </c>
      <c r="F376" s="7">
        <v>44067.0</v>
      </c>
      <c r="G376" s="3" t="s">
        <v>4</v>
      </c>
      <c r="H376" s="3"/>
      <c r="I376" s="3" t="s">
        <v>806</v>
      </c>
    </row>
    <row r="377" ht="15.75" customHeight="1">
      <c r="A377" s="6" t="s">
        <v>3734</v>
      </c>
      <c r="B377" s="6" t="s">
        <v>3735</v>
      </c>
      <c r="C377" s="3" t="s">
        <v>99</v>
      </c>
      <c r="D377" s="3">
        <v>75000.0</v>
      </c>
      <c r="E377" s="8">
        <v>40587.97</v>
      </c>
      <c r="F377" s="7">
        <v>43843.0</v>
      </c>
      <c r="G377" s="3" t="s">
        <v>4</v>
      </c>
      <c r="H377" s="3"/>
      <c r="I377" s="3" t="s">
        <v>806</v>
      </c>
    </row>
    <row r="378" ht="15.75" customHeight="1">
      <c r="A378" s="6" t="s">
        <v>3740</v>
      </c>
      <c r="B378" s="6" t="s">
        <v>3742</v>
      </c>
      <c r="C378" s="3" t="s">
        <v>124</v>
      </c>
      <c r="D378" s="3">
        <v>150000.0</v>
      </c>
      <c r="E378" s="8">
        <v>107645.25</v>
      </c>
      <c r="F378" s="7">
        <v>43105.0</v>
      </c>
      <c r="G378" s="3" t="s">
        <v>4</v>
      </c>
      <c r="H378" s="3"/>
      <c r="I378" s="3" t="s">
        <v>806</v>
      </c>
    </row>
    <row r="379" ht="15.75" customHeight="1">
      <c r="A379" s="6" t="s">
        <v>3748</v>
      </c>
      <c r="B379" s="6" t="s">
        <v>1346</v>
      </c>
      <c r="C379" s="3" t="s">
        <v>77</v>
      </c>
      <c r="D379" s="3">
        <v>800000.0</v>
      </c>
      <c r="E379" s="8">
        <v>791653.1</v>
      </c>
      <c r="F379" s="7">
        <v>44005.0</v>
      </c>
      <c r="G379" s="3" t="s">
        <v>4</v>
      </c>
      <c r="H379" s="7">
        <v>44987.0</v>
      </c>
      <c r="I379" s="3" t="s">
        <v>568</v>
      </c>
    </row>
    <row r="380" ht="15.75" customHeight="1">
      <c r="A380" s="6" t="s">
        <v>3757</v>
      </c>
      <c r="B380" s="6" t="s">
        <v>1476</v>
      </c>
      <c r="C380" s="3" t="s">
        <v>141</v>
      </c>
      <c r="D380" s="3">
        <v>300000.0</v>
      </c>
      <c r="E380" s="8">
        <v>190785.43</v>
      </c>
      <c r="F380" s="7">
        <v>42925.0</v>
      </c>
      <c r="G380" s="3" t="s">
        <v>4</v>
      </c>
      <c r="H380" s="7">
        <v>45017.0</v>
      </c>
      <c r="I380" s="3" t="s">
        <v>568</v>
      </c>
    </row>
    <row r="381" ht="15.75" customHeight="1">
      <c r="A381" s="6" t="s">
        <v>3764</v>
      </c>
      <c r="B381" s="6" t="s">
        <v>1775</v>
      </c>
      <c r="C381" s="3" t="s">
        <v>162</v>
      </c>
      <c r="D381" s="3">
        <v>500000.0</v>
      </c>
      <c r="E381" s="8">
        <v>333962.27</v>
      </c>
      <c r="F381" s="7">
        <v>43003.0</v>
      </c>
      <c r="G381" s="3" t="s">
        <v>4</v>
      </c>
      <c r="H381" s="7">
        <v>45164.0</v>
      </c>
      <c r="I381" s="3" t="s">
        <v>568</v>
      </c>
    </row>
    <row r="382" ht="15.75" customHeight="1">
      <c r="A382" s="6" t="s">
        <v>3771</v>
      </c>
      <c r="B382" s="6" t="s">
        <v>3288</v>
      </c>
      <c r="C382" s="3" t="s">
        <v>99</v>
      </c>
      <c r="D382" s="3">
        <v>75000.0</v>
      </c>
      <c r="E382" s="8">
        <v>53839.42</v>
      </c>
      <c r="F382" s="7">
        <v>43141.0</v>
      </c>
      <c r="G382" s="3" t="s">
        <v>4</v>
      </c>
      <c r="H382" s="7">
        <v>46032.0</v>
      </c>
      <c r="I382" s="3" t="s">
        <v>568</v>
      </c>
    </row>
    <row r="383" ht="15.75" customHeight="1">
      <c r="A383" s="6" t="s">
        <v>3779</v>
      </c>
      <c r="B383" s="6" t="s">
        <v>660</v>
      </c>
      <c r="C383" s="3" t="s">
        <v>162</v>
      </c>
      <c r="D383" s="3">
        <v>500000.0</v>
      </c>
      <c r="E383" s="8">
        <v>70660.93</v>
      </c>
      <c r="F383" s="7">
        <v>43300.0</v>
      </c>
      <c r="G383" s="3" t="s">
        <v>4</v>
      </c>
      <c r="H383" s="7">
        <v>45940.0</v>
      </c>
      <c r="I383" s="3" t="s">
        <v>568</v>
      </c>
    </row>
    <row r="384" ht="15.75" customHeight="1">
      <c r="A384" s="6" t="s">
        <v>3786</v>
      </c>
      <c r="B384" s="6" t="s">
        <v>1653</v>
      </c>
      <c r="C384" s="3" t="s">
        <v>141</v>
      </c>
      <c r="D384" s="3">
        <v>300000.0</v>
      </c>
      <c r="E384" s="8">
        <v>157645.37</v>
      </c>
      <c r="F384" s="7">
        <v>43622.0</v>
      </c>
      <c r="G384" s="3" t="s">
        <v>4</v>
      </c>
      <c r="H384" s="7">
        <v>45651.0</v>
      </c>
      <c r="I384" s="3" t="s">
        <v>568</v>
      </c>
    </row>
    <row r="385" ht="15.75" customHeight="1">
      <c r="A385" s="6" t="s">
        <v>3795</v>
      </c>
      <c r="B385" s="6" t="s">
        <v>3155</v>
      </c>
      <c r="C385" s="3" t="s">
        <v>77</v>
      </c>
      <c r="D385" s="3">
        <v>800000.0</v>
      </c>
      <c r="E385" s="8">
        <v>159619.84</v>
      </c>
      <c r="F385" s="7">
        <v>44731.0</v>
      </c>
      <c r="G385" s="3" t="s">
        <v>4</v>
      </c>
      <c r="H385" s="7">
        <v>44971.0</v>
      </c>
      <c r="I385" s="3" t="s">
        <v>568</v>
      </c>
    </row>
    <row r="386" ht="15.75" customHeight="1">
      <c r="A386" s="6" t="s">
        <v>3801</v>
      </c>
      <c r="B386" s="6" t="s">
        <v>57</v>
      </c>
      <c r="C386" s="3" t="s">
        <v>99</v>
      </c>
      <c r="D386" s="3">
        <v>75000.0</v>
      </c>
      <c r="E386" s="8">
        <v>63888.4</v>
      </c>
      <c r="F386" s="7">
        <v>42765.0</v>
      </c>
      <c r="G386" s="3" t="s">
        <v>4</v>
      </c>
      <c r="H386" s="3"/>
      <c r="I386" s="3" t="s">
        <v>806</v>
      </c>
    </row>
    <row r="387" ht="15.75" customHeight="1">
      <c r="A387" s="6" t="s">
        <v>3810</v>
      </c>
      <c r="B387" s="6" t="s">
        <v>3812</v>
      </c>
      <c r="C387" s="3" t="s">
        <v>124</v>
      </c>
      <c r="D387" s="3">
        <v>150000.0</v>
      </c>
      <c r="E387" s="8">
        <v>123749.49</v>
      </c>
      <c r="F387" s="7">
        <v>43162.0</v>
      </c>
      <c r="G387" s="3" t="s">
        <v>5</v>
      </c>
      <c r="H387" s="7">
        <v>46065.0</v>
      </c>
      <c r="I387" s="3" t="s">
        <v>568</v>
      </c>
    </row>
    <row r="388" ht="15.75" customHeight="1">
      <c r="A388" s="6" t="s">
        <v>3816</v>
      </c>
      <c r="B388" s="6" t="s">
        <v>3467</v>
      </c>
      <c r="C388" s="3" t="s">
        <v>124</v>
      </c>
      <c r="D388" s="3">
        <v>150000.0</v>
      </c>
      <c r="E388" s="8">
        <v>39416.86</v>
      </c>
      <c r="F388" s="7">
        <v>43302.0</v>
      </c>
      <c r="G388" s="3" t="s">
        <v>4</v>
      </c>
      <c r="H388" s="7">
        <v>45233.0</v>
      </c>
      <c r="I388" s="3" t="s">
        <v>568</v>
      </c>
    </row>
    <row r="389" ht="15.75" customHeight="1">
      <c r="A389" s="6" t="s">
        <v>3820</v>
      </c>
      <c r="B389" s="6" t="s">
        <v>3821</v>
      </c>
      <c r="C389" s="3" t="s">
        <v>124</v>
      </c>
      <c r="D389" s="3">
        <v>150000.0</v>
      </c>
      <c r="E389" s="8">
        <v>59410.94</v>
      </c>
      <c r="F389" s="7">
        <v>42137.0</v>
      </c>
      <c r="G389" s="3" t="s">
        <v>4</v>
      </c>
      <c r="H389" s="7">
        <v>45158.0</v>
      </c>
      <c r="I389" s="3" t="s">
        <v>568</v>
      </c>
    </row>
    <row r="390" ht="15.75" customHeight="1">
      <c r="A390" s="6" t="s">
        <v>3829</v>
      </c>
      <c r="B390" s="6" t="s">
        <v>3830</v>
      </c>
      <c r="C390" s="3" t="s">
        <v>77</v>
      </c>
      <c r="D390" s="3">
        <v>800000.0</v>
      </c>
      <c r="E390" s="8">
        <v>346809.77</v>
      </c>
      <c r="F390" s="7">
        <v>43313.0</v>
      </c>
      <c r="G390" s="3" t="s">
        <v>4</v>
      </c>
      <c r="H390" s="7">
        <v>45688.0</v>
      </c>
      <c r="I390" s="3" t="s">
        <v>568</v>
      </c>
    </row>
    <row r="391" ht="15.75" customHeight="1">
      <c r="A391" s="6" t="s">
        <v>3832</v>
      </c>
      <c r="B391" s="6" t="s">
        <v>1896</v>
      </c>
      <c r="C391" s="3" t="s">
        <v>99</v>
      </c>
      <c r="D391" s="3">
        <v>75000.0</v>
      </c>
      <c r="E391" s="8">
        <v>19077.06</v>
      </c>
      <c r="F391" s="7">
        <v>45100.0</v>
      </c>
      <c r="G391" s="3" t="s">
        <v>194</v>
      </c>
      <c r="H391" s="7">
        <v>45280.0</v>
      </c>
      <c r="I391" s="3" t="s">
        <v>568</v>
      </c>
    </row>
    <row r="392" ht="15.75" customHeight="1">
      <c r="A392" s="6" t="s">
        <v>3842</v>
      </c>
      <c r="B392" s="6" t="s">
        <v>3534</v>
      </c>
      <c r="C392" s="3" t="s">
        <v>141</v>
      </c>
      <c r="D392" s="3">
        <v>300000.0</v>
      </c>
      <c r="E392" s="8">
        <v>56720.11</v>
      </c>
      <c r="F392" s="7">
        <v>43673.0</v>
      </c>
      <c r="G392" s="3" t="s">
        <v>4</v>
      </c>
      <c r="H392" s="7">
        <v>45947.0</v>
      </c>
      <c r="I392" s="3" t="s">
        <v>568</v>
      </c>
    </row>
    <row r="393" ht="15.75" customHeight="1">
      <c r="A393" s="6" t="s">
        <v>3849</v>
      </c>
      <c r="B393" s="6" t="s">
        <v>2059</v>
      </c>
      <c r="C393" s="3" t="s">
        <v>99</v>
      </c>
      <c r="D393" s="3">
        <v>75000.0</v>
      </c>
      <c r="E393" s="8">
        <v>37401.26</v>
      </c>
      <c r="F393" s="7">
        <v>43388.0</v>
      </c>
      <c r="G393" s="3" t="s">
        <v>4</v>
      </c>
      <c r="H393" s="7">
        <v>45656.0</v>
      </c>
      <c r="I393" s="3" t="s">
        <v>568</v>
      </c>
    </row>
    <row r="394" ht="15.75" customHeight="1">
      <c r="A394" s="6" t="s">
        <v>3856</v>
      </c>
      <c r="B394" s="6" t="s">
        <v>597</v>
      </c>
      <c r="C394" s="3" t="s">
        <v>141</v>
      </c>
      <c r="D394" s="3">
        <v>300000.0</v>
      </c>
      <c r="E394" s="8">
        <v>43054.89</v>
      </c>
      <c r="F394" s="7">
        <v>42632.0</v>
      </c>
      <c r="G394" s="3" t="s">
        <v>194</v>
      </c>
      <c r="H394" s="7">
        <v>45137.0</v>
      </c>
      <c r="I394" s="3" t="s">
        <v>568</v>
      </c>
    </row>
    <row r="395" ht="15.75" customHeight="1">
      <c r="A395" s="6" t="s">
        <v>3862</v>
      </c>
      <c r="B395" s="6" t="s">
        <v>1335</v>
      </c>
      <c r="C395" s="3" t="s">
        <v>141</v>
      </c>
      <c r="D395" s="3">
        <v>300000.0</v>
      </c>
      <c r="E395" s="8">
        <v>239009.66</v>
      </c>
      <c r="F395" s="7">
        <v>44328.0</v>
      </c>
      <c r="G395" s="3" t="s">
        <v>4</v>
      </c>
      <c r="H395" s="3"/>
      <c r="I395" s="3" t="s">
        <v>806</v>
      </c>
    </row>
    <row r="396" ht="15.75" customHeight="1">
      <c r="A396" s="6" t="s">
        <v>3868</v>
      </c>
      <c r="B396" s="6" t="s">
        <v>355</v>
      </c>
      <c r="C396" s="3" t="s">
        <v>77</v>
      </c>
      <c r="D396" s="3">
        <v>800000.0</v>
      </c>
      <c r="E396" s="8">
        <v>612841.39</v>
      </c>
      <c r="F396" s="7">
        <v>43087.0</v>
      </c>
      <c r="G396" s="3" t="s">
        <v>4</v>
      </c>
      <c r="H396" s="3"/>
      <c r="I396" s="3" t="s">
        <v>806</v>
      </c>
    </row>
    <row r="397" ht="15.75" customHeight="1">
      <c r="A397" s="6" t="s">
        <v>3871</v>
      </c>
      <c r="B397" s="6" t="s">
        <v>3658</v>
      </c>
      <c r="C397" s="3" t="s">
        <v>141</v>
      </c>
      <c r="D397" s="3">
        <v>300000.0</v>
      </c>
      <c r="E397" s="8">
        <v>94841.82</v>
      </c>
      <c r="F397" s="7">
        <v>44159.0</v>
      </c>
      <c r="G397" s="3" t="s">
        <v>194</v>
      </c>
      <c r="H397" s="7">
        <v>45542.0</v>
      </c>
      <c r="I397" s="3" t="s">
        <v>568</v>
      </c>
    </row>
    <row r="398" ht="15.75" customHeight="1">
      <c r="A398" s="6" t="s">
        <v>3875</v>
      </c>
      <c r="B398" s="6" t="s">
        <v>1808</v>
      </c>
      <c r="C398" s="3" t="s">
        <v>77</v>
      </c>
      <c r="D398" s="3">
        <v>800000.0</v>
      </c>
      <c r="E398" s="8">
        <v>421503.17</v>
      </c>
      <c r="F398" s="7">
        <v>43756.0</v>
      </c>
      <c r="G398" s="3" t="s">
        <v>4</v>
      </c>
      <c r="H398" s="3"/>
      <c r="I398" s="3" t="s">
        <v>806</v>
      </c>
    </row>
    <row r="399" ht="15.75" customHeight="1">
      <c r="A399" s="6" t="s">
        <v>3878</v>
      </c>
      <c r="B399" s="6" t="s">
        <v>3880</v>
      </c>
      <c r="C399" s="3" t="s">
        <v>99</v>
      </c>
      <c r="D399" s="3">
        <v>75000.0</v>
      </c>
      <c r="E399" s="8">
        <v>68217.18</v>
      </c>
      <c r="F399" s="7">
        <v>43823.0</v>
      </c>
      <c r="G399" s="3" t="s">
        <v>194</v>
      </c>
      <c r="H399" s="7">
        <v>45824.0</v>
      </c>
      <c r="I399" s="3" t="s">
        <v>568</v>
      </c>
    </row>
    <row r="400" ht="15.75" customHeight="1">
      <c r="A400" s="6" t="s">
        <v>3885</v>
      </c>
      <c r="B400" s="6" t="s">
        <v>3751</v>
      </c>
      <c r="C400" s="3" t="s">
        <v>77</v>
      </c>
      <c r="D400" s="3">
        <v>800000.0</v>
      </c>
      <c r="E400" s="8">
        <v>649273.98</v>
      </c>
      <c r="F400" s="7">
        <v>45321.0</v>
      </c>
      <c r="G400" s="3" t="s">
        <v>4</v>
      </c>
      <c r="H400" s="3"/>
      <c r="I400" s="3" t="s">
        <v>806</v>
      </c>
    </row>
    <row r="401" ht="15.75" customHeight="1">
      <c r="A401" s="6" t="s">
        <v>3892</v>
      </c>
      <c r="B401" s="6" t="s">
        <v>3894</v>
      </c>
      <c r="C401" s="3" t="s">
        <v>99</v>
      </c>
      <c r="D401" s="3">
        <v>75000.0</v>
      </c>
      <c r="E401" s="8">
        <v>43344.29</v>
      </c>
      <c r="F401" s="7">
        <v>42137.0</v>
      </c>
      <c r="G401" s="3" t="s">
        <v>4</v>
      </c>
      <c r="H401" s="3"/>
      <c r="I401" s="3" t="s">
        <v>806</v>
      </c>
    </row>
    <row r="402" ht="15.75" customHeight="1">
      <c r="A402" s="6" t="s">
        <v>3901</v>
      </c>
      <c r="B402" s="6" t="s">
        <v>1017</v>
      </c>
      <c r="C402" s="3" t="s">
        <v>141</v>
      </c>
      <c r="D402" s="3">
        <v>300000.0</v>
      </c>
      <c r="E402" s="8">
        <v>136064.68</v>
      </c>
      <c r="F402" s="7">
        <v>45528.0</v>
      </c>
      <c r="G402" s="3" t="s">
        <v>4</v>
      </c>
      <c r="H402" s="7">
        <v>45768.0</v>
      </c>
      <c r="I402" s="3" t="s">
        <v>568</v>
      </c>
    </row>
    <row r="403" ht="15.75" customHeight="1">
      <c r="A403" s="6" t="s">
        <v>3905</v>
      </c>
      <c r="B403" s="6" t="s">
        <v>157</v>
      </c>
      <c r="C403" s="3" t="s">
        <v>141</v>
      </c>
      <c r="D403" s="3">
        <v>300000.0</v>
      </c>
      <c r="E403" s="8">
        <v>195113.02</v>
      </c>
      <c r="F403" s="7">
        <v>44568.0</v>
      </c>
      <c r="G403" s="3" t="s">
        <v>5</v>
      </c>
      <c r="H403" s="7">
        <v>45543.0</v>
      </c>
      <c r="I403" s="3" t="s">
        <v>568</v>
      </c>
    </row>
    <row r="404" ht="15.75" customHeight="1">
      <c r="A404" s="6" t="s">
        <v>3913</v>
      </c>
      <c r="B404" s="6" t="s">
        <v>2732</v>
      </c>
      <c r="C404" s="3" t="s">
        <v>99</v>
      </c>
      <c r="D404" s="3">
        <v>75000.0</v>
      </c>
      <c r="E404" s="8">
        <v>35483.81</v>
      </c>
      <c r="F404" s="7">
        <v>43349.0</v>
      </c>
      <c r="G404" s="3" t="s">
        <v>5</v>
      </c>
      <c r="H404" s="7">
        <v>45975.0</v>
      </c>
      <c r="I404" s="3" t="s">
        <v>568</v>
      </c>
    </row>
    <row r="405" ht="15.75" customHeight="1">
      <c r="A405" s="6" t="s">
        <v>3920</v>
      </c>
      <c r="B405" s="6" t="s">
        <v>2978</v>
      </c>
      <c r="C405" s="3" t="s">
        <v>99</v>
      </c>
      <c r="D405" s="3">
        <v>75000.0</v>
      </c>
      <c r="E405" s="8">
        <v>62799.62</v>
      </c>
      <c r="F405" s="7">
        <v>44558.0</v>
      </c>
      <c r="G405" s="3" t="s">
        <v>4</v>
      </c>
      <c r="H405" s="7">
        <v>46360.0</v>
      </c>
      <c r="I405" s="3" t="s">
        <v>568</v>
      </c>
    </row>
    <row r="406" ht="15.75" customHeight="1">
      <c r="A406" s="6" t="s">
        <v>3924</v>
      </c>
      <c r="B406" s="6" t="s">
        <v>515</v>
      </c>
      <c r="C406" s="3" t="s">
        <v>162</v>
      </c>
      <c r="D406" s="3">
        <v>500000.0</v>
      </c>
      <c r="E406" s="8">
        <v>495689.83</v>
      </c>
      <c r="F406" s="7">
        <v>44793.0</v>
      </c>
      <c r="G406" s="3" t="s">
        <v>5</v>
      </c>
      <c r="H406" s="7">
        <v>45200.0</v>
      </c>
      <c r="I406" s="3" t="s">
        <v>568</v>
      </c>
    </row>
    <row r="407" ht="15.75" customHeight="1">
      <c r="A407" s="6" t="s">
        <v>3934</v>
      </c>
      <c r="B407" s="6" t="s">
        <v>426</v>
      </c>
      <c r="C407" s="3" t="s">
        <v>77</v>
      </c>
      <c r="D407" s="3">
        <v>800000.0</v>
      </c>
      <c r="E407" s="8">
        <v>17681.57</v>
      </c>
      <c r="F407" s="7">
        <v>42599.0</v>
      </c>
      <c r="G407" s="3" t="s">
        <v>4</v>
      </c>
      <c r="H407" s="3"/>
      <c r="I407" s="3" t="s">
        <v>806</v>
      </c>
    </row>
    <row r="408" ht="15.75" customHeight="1">
      <c r="A408" s="6" t="s">
        <v>3937</v>
      </c>
      <c r="B408" s="6" t="s">
        <v>3939</v>
      </c>
      <c r="C408" s="3" t="s">
        <v>99</v>
      </c>
      <c r="D408" s="3">
        <v>75000.0</v>
      </c>
      <c r="E408" s="8">
        <v>61504.13</v>
      </c>
      <c r="F408" s="7">
        <v>44967.0</v>
      </c>
      <c r="G408" s="3" t="s">
        <v>5</v>
      </c>
      <c r="H408" s="7">
        <v>45773.0</v>
      </c>
      <c r="I408" s="3" t="s">
        <v>568</v>
      </c>
    </row>
    <row r="409" ht="15.75" customHeight="1">
      <c r="A409" s="6" t="s">
        <v>3942</v>
      </c>
      <c r="B409" s="6" t="s">
        <v>786</v>
      </c>
      <c r="C409" s="3" t="s">
        <v>99</v>
      </c>
      <c r="D409" s="3">
        <v>75000.0</v>
      </c>
      <c r="E409" s="8">
        <v>8360.48</v>
      </c>
      <c r="F409" s="7">
        <v>45823.0</v>
      </c>
      <c r="G409" s="3" t="s">
        <v>4</v>
      </c>
      <c r="H409" s="7">
        <v>45195.0</v>
      </c>
      <c r="I409" s="3" t="s">
        <v>568</v>
      </c>
    </row>
    <row r="410" ht="15.75" customHeight="1">
      <c r="A410" s="6" t="s">
        <v>3952</v>
      </c>
      <c r="B410" s="6" t="s">
        <v>3226</v>
      </c>
      <c r="C410" s="3" t="s">
        <v>99</v>
      </c>
      <c r="D410" s="3">
        <v>75000.0</v>
      </c>
      <c r="E410" s="8">
        <v>59737.55</v>
      </c>
      <c r="F410" s="7">
        <v>45712.0</v>
      </c>
      <c r="G410" s="3" t="s">
        <v>4</v>
      </c>
      <c r="H410" s="7">
        <v>45132.0</v>
      </c>
      <c r="I410" s="3" t="s">
        <v>568</v>
      </c>
    </row>
    <row r="411" ht="15.75" customHeight="1">
      <c r="A411" s="6" t="s">
        <v>3958</v>
      </c>
      <c r="B411" s="6" t="s">
        <v>2918</v>
      </c>
      <c r="C411" s="3" t="s">
        <v>77</v>
      </c>
      <c r="D411" s="3">
        <v>800000.0</v>
      </c>
      <c r="E411" s="8">
        <v>178235.46</v>
      </c>
      <c r="F411" s="7">
        <v>42904.0</v>
      </c>
      <c r="G411" s="3" t="s">
        <v>4</v>
      </c>
      <c r="H411" s="7">
        <v>44957.0</v>
      </c>
      <c r="I411" s="3" t="s">
        <v>568</v>
      </c>
    </row>
    <row r="412" ht="15.75" customHeight="1">
      <c r="A412" s="6" t="s">
        <v>3963</v>
      </c>
      <c r="B412" s="6" t="s">
        <v>3965</v>
      </c>
      <c r="C412" s="3" t="s">
        <v>99</v>
      </c>
      <c r="D412" s="3">
        <v>75000.0</v>
      </c>
      <c r="E412" s="8">
        <v>54303.05</v>
      </c>
      <c r="F412" s="7">
        <v>43770.0</v>
      </c>
      <c r="G412" s="3" t="s">
        <v>4</v>
      </c>
      <c r="H412" s="7">
        <v>45426.0</v>
      </c>
      <c r="I412" s="3" t="s">
        <v>568</v>
      </c>
    </row>
    <row r="413" ht="15.75" customHeight="1">
      <c r="A413" s="6" t="s">
        <v>3969</v>
      </c>
      <c r="B413" s="6" t="s">
        <v>676</v>
      </c>
      <c r="C413" s="3" t="s">
        <v>99</v>
      </c>
      <c r="D413" s="3">
        <v>75000.0</v>
      </c>
      <c r="E413" s="8">
        <v>51120.68</v>
      </c>
      <c r="F413" s="7">
        <v>44684.0</v>
      </c>
      <c r="G413" s="3" t="s">
        <v>4</v>
      </c>
      <c r="H413" s="7">
        <v>45403.0</v>
      </c>
      <c r="I413" s="3" t="s">
        <v>568</v>
      </c>
    </row>
    <row r="414" ht="15.75" customHeight="1">
      <c r="A414" s="6" t="s">
        <v>3973</v>
      </c>
      <c r="B414" s="6" t="s">
        <v>3974</v>
      </c>
      <c r="C414" s="3" t="s">
        <v>124</v>
      </c>
      <c r="D414" s="3">
        <v>150000.0</v>
      </c>
      <c r="E414" s="8">
        <v>89647.18</v>
      </c>
      <c r="F414" s="7">
        <v>45033.0</v>
      </c>
      <c r="G414" s="3" t="s">
        <v>194</v>
      </c>
      <c r="H414" s="7">
        <v>45655.0</v>
      </c>
      <c r="I414" s="3" t="s">
        <v>568</v>
      </c>
    </row>
    <row r="415" ht="15.75" customHeight="1">
      <c r="A415" s="6" t="s">
        <v>3982</v>
      </c>
      <c r="B415" s="6" t="s">
        <v>2158</v>
      </c>
      <c r="C415" s="3" t="s">
        <v>124</v>
      </c>
      <c r="D415" s="3">
        <v>150000.0</v>
      </c>
      <c r="E415" s="8">
        <v>115164.71</v>
      </c>
      <c r="F415" s="7">
        <v>43850.0</v>
      </c>
      <c r="G415" s="3" t="s">
        <v>4</v>
      </c>
      <c r="H415" s="3"/>
      <c r="I415" s="3" t="s">
        <v>806</v>
      </c>
    </row>
    <row r="416" ht="15.75" customHeight="1">
      <c r="A416" s="6" t="s">
        <v>3986</v>
      </c>
      <c r="B416" s="6" t="s">
        <v>3987</v>
      </c>
      <c r="C416" s="3" t="s">
        <v>141</v>
      </c>
      <c r="D416" s="3">
        <v>300000.0</v>
      </c>
      <c r="E416" s="8">
        <v>263815.56</v>
      </c>
      <c r="F416" s="7">
        <v>43695.0</v>
      </c>
      <c r="G416" s="3" t="s">
        <v>4</v>
      </c>
      <c r="H416" s="7">
        <v>45771.0</v>
      </c>
      <c r="I416" s="3" t="s">
        <v>568</v>
      </c>
    </row>
    <row r="417" ht="15.75" customHeight="1">
      <c r="A417" s="6" t="s">
        <v>3990</v>
      </c>
      <c r="B417" s="6" t="s">
        <v>774</v>
      </c>
      <c r="C417" s="3" t="s">
        <v>124</v>
      </c>
      <c r="D417" s="3">
        <v>150000.0</v>
      </c>
      <c r="E417" s="8">
        <v>79196.06</v>
      </c>
      <c r="F417" s="7">
        <v>44183.0</v>
      </c>
      <c r="G417" s="3" t="s">
        <v>4</v>
      </c>
      <c r="H417" s="7">
        <v>44980.0</v>
      </c>
      <c r="I417" s="3" t="s">
        <v>568</v>
      </c>
    </row>
    <row r="418" ht="15.75" customHeight="1">
      <c r="A418" s="6" t="s">
        <v>3996</v>
      </c>
      <c r="B418" s="6" t="s">
        <v>1724</v>
      </c>
      <c r="C418" s="3" t="s">
        <v>162</v>
      </c>
      <c r="D418" s="3">
        <v>500000.0</v>
      </c>
      <c r="E418" s="8">
        <v>452841.01</v>
      </c>
      <c r="F418" s="7">
        <v>42778.0</v>
      </c>
      <c r="G418" s="3" t="s">
        <v>4</v>
      </c>
      <c r="H418" s="7">
        <v>46302.0</v>
      </c>
      <c r="I418" s="3" t="s">
        <v>568</v>
      </c>
    </row>
    <row r="419" ht="15.75" customHeight="1">
      <c r="A419" s="6" t="s">
        <v>4004</v>
      </c>
      <c r="B419" s="6" t="s">
        <v>854</v>
      </c>
      <c r="C419" s="3" t="s">
        <v>77</v>
      </c>
      <c r="D419" s="3">
        <v>800000.0</v>
      </c>
      <c r="E419" s="8">
        <v>367791.08</v>
      </c>
      <c r="F419" s="7">
        <v>45120.0</v>
      </c>
      <c r="G419" s="3" t="s">
        <v>4</v>
      </c>
      <c r="H419" s="7">
        <v>45359.0</v>
      </c>
      <c r="I419" s="3" t="s">
        <v>568</v>
      </c>
    </row>
    <row r="420" ht="15.75" customHeight="1">
      <c r="A420" s="6" t="s">
        <v>4011</v>
      </c>
      <c r="B420" s="6" t="s">
        <v>711</v>
      </c>
      <c r="C420" s="3" t="s">
        <v>99</v>
      </c>
      <c r="D420" s="3">
        <v>75000.0</v>
      </c>
      <c r="E420" s="8">
        <v>57648.04</v>
      </c>
      <c r="F420" s="7">
        <v>44024.0</v>
      </c>
      <c r="G420" s="3" t="s">
        <v>4</v>
      </c>
      <c r="H420" s="7">
        <v>45637.0</v>
      </c>
      <c r="I420" s="3" t="s">
        <v>568</v>
      </c>
    </row>
    <row r="421" ht="15.75" customHeight="1">
      <c r="A421" s="6" t="s">
        <v>4020</v>
      </c>
      <c r="B421" s="6" t="s">
        <v>4021</v>
      </c>
      <c r="C421" s="3" t="s">
        <v>77</v>
      </c>
      <c r="D421" s="3">
        <v>800000.0</v>
      </c>
      <c r="E421" s="8">
        <v>436902.99</v>
      </c>
      <c r="F421" s="7">
        <v>42646.0</v>
      </c>
      <c r="G421" s="3" t="s">
        <v>5</v>
      </c>
      <c r="H421" s="7">
        <v>46111.0</v>
      </c>
      <c r="I421" s="3" t="s">
        <v>568</v>
      </c>
    </row>
    <row r="422" ht="15.75" customHeight="1">
      <c r="A422" s="6" t="s">
        <v>4025</v>
      </c>
      <c r="B422" s="6" t="s">
        <v>4026</v>
      </c>
      <c r="C422" s="3" t="s">
        <v>77</v>
      </c>
      <c r="D422" s="3">
        <v>800000.0</v>
      </c>
      <c r="E422" s="8">
        <v>749840.46</v>
      </c>
      <c r="F422" s="7">
        <v>45592.0</v>
      </c>
      <c r="G422" s="3" t="s">
        <v>4</v>
      </c>
      <c r="H422" s="7">
        <v>45066.0</v>
      </c>
      <c r="I422" s="3" t="s">
        <v>568</v>
      </c>
    </row>
    <row r="423" ht="15.75" customHeight="1">
      <c r="A423" s="6" t="s">
        <v>4029</v>
      </c>
      <c r="B423" s="6" t="s">
        <v>4031</v>
      </c>
      <c r="C423" s="3" t="s">
        <v>99</v>
      </c>
      <c r="D423" s="3">
        <v>75000.0</v>
      </c>
      <c r="E423" s="8">
        <v>36883.15</v>
      </c>
      <c r="F423" s="7">
        <v>42333.0</v>
      </c>
      <c r="G423" s="3" t="s">
        <v>4</v>
      </c>
      <c r="H423" s="7">
        <v>46004.0</v>
      </c>
      <c r="I423" s="3" t="s">
        <v>568</v>
      </c>
    </row>
    <row r="424" ht="15.75" customHeight="1">
      <c r="A424" s="6" t="s">
        <v>4040</v>
      </c>
      <c r="B424" s="6" t="s">
        <v>1272</v>
      </c>
      <c r="C424" s="3" t="s">
        <v>162</v>
      </c>
      <c r="D424" s="3">
        <v>500000.0</v>
      </c>
      <c r="E424" s="8">
        <v>243103.01</v>
      </c>
      <c r="F424" s="7">
        <v>42478.0</v>
      </c>
      <c r="G424" s="3" t="s">
        <v>5</v>
      </c>
      <c r="H424" s="7">
        <v>45873.0</v>
      </c>
      <c r="I424" s="3" t="s">
        <v>568</v>
      </c>
    </row>
    <row r="425" ht="15.75" customHeight="1">
      <c r="A425" s="6" t="s">
        <v>4042</v>
      </c>
      <c r="B425" s="6" t="s">
        <v>1542</v>
      </c>
      <c r="C425" s="3" t="s">
        <v>77</v>
      </c>
      <c r="D425" s="3">
        <v>800000.0</v>
      </c>
      <c r="E425" s="8">
        <v>276803.62</v>
      </c>
      <c r="F425" s="7">
        <v>43797.0</v>
      </c>
      <c r="G425" s="3" t="s">
        <v>4</v>
      </c>
      <c r="H425" s="7">
        <v>45243.0</v>
      </c>
      <c r="I425" s="3" t="s">
        <v>568</v>
      </c>
    </row>
    <row r="426" ht="15.75" customHeight="1">
      <c r="A426" s="6" t="s">
        <v>4048</v>
      </c>
      <c r="B426" s="6" t="s">
        <v>2090</v>
      </c>
      <c r="C426" s="3" t="s">
        <v>162</v>
      </c>
      <c r="D426" s="3">
        <v>500000.0</v>
      </c>
      <c r="E426" s="8">
        <v>256862.84</v>
      </c>
      <c r="F426" s="7">
        <v>43163.0</v>
      </c>
      <c r="G426" s="3" t="s">
        <v>4</v>
      </c>
      <c r="H426" s="7">
        <v>45516.0</v>
      </c>
      <c r="I426" s="3" t="s">
        <v>568</v>
      </c>
    </row>
    <row r="427" ht="15.75" customHeight="1">
      <c r="A427" s="6" t="s">
        <v>4054</v>
      </c>
      <c r="B427" s="6" t="s">
        <v>3834</v>
      </c>
      <c r="C427" s="3" t="s">
        <v>141</v>
      </c>
      <c r="D427" s="3">
        <v>300000.0</v>
      </c>
      <c r="E427" s="8">
        <v>141666.46</v>
      </c>
      <c r="F427" s="7">
        <v>45645.0</v>
      </c>
      <c r="G427" s="3" t="s">
        <v>4</v>
      </c>
      <c r="H427" s="7">
        <v>45614.0</v>
      </c>
      <c r="I427" s="3" t="s">
        <v>568</v>
      </c>
    </row>
    <row r="428" ht="15.75" customHeight="1">
      <c r="A428" s="6" t="s">
        <v>4057</v>
      </c>
      <c r="B428" s="6" t="s">
        <v>4058</v>
      </c>
      <c r="C428" s="3" t="s">
        <v>77</v>
      </c>
      <c r="D428" s="3">
        <v>800000.0</v>
      </c>
      <c r="E428" s="8">
        <v>154302.93</v>
      </c>
      <c r="F428" s="7">
        <v>42310.0</v>
      </c>
      <c r="G428" s="3" t="s">
        <v>5</v>
      </c>
      <c r="H428" s="3"/>
      <c r="I428" s="3" t="s">
        <v>806</v>
      </c>
    </row>
    <row r="429" ht="15.75" customHeight="1">
      <c r="A429" s="6" t="s">
        <v>4069</v>
      </c>
      <c r="B429" s="6" t="s">
        <v>1691</v>
      </c>
      <c r="C429" s="3" t="s">
        <v>77</v>
      </c>
      <c r="D429" s="3">
        <v>800000.0</v>
      </c>
      <c r="E429" s="8">
        <v>662284.98</v>
      </c>
      <c r="F429" s="7">
        <v>45951.0</v>
      </c>
      <c r="G429" s="3" t="s">
        <v>4</v>
      </c>
      <c r="H429" s="7">
        <v>45297.0</v>
      </c>
      <c r="I429" s="3" t="s">
        <v>568</v>
      </c>
    </row>
    <row r="430" ht="15.75" customHeight="1">
      <c r="A430" s="6" t="s">
        <v>4074</v>
      </c>
      <c r="B430" s="6" t="s">
        <v>338</v>
      </c>
      <c r="C430" s="3" t="s">
        <v>141</v>
      </c>
      <c r="D430" s="3">
        <v>300000.0</v>
      </c>
      <c r="E430" s="8">
        <v>110804.88</v>
      </c>
      <c r="F430" s="7">
        <v>43130.0</v>
      </c>
      <c r="G430" s="3" t="s">
        <v>4</v>
      </c>
      <c r="H430" s="7">
        <v>45314.0</v>
      </c>
      <c r="I430" s="3" t="s">
        <v>568</v>
      </c>
    </row>
    <row r="431" ht="15.75" customHeight="1">
      <c r="A431" s="6" t="s">
        <v>4081</v>
      </c>
      <c r="B431" s="6" t="s">
        <v>1207</v>
      </c>
      <c r="C431" s="3" t="s">
        <v>124</v>
      </c>
      <c r="D431" s="3">
        <v>150000.0</v>
      </c>
      <c r="E431" s="8">
        <v>61508.38</v>
      </c>
      <c r="F431" s="7">
        <v>43836.0</v>
      </c>
      <c r="G431" s="3" t="s">
        <v>4</v>
      </c>
      <c r="H431" s="7">
        <v>45550.0</v>
      </c>
      <c r="I431" s="3" t="s">
        <v>568</v>
      </c>
    </row>
    <row r="432" ht="15.75" customHeight="1">
      <c r="A432" s="6" t="s">
        <v>4088</v>
      </c>
      <c r="B432" s="6" t="s">
        <v>2986</v>
      </c>
      <c r="C432" s="3" t="s">
        <v>99</v>
      </c>
      <c r="D432" s="3">
        <v>75000.0</v>
      </c>
      <c r="E432" s="8">
        <v>15563.54</v>
      </c>
      <c r="F432" s="7">
        <v>43771.0</v>
      </c>
      <c r="G432" s="3" t="s">
        <v>4</v>
      </c>
      <c r="H432" s="3"/>
      <c r="I432" s="3" t="s">
        <v>806</v>
      </c>
    </row>
    <row r="433" ht="15.75" customHeight="1">
      <c r="A433" s="6" t="s">
        <v>4096</v>
      </c>
      <c r="B433" s="6" t="s">
        <v>4098</v>
      </c>
      <c r="C433" s="3" t="s">
        <v>141</v>
      </c>
      <c r="D433" s="3">
        <v>300000.0</v>
      </c>
      <c r="E433" s="8">
        <v>17445.14</v>
      </c>
      <c r="F433" s="7">
        <v>43462.0</v>
      </c>
      <c r="G433" s="3" t="s">
        <v>4</v>
      </c>
      <c r="H433" s="7">
        <v>45500.0</v>
      </c>
      <c r="I433" s="3" t="s">
        <v>568</v>
      </c>
    </row>
    <row r="434" ht="15.75" customHeight="1">
      <c r="A434" s="6" t="s">
        <v>4105</v>
      </c>
      <c r="B434" s="6" t="s">
        <v>4107</v>
      </c>
      <c r="C434" s="3" t="s">
        <v>99</v>
      </c>
      <c r="D434" s="3">
        <v>75000.0</v>
      </c>
      <c r="E434" s="8">
        <v>49895.2</v>
      </c>
      <c r="F434" s="7">
        <v>42979.0</v>
      </c>
      <c r="G434" s="3" t="s">
        <v>4</v>
      </c>
      <c r="H434" s="7">
        <v>45791.0</v>
      </c>
      <c r="I434" s="3" t="s">
        <v>568</v>
      </c>
    </row>
    <row r="435" ht="15.75" customHeight="1">
      <c r="A435" s="6" t="s">
        <v>4110</v>
      </c>
      <c r="B435" s="6" t="s">
        <v>2685</v>
      </c>
      <c r="C435" s="3" t="s">
        <v>99</v>
      </c>
      <c r="D435" s="3">
        <v>75000.0</v>
      </c>
      <c r="E435" s="8">
        <v>12055.88</v>
      </c>
      <c r="F435" s="7">
        <v>43851.0</v>
      </c>
      <c r="G435" s="3" t="s">
        <v>4</v>
      </c>
      <c r="H435" s="7">
        <v>45196.0</v>
      </c>
      <c r="I435" s="3" t="s">
        <v>568</v>
      </c>
    </row>
    <row r="436" ht="15.75" customHeight="1">
      <c r="A436" s="6" t="s">
        <v>4120</v>
      </c>
      <c r="B436" s="6" t="s">
        <v>4122</v>
      </c>
      <c r="C436" s="3" t="s">
        <v>124</v>
      </c>
      <c r="D436" s="3">
        <v>150000.0</v>
      </c>
      <c r="E436" s="8">
        <v>30725.55</v>
      </c>
      <c r="F436" s="7">
        <v>44686.0</v>
      </c>
      <c r="G436" s="3" t="s">
        <v>4</v>
      </c>
      <c r="H436" s="7">
        <v>45175.0</v>
      </c>
      <c r="I436" s="3" t="s">
        <v>568</v>
      </c>
    </row>
    <row r="437" ht="15.75" customHeight="1">
      <c r="A437" s="6" t="s">
        <v>4127</v>
      </c>
      <c r="B437" s="6" t="s">
        <v>1572</v>
      </c>
      <c r="C437" s="3" t="s">
        <v>124</v>
      </c>
      <c r="D437" s="3">
        <v>150000.0</v>
      </c>
      <c r="E437" s="8">
        <v>130212.24</v>
      </c>
      <c r="F437" s="7">
        <v>45353.0</v>
      </c>
      <c r="G437" s="3" t="s">
        <v>4</v>
      </c>
      <c r="H437" s="7">
        <v>45304.0</v>
      </c>
      <c r="I437" s="3" t="s">
        <v>568</v>
      </c>
    </row>
    <row r="438" ht="15.75" customHeight="1">
      <c r="A438" s="6" t="s">
        <v>4133</v>
      </c>
      <c r="B438" s="6" t="s">
        <v>4134</v>
      </c>
      <c r="C438" s="3" t="s">
        <v>124</v>
      </c>
      <c r="D438" s="3">
        <v>150000.0</v>
      </c>
      <c r="E438" s="8">
        <v>69312.69</v>
      </c>
      <c r="F438" s="7">
        <v>43779.0</v>
      </c>
      <c r="G438" s="3" t="s">
        <v>5</v>
      </c>
      <c r="H438" s="7">
        <v>45448.0</v>
      </c>
      <c r="I438" s="3" t="s">
        <v>568</v>
      </c>
    </row>
    <row r="439" ht="15.75" customHeight="1">
      <c r="A439" s="6" t="s">
        <v>4140</v>
      </c>
      <c r="B439" s="6" t="s">
        <v>4141</v>
      </c>
      <c r="C439" s="3" t="s">
        <v>141</v>
      </c>
      <c r="D439" s="3">
        <v>300000.0</v>
      </c>
      <c r="E439" s="8">
        <v>219884.96</v>
      </c>
      <c r="F439" s="7">
        <v>45827.0</v>
      </c>
      <c r="G439" s="3" t="s">
        <v>4</v>
      </c>
      <c r="H439" s="7">
        <v>45897.0</v>
      </c>
      <c r="I439" s="3" t="s">
        <v>568</v>
      </c>
    </row>
    <row r="440" ht="15.75" customHeight="1">
      <c r="A440" s="6" t="s">
        <v>4148</v>
      </c>
      <c r="B440" s="6" t="s">
        <v>2220</v>
      </c>
      <c r="C440" s="3" t="s">
        <v>124</v>
      </c>
      <c r="D440" s="3">
        <v>150000.0</v>
      </c>
      <c r="E440" s="8">
        <v>24783.79</v>
      </c>
      <c r="F440" s="7">
        <v>43349.0</v>
      </c>
      <c r="G440" s="3" t="s">
        <v>4</v>
      </c>
      <c r="H440" s="7">
        <v>45106.0</v>
      </c>
      <c r="I440" s="3" t="s">
        <v>568</v>
      </c>
    </row>
    <row r="441" ht="15.75" customHeight="1">
      <c r="A441" s="6" t="s">
        <v>4154</v>
      </c>
      <c r="B441" s="6" t="s">
        <v>4156</v>
      </c>
      <c r="C441" s="3" t="s">
        <v>124</v>
      </c>
      <c r="D441" s="3">
        <v>150000.0</v>
      </c>
      <c r="E441" s="8">
        <v>98139.22</v>
      </c>
      <c r="F441" s="7">
        <v>42112.0</v>
      </c>
      <c r="G441" s="3" t="s">
        <v>4</v>
      </c>
      <c r="H441" s="7">
        <v>44985.0</v>
      </c>
      <c r="I441" s="3" t="s">
        <v>568</v>
      </c>
    </row>
    <row r="442" ht="15.75" customHeight="1">
      <c r="A442" s="6" t="s">
        <v>4161</v>
      </c>
      <c r="B442" s="6" t="s">
        <v>644</v>
      </c>
      <c r="C442" s="3" t="s">
        <v>162</v>
      </c>
      <c r="D442" s="3">
        <v>500000.0</v>
      </c>
      <c r="E442" s="8">
        <v>448451.36</v>
      </c>
      <c r="F442" s="7">
        <v>45536.0</v>
      </c>
      <c r="G442" s="3" t="s">
        <v>4</v>
      </c>
      <c r="H442" s="3"/>
      <c r="I442" s="3" t="s">
        <v>806</v>
      </c>
    </row>
    <row r="443" ht="15.75" customHeight="1">
      <c r="A443" s="6" t="s">
        <v>4170</v>
      </c>
      <c r="B443" s="6" t="s">
        <v>440</v>
      </c>
      <c r="C443" s="3" t="s">
        <v>77</v>
      </c>
      <c r="D443" s="3">
        <v>800000.0</v>
      </c>
      <c r="E443" s="8">
        <v>310334.7</v>
      </c>
      <c r="F443" s="7">
        <v>43651.0</v>
      </c>
      <c r="G443" s="3" t="s">
        <v>4</v>
      </c>
      <c r="H443" s="7">
        <v>45827.0</v>
      </c>
      <c r="I443" s="3" t="s">
        <v>568</v>
      </c>
    </row>
    <row r="444" ht="15.75" customHeight="1">
      <c r="A444" s="6" t="s">
        <v>4172</v>
      </c>
      <c r="B444" s="6" t="s">
        <v>2767</v>
      </c>
      <c r="C444" s="3" t="s">
        <v>77</v>
      </c>
      <c r="D444" s="3">
        <v>800000.0</v>
      </c>
      <c r="E444" s="8">
        <v>709360.73</v>
      </c>
      <c r="F444" s="7">
        <v>44303.0</v>
      </c>
      <c r="G444" s="3" t="s">
        <v>4</v>
      </c>
      <c r="H444" s="7">
        <v>45907.0</v>
      </c>
      <c r="I444" s="3" t="s">
        <v>568</v>
      </c>
    </row>
    <row r="445" ht="15.75" customHeight="1">
      <c r="A445" s="6" t="s">
        <v>4181</v>
      </c>
      <c r="B445" s="6" t="s">
        <v>4124</v>
      </c>
      <c r="C445" s="3" t="s">
        <v>141</v>
      </c>
      <c r="D445" s="3">
        <v>300000.0</v>
      </c>
      <c r="E445" s="8">
        <v>42472.64</v>
      </c>
      <c r="F445" s="7">
        <v>43195.0</v>
      </c>
      <c r="G445" s="3" t="s">
        <v>4</v>
      </c>
      <c r="H445" s="7">
        <v>45968.0</v>
      </c>
      <c r="I445" s="3" t="s">
        <v>568</v>
      </c>
    </row>
    <row r="446" ht="15.75" customHeight="1">
      <c r="A446" s="6" t="s">
        <v>4187</v>
      </c>
      <c r="B446" s="6" t="s">
        <v>4190</v>
      </c>
      <c r="C446" s="3" t="s">
        <v>162</v>
      </c>
      <c r="D446" s="3">
        <v>500000.0</v>
      </c>
      <c r="E446" s="8">
        <v>288721.38</v>
      </c>
      <c r="F446" s="7">
        <v>42631.0</v>
      </c>
      <c r="G446" s="3" t="s">
        <v>4</v>
      </c>
      <c r="H446" s="3"/>
      <c r="I446" s="3" t="s">
        <v>806</v>
      </c>
    </row>
    <row r="447" ht="15.75" customHeight="1">
      <c r="A447" s="6" t="s">
        <v>4195</v>
      </c>
      <c r="B447" s="6" t="s">
        <v>143</v>
      </c>
      <c r="C447" s="3" t="s">
        <v>141</v>
      </c>
      <c r="D447" s="3">
        <v>300000.0</v>
      </c>
      <c r="E447" s="8">
        <v>216149.81</v>
      </c>
      <c r="F447" s="7">
        <v>43638.0</v>
      </c>
      <c r="G447" s="3" t="s">
        <v>194</v>
      </c>
      <c r="H447" s="3"/>
      <c r="I447" s="3" t="s">
        <v>806</v>
      </c>
    </row>
    <row r="448" ht="15.75" customHeight="1">
      <c r="A448" s="6" t="s">
        <v>4199</v>
      </c>
      <c r="B448" s="6" t="s">
        <v>1154</v>
      </c>
      <c r="C448" s="3" t="s">
        <v>141</v>
      </c>
      <c r="D448" s="3">
        <v>300000.0</v>
      </c>
      <c r="E448" s="8">
        <v>50634.9</v>
      </c>
      <c r="F448" s="7">
        <v>45401.0</v>
      </c>
      <c r="G448" s="3" t="s">
        <v>4</v>
      </c>
      <c r="H448" s="7">
        <v>44966.0</v>
      </c>
      <c r="I448" s="3" t="s">
        <v>568</v>
      </c>
    </row>
    <row r="449" ht="15.75" customHeight="1">
      <c r="A449" s="6" t="s">
        <v>4204</v>
      </c>
      <c r="B449" s="6" t="s">
        <v>3031</v>
      </c>
      <c r="C449" s="3" t="s">
        <v>99</v>
      </c>
      <c r="D449" s="3">
        <v>75000.0</v>
      </c>
      <c r="E449" s="8">
        <v>3268.04</v>
      </c>
      <c r="F449" s="7">
        <v>42448.0</v>
      </c>
      <c r="G449" s="3" t="s">
        <v>4</v>
      </c>
      <c r="H449" s="7">
        <v>45930.0</v>
      </c>
      <c r="I449" s="3" t="s">
        <v>568</v>
      </c>
    </row>
    <row r="450" ht="15.75" customHeight="1">
      <c r="A450" s="6" t="s">
        <v>4213</v>
      </c>
      <c r="B450" s="6" t="s">
        <v>1796</v>
      </c>
      <c r="C450" s="3" t="s">
        <v>141</v>
      </c>
      <c r="D450" s="3">
        <v>300000.0</v>
      </c>
      <c r="E450" s="8">
        <v>6438.08</v>
      </c>
      <c r="F450" s="7">
        <v>44038.0</v>
      </c>
      <c r="G450" s="3" t="s">
        <v>4</v>
      </c>
      <c r="H450" s="7">
        <v>45888.0</v>
      </c>
      <c r="I450" s="3" t="s">
        <v>568</v>
      </c>
    </row>
    <row r="451" ht="15.75" customHeight="1">
      <c r="A451" s="6" t="s">
        <v>4215</v>
      </c>
      <c r="B451" s="6" t="s">
        <v>4218</v>
      </c>
      <c r="C451" s="3" t="s">
        <v>162</v>
      </c>
      <c r="D451" s="3">
        <v>500000.0</v>
      </c>
      <c r="E451" s="8">
        <v>157106.4</v>
      </c>
      <c r="F451" s="7">
        <v>42560.0</v>
      </c>
      <c r="G451" s="3" t="s">
        <v>4</v>
      </c>
      <c r="H451" s="7">
        <v>45875.0</v>
      </c>
      <c r="I451" s="3" t="s">
        <v>568</v>
      </c>
    </row>
    <row r="452" ht="15.75" customHeight="1">
      <c r="A452" s="6" t="s">
        <v>4224</v>
      </c>
      <c r="B452" s="6" t="s">
        <v>2326</v>
      </c>
      <c r="C452" s="3" t="s">
        <v>124</v>
      </c>
      <c r="D452" s="3">
        <v>150000.0</v>
      </c>
      <c r="E452" s="8">
        <v>7322.69</v>
      </c>
      <c r="F452" s="7">
        <v>44260.0</v>
      </c>
      <c r="G452" s="3" t="s">
        <v>5</v>
      </c>
      <c r="H452" s="7">
        <v>45042.0</v>
      </c>
      <c r="I452" s="3" t="s">
        <v>568</v>
      </c>
    </row>
    <row r="453" ht="15.75" customHeight="1">
      <c r="A453" s="6" t="s">
        <v>4231</v>
      </c>
      <c r="B453" s="6" t="s">
        <v>4232</v>
      </c>
      <c r="C453" s="3" t="s">
        <v>162</v>
      </c>
      <c r="D453" s="3">
        <v>500000.0</v>
      </c>
      <c r="E453" s="8">
        <v>356427.79</v>
      </c>
      <c r="F453" s="7">
        <v>43737.0</v>
      </c>
      <c r="G453" s="3" t="s">
        <v>5</v>
      </c>
      <c r="H453" s="7">
        <v>45980.0</v>
      </c>
      <c r="I453" s="3" t="s">
        <v>568</v>
      </c>
    </row>
    <row r="454" ht="15.75" customHeight="1">
      <c r="A454" s="6" t="s">
        <v>4237</v>
      </c>
      <c r="B454" s="6" t="s">
        <v>599</v>
      </c>
      <c r="C454" s="3" t="s">
        <v>99</v>
      </c>
      <c r="D454" s="3">
        <v>75000.0</v>
      </c>
      <c r="E454" s="8">
        <v>65410.3</v>
      </c>
      <c r="F454" s="7">
        <v>42463.0</v>
      </c>
      <c r="G454" s="3" t="s">
        <v>4</v>
      </c>
      <c r="H454" s="7">
        <v>46001.0</v>
      </c>
      <c r="I454" s="3" t="s">
        <v>568</v>
      </c>
    </row>
    <row r="455" ht="15.75" customHeight="1">
      <c r="A455" s="6" t="s">
        <v>4242</v>
      </c>
      <c r="B455" s="6" t="s">
        <v>3783</v>
      </c>
      <c r="C455" s="3" t="s">
        <v>162</v>
      </c>
      <c r="D455" s="3">
        <v>500000.0</v>
      </c>
      <c r="E455" s="8">
        <v>456065.82</v>
      </c>
      <c r="F455" s="7">
        <v>42276.0</v>
      </c>
      <c r="G455" s="3" t="s">
        <v>5</v>
      </c>
      <c r="H455" s="7">
        <v>45031.0</v>
      </c>
      <c r="I455" s="3" t="s">
        <v>568</v>
      </c>
    </row>
    <row r="456" ht="15.75" customHeight="1">
      <c r="A456" s="6" t="s">
        <v>4248</v>
      </c>
      <c r="B456" s="6" t="s">
        <v>1758</v>
      </c>
      <c r="C456" s="3" t="s">
        <v>141</v>
      </c>
      <c r="D456" s="3">
        <v>300000.0</v>
      </c>
      <c r="E456" s="8">
        <v>172668.23</v>
      </c>
      <c r="F456" s="7">
        <v>46017.0</v>
      </c>
      <c r="G456" s="3" t="s">
        <v>194</v>
      </c>
      <c r="H456" s="7">
        <v>45514.0</v>
      </c>
      <c r="I456" s="3" t="s">
        <v>568</v>
      </c>
    </row>
    <row r="457" ht="15.75" customHeight="1">
      <c r="A457" s="6" t="s">
        <v>4257</v>
      </c>
      <c r="B457" s="6" t="s">
        <v>1039</v>
      </c>
      <c r="C457" s="3" t="s">
        <v>141</v>
      </c>
      <c r="D457" s="3">
        <v>300000.0</v>
      </c>
      <c r="E457" s="8">
        <v>209711.45</v>
      </c>
      <c r="F457" s="7">
        <v>42243.0</v>
      </c>
      <c r="G457" s="3" t="s">
        <v>4</v>
      </c>
      <c r="H457" s="7">
        <v>45965.0</v>
      </c>
      <c r="I457" s="3" t="s">
        <v>568</v>
      </c>
    </row>
    <row r="458" ht="15.75" customHeight="1">
      <c r="A458" s="6" t="s">
        <v>4263</v>
      </c>
      <c r="B458" s="6" t="s">
        <v>497</v>
      </c>
      <c r="C458" s="3" t="s">
        <v>162</v>
      </c>
      <c r="D458" s="3">
        <v>500000.0</v>
      </c>
      <c r="E458" s="8">
        <v>152994.12</v>
      </c>
      <c r="F458" s="7">
        <v>44061.0</v>
      </c>
      <c r="G458" s="3" t="s">
        <v>4</v>
      </c>
      <c r="H458" s="7">
        <v>45526.0</v>
      </c>
      <c r="I458" s="3" t="s">
        <v>568</v>
      </c>
    </row>
    <row r="459" ht="15.75" customHeight="1">
      <c r="A459" s="6" t="s">
        <v>4273</v>
      </c>
      <c r="B459" s="6" t="s">
        <v>1663</v>
      </c>
      <c r="C459" s="3" t="s">
        <v>99</v>
      </c>
      <c r="D459" s="3">
        <v>75000.0</v>
      </c>
      <c r="E459" s="8">
        <v>13555.89</v>
      </c>
      <c r="F459" s="7">
        <v>42732.0</v>
      </c>
      <c r="G459" s="3" t="s">
        <v>4</v>
      </c>
      <c r="H459" s="7">
        <v>45790.0</v>
      </c>
      <c r="I459" s="3" t="s">
        <v>568</v>
      </c>
    </row>
    <row r="460" ht="15.75" customHeight="1">
      <c r="A460" s="6" t="s">
        <v>4282</v>
      </c>
      <c r="B460" s="6" t="s">
        <v>614</v>
      </c>
      <c r="C460" s="3" t="s">
        <v>124</v>
      </c>
      <c r="D460" s="3">
        <v>150000.0</v>
      </c>
      <c r="E460" s="8">
        <v>149353.33</v>
      </c>
      <c r="F460" s="7">
        <v>42709.0</v>
      </c>
      <c r="G460" s="3" t="s">
        <v>4</v>
      </c>
      <c r="H460" s="7">
        <v>45145.0</v>
      </c>
      <c r="I460" s="3" t="s">
        <v>568</v>
      </c>
    </row>
    <row r="461" ht="15.75" customHeight="1">
      <c r="A461" s="6" t="s">
        <v>4287</v>
      </c>
      <c r="B461" s="6" t="s">
        <v>1500</v>
      </c>
      <c r="C461" s="3" t="s">
        <v>77</v>
      </c>
      <c r="D461" s="3">
        <v>800000.0</v>
      </c>
      <c r="E461" s="8">
        <v>833635.35</v>
      </c>
      <c r="F461" s="7">
        <v>42367.0</v>
      </c>
      <c r="G461" s="3" t="s">
        <v>5</v>
      </c>
      <c r="H461" s="7">
        <v>46030.0</v>
      </c>
      <c r="I461" s="3" t="s">
        <v>568</v>
      </c>
    </row>
    <row r="462" ht="15.75" customHeight="1">
      <c r="A462" s="6" t="s">
        <v>4295</v>
      </c>
      <c r="B462" s="6" t="s">
        <v>3357</v>
      </c>
      <c r="C462" s="3" t="s">
        <v>77</v>
      </c>
      <c r="D462" s="3">
        <v>800000.0</v>
      </c>
      <c r="E462" s="8">
        <v>346377.47</v>
      </c>
      <c r="F462" s="7">
        <v>45358.0</v>
      </c>
      <c r="G462" s="3" t="s">
        <v>4</v>
      </c>
      <c r="H462" s="7">
        <v>45594.0</v>
      </c>
      <c r="I462" s="3" t="s">
        <v>568</v>
      </c>
    </row>
    <row r="463" ht="15.75" customHeight="1">
      <c r="A463" s="6" t="s">
        <v>4297</v>
      </c>
      <c r="B463" s="6" t="s">
        <v>435</v>
      </c>
      <c r="C463" s="3" t="s">
        <v>141</v>
      </c>
      <c r="D463" s="3">
        <v>300000.0</v>
      </c>
      <c r="E463" s="8">
        <v>131266.52</v>
      </c>
      <c r="F463" s="7">
        <v>43989.0</v>
      </c>
      <c r="G463" s="3" t="s">
        <v>4</v>
      </c>
      <c r="H463" s="3"/>
      <c r="I463" s="3" t="s">
        <v>806</v>
      </c>
    </row>
    <row r="464" ht="15.75" customHeight="1">
      <c r="A464" s="6" t="s">
        <v>4306</v>
      </c>
      <c r="B464" s="6" t="s">
        <v>61</v>
      </c>
      <c r="C464" s="3" t="s">
        <v>141</v>
      </c>
      <c r="D464" s="3">
        <v>300000.0</v>
      </c>
      <c r="E464" s="8">
        <v>115690.33</v>
      </c>
      <c r="F464" s="7">
        <v>44072.0</v>
      </c>
      <c r="G464" s="3" t="s">
        <v>5</v>
      </c>
      <c r="H464" s="7">
        <v>46358.0</v>
      </c>
      <c r="I464" s="3" t="s">
        <v>568</v>
      </c>
    </row>
    <row r="465" ht="15.75" customHeight="1">
      <c r="A465" s="6" t="s">
        <v>4313</v>
      </c>
      <c r="B465" s="6" t="s">
        <v>4315</v>
      </c>
      <c r="C465" s="3" t="s">
        <v>141</v>
      </c>
      <c r="D465" s="3">
        <v>300000.0</v>
      </c>
      <c r="E465" s="8">
        <v>55622.18</v>
      </c>
      <c r="F465" s="7">
        <v>42848.0</v>
      </c>
      <c r="G465" s="3" t="s">
        <v>4</v>
      </c>
      <c r="H465" s="7">
        <v>46013.0</v>
      </c>
      <c r="I465" s="3" t="s">
        <v>568</v>
      </c>
    </row>
    <row r="466" ht="15.75" customHeight="1">
      <c r="A466" s="6" t="s">
        <v>4324</v>
      </c>
      <c r="B466" s="6" t="s">
        <v>4326</v>
      </c>
      <c r="C466" s="3" t="s">
        <v>162</v>
      </c>
      <c r="D466" s="3">
        <v>500000.0</v>
      </c>
      <c r="E466" s="8">
        <v>6075.37</v>
      </c>
      <c r="F466" s="7">
        <v>42560.0</v>
      </c>
      <c r="G466" s="3" t="s">
        <v>4</v>
      </c>
      <c r="H466" s="3"/>
      <c r="I466" s="3" t="s">
        <v>806</v>
      </c>
    </row>
    <row r="467" ht="15.75" customHeight="1">
      <c r="A467" s="6" t="s">
        <v>4332</v>
      </c>
      <c r="B467" s="6" t="s">
        <v>4334</v>
      </c>
      <c r="C467" s="3" t="s">
        <v>124</v>
      </c>
      <c r="D467" s="3">
        <v>150000.0</v>
      </c>
      <c r="E467" s="8">
        <v>62108.54</v>
      </c>
      <c r="F467" s="7">
        <v>45948.0</v>
      </c>
      <c r="G467" s="3" t="s">
        <v>4</v>
      </c>
      <c r="H467" s="7">
        <v>45752.0</v>
      </c>
      <c r="I467" s="3" t="s">
        <v>568</v>
      </c>
    </row>
    <row r="468" ht="15.75" customHeight="1">
      <c r="A468" s="6" t="s">
        <v>4342</v>
      </c>
      <c r="B468" s="6" t="s">
        <v>2417</v>
      </c>
      <c r="C468" s="3" t="s">
        <v>77</v>
      </c>
      <c r="D468" s="3">
        <v>800000.0</v>
      </c>
      <c r="E468" s="8">
        <v>154469.12</v>
      </c>
      <c r="F468" s="7">
        <v>43057.0</v>
      </c>
      <c r="G468" s="3" t="s">
        <v>4</v>
      </c>
      <c r="H468" s="7">
        <v>45486.0</v>
      </c>
      <c r="I468" s="3" t="s">
        <v>568</v>
      </c>
    </row>
    <row r="469" ht="15.75" customHeight="1">
      <c r="A469" s="6" t="s">
        <v>4350</v>
      </c>
      <c r="B469" s="6" t="s">
        <v>2735</v>
      </c>
      <c r="C469" s="3" t="s">
        <v>162</v>
      </c>
      <c r="D469" s="3">
        <v>500000.0</v>
      </c>
      <c r="E469" s="8">
        <v>135810.93</v>
      </c>
      <c r="F469" s="7">
        <v>43426.0</v>
      </c>
      <c r="G469" s="3" t="s">
        <v>4</v>
      </c>
      <c r="H469" s="7">
        <v>45275.0</v>
      </c>
      <c r="I469" s="3" t="s">
        <v>568</v>
      </c>
    </row>
    <row r="470" ht="15.75" customHeight="1">
      <c r="A470" s="6" t="s">
        <v>4353</v>
      </c>
      <c r="B470" s="6" t="s">
        <v>3665</v>
      </c>
      <c r="C470" s="3" t="s">
        <v>162</v>
      </c>
      <c r="D470" s="3">
        <v>500000.0</v>
      </c>
      <c r="E470" s="8">
        <v>492972.26</v>
      </c>
      <c r="F470" s="7">
        <v>43867.0</v>
      </c>
      <c r="G470" s="3" t="s">
        <v>4</v>
      </c>
      <c r="H470" s="7">
        <v>46379.0</v>
      </c>
      <c r="I470" s="3" t="s">
        <v>568</v>
      </c>
    </row>
    <row r="471" ht="15.75" customHeight="1">
      <c r="A471" s="6" t="s">
        <v>4358</v>
      </c>
      <c r="B471" s="6" t="s">
        <v>4360</v>
      </c>
      <c r="C471" s="3" t="s">
        <v>99</v>
      </c>
      <c r="D471" s="3">
        <v>75000.0</v>
      </c>
      <c r="E471" s="8">
        <v>1931.67</v>
      </c>
      <c r="F471" s="7">
        <v>45549.0</v>
      </c>
      <c r="G471" s="3" t="s">
        <v>4</v>
      </c>
      <c r="H471" s="7">
        <v>45817.0</v>
      </c>
      <c r="I471" s="3" t="s">
        <v>568</v>
      </c>
    </row>
    <row r="472" ht="15.75" customHeight="1">
      <c r="A472" s="6" t="s">
        <v>4365</v>
      </c>
      <c r="B472" s="6" t="s">
        <v>4367</v>
      </c>
      <c r="C472" s="3" t="s">
        <v>77</v>
      </c>
      <c r="D472" s="3">
        <v>800000.0</v>
      </c>
      <c r="E472" s="8">
        <v>290133.48</v>
      </c>
      <c r="F472" s="7">
        <v>44850.0</v>
      </c>
      <c r="G472" s="3" t="s">
        <v>4</v>
      </c>
      <c r="H472" s="7">
        <v>46032.0</v>
      </c>
      <c r="I472" s="3" t="s">
        <v>568</v>
      </c>
    </row>
    <row r="473" ht="15.75" customHeight="1">
      <c r="A473" s="6" t="s">
        <v>4372</v>
      </c>
      <c r="B473" s="6" t="s">
        <v>2084</v>
      </c>
      <c r="C473" s="3" t="s">
        <v>124</v>
      </c>
      <c r="D473" s="3">
        <v>150000.0</v>
      </c>
      <c r="E473" s="8">
        <v>136216.78</v>
      </c>
      <c r="F473" s="7">
        <v>44605.0</v>
      </c>
      <c r="G473" s="3" t="s">
        <v>4</v>
      </c>
      <c r="H473" s="7">
        <v>45580.0</v>
      </c>
      <c r="I473" s="3" t="s">
        <v>568</v>
      </c>
    </row>
    <row r="474" ht="15.75" customHeight="1">
      <c r="A474" s="6" t="s">
        <v>4379</v>
      </c>
      <c r="B474" s="6" t="s">
        <v>4382</v>
      </c>
      <c r="C474" s="3" t="s">
        <v>141</v>
      </c>
      <c r="D474" s="3">
        <v>300000.0</v>
      </c>
      <c r="E474" s="8">
        <v>214704.81</v>
      </c>
      <c r="F474" s="7">
        <v>42969.0</v>
      </c>
      <c r="G474" s="3" t="s">
        <v>4</v>
      </c>
      <c r="H474" s="7">
        <v>46290.0</v>
      </c>
      <c r="I474" s="3" t="s">
        <v>568</v>
      </c>
    </row>
    <row r="475" ht="15.75" customHeight="1">
      <c r="A475" s="6" t="s">
        <v>4387</v>
      </c>
      <c r="B475" s="6" t="s">
        <v>4389</v>
      </c>
      <c r="C475" s="3" t="s">
        <v>141</v>
      </c>
      <c r="D475" s="3">
        <v>300000.0</v>
      </c>
      <c r="E475" s="8">
        <v>123253.44</v>
      </c>
      <c r="F475" s="7">
        <v>44393.0</v>
      </c>
      <c r="G475" s="3" t="s">
        <v>4</v>
      </c>
      <c r="H475" s="7">
        <v>46177.0</v>
      </c>
      <c r="I475" s="3" t="s">
        <v>568</v>
      </c>
    </row>
    <row r="476" ht="15.75" customHeight="1">
      <c r="A476" s="6" t="s">
        <v>4393</v>
      </c>
      <c r="B476" s="6" t="s">
        <v>2639</v>
      </c>
      <c r="C476" s="3" t="s">
        <v>99</v>
      </c>
      <c r="D476" s="3">
        <v>75000.0</v>
      </c>
      <c r="E476" s="8">
        <v>24948.53</v>
      </c>
      <c r="F476" s="7">
        <v>42422.0</v>
      </c>
      <c r="G476" s="3" t="s">
        <v>4</v>
      </c>
      <c r="H476" s="7">
        <v>45804.0</v>
      </c>
      <c r="I476" s="3" t="s">
        <v>568</v>
      </c>
    </row>
    <row r="477" ht="15.75" customHeight="1">
      <c r="A477" s="6" t="s">
        <v>4399</v>
      </c>
      <c r="B477" s="6" t="s">
        <v>3312</v>
      </c>
      <c r="C477" s="3" t="s">
        <v>141</v>
      </c>
      <c r="D477" s="3">
        <v>300000.0</v>
      </c>
      <c r="E477" s="8">
        <v>148828.4</v>
      </c>
      <c r="F477" s="7">
        <v>45137.0</v>
      </c>
      <c r="G477" s="3" t="s">
        <v>4</v>
      </c>
      <c r="H477" s="7">
        <v>44940.0</v>
      </c>
      <c r="I477" s="3" t="s">
        <v>568</v>
      </c>
    </row>
    <row r="478" ht="15.75" customHeight="1">
      <c r="A478" s="6" t="s">
        <v>4403</v>
      </c>
      <c r="B478" s="6" t="s">
        <v>2397</v>
      </c>
      <c r="C478" s="3" t="s">
        <v>124</v>
      </c>
      <c r="D478" s="3">
        <v>150000.0</v>
      </c>
      <c r="E478" s="8">
        <v>42328.82</v>
      </c>
      <c r="F478" s="7">
        <v>45941.0</v>
      </c>
      <c r="G478" s="3" t="s">
        <v>4</v>
      </c>
      <c r="H478" s="7">
        <v>45693.0</v>
      </c>
      <c r="I478" s="3" t="s">
        <v>568</v>
      </c>
    </row>
    <row r="479" ht="15.75" customHeight="1">
      <c r="A479" s="6" t="s">
        <v>4407</v>
      </c>
      <c r="B479" s="6" t="s">
        <v>1094</v>
      </c>
      <c r="C479" s="3" t="s">
        <v>77</v>
      </c>
      <c r="D479" s="3">
        <v>800000.0</v>
      </c>
      <c r="E479" s="8">
        <v>488173.08</v>
      </c>
      <c r="F479" s="7">
        <v>45249.0</v>
      </c>
      <c r="G479" s="3" t="s">
        <v>4</v>
      </c>
      <c r="H479" s="7">
        <v>45815.0</v>
      </c>
      <c r="I479" s="3" t="s">
        <v>568</v>
      </c>
    </row>
    <row r="480" ht="15.75" customHeight="1">
      <c r="A480" s="6" t="s">
        <v>4415</v>
      </c>
      <c r="B480" s="6" t="s">
        <v>1869</v>
      </c>
      <c r="C480" s="3" t="s">
        <v>77</v>
      </c>
      <c r="D480" s="3">
        <v>800000.0</v>
      </c>
      <c r="E480" s="8">
        <v>657557.73</v>
      </c>
      <c r="F480" s="7">
        <v>44084.0</v>
      </c>
      <c r="G480" s="3" t="s">
        <v>4</v>
      </c>
      <c r="H480" s="7">
        <v>45480.0</v>
      </c>
      <c r="I480" s="3" t="s">
        <v>568</v>
      </c>
    </row>
    <row r="481" ht="15.75" customHeight="1">
      <c r="A481" s="6" t="s">
        <v>4421</v>
      </c>
      <c r="B481" s="6" t="s">
        <v>4422</v>
      </c>
      <c r="C481" s="3" t="s">
        <v>77</v>
      </c>
      <c r="D481" s="3">
        <v>800000.0</v>
      </c>
      <c r="E481" s="8">
        <v>617689.99</v>
      </c>
      <c r="F481" s="7">
        <v>43857.0</v>
      </c>
      <c r="G481" s="3" t="s">
        <v>4</v>
      </c>
      <c r="H481" s="7">
        <v>45887.0</v>
      </c>
      <c r="I481" s="3" t="s">
        <v>568</v>
      </c>
    </row>
    <row r="482" ht="15.75" customHeight="1">
      <c r="A482" s="6" t="s">
        <v>4426</v>
      </c>
      <c r="B482" s="6" t="s">
        <v>3038</v>
      </c>
      <c r="C482" s="3" t="s">
        <v>162</v>
      </c>
      <c r="D482" s="3">
        <v>500000.0</v>
      </c>
      <c r="E482" s="8">
        <v>80910.21</v>
      </c>
      <c r="F482" s="7">
        <v>45577.0</v>
      </c>
      <c r="G482" s="3" t="s">
        <v>4</v>
      </c>
      <c r="H482" s="7">
        <v>45863.0</v>
      </c>
      <c r="I482" s="3" t="s">
        <v>568</v>
      </c>
    </row>
    <row r="483" ht="15.75" customHeight="1">
      <c r="A483" s="6" t="s">
        <v>4435</v>
      </c>
      <c r="B483" s="6" t="s">
        <v>4437</v>
      </c>
      <c r="C483" s="3" t="s">
        <v>141</v>
      </c>
      <c r="D483" s="3">
        <v>300000.0</v>
      </c>
      <c r="E483" s="8">
        <v>135.29</v>
      </c>
      <c r="F483" s="7">
        <v>45523.0</v>
      </c>
      <c r="G483" s="3" t="s">
        <v>4</v>
      </c>
      <c r="H483" s="7">
        <v>45452.0</v>
      </c>
      <c r="I483" s="3" t="s">
        <v>568</v>
      </c>
    </row>
    <row r="484" ht="15.75" customHeight="1">
      <c r="A484" s="6" t="s">
        <v>4443</v>
      </c>
      <c r="B484" s="6" t="s">
        <v>448</v>
      </c>
      <c r="C484" s="3" t="s">
        <v>77</v>
      </c>
      <c r="D484" s="3">
        <v>800000.0</v>
      </c>
      <c r="E484" s="8">
        <v>417669.74</v>
      </c>
      <c r="F484" s="7">
        <v>45914.0</v>
      </c>
      <c r="G484" s="3" t="s">
        <v>4</v>
      </c>
      <c r="H484" s="7">
        <v>45152.0</v>
      </c>
      <c r="I484" s="3" t="s">
        <v>568</v>
      </c>
    </row>
    <row r="485" ht="15.75" customHeight="1">
      <c r="A485" s="6" t="s">
        <v>4453</v>
      </c>
      <c r="B485" s="6" t="s">
        <v>2480</v>
      </c>
      <c r="C485" s="3" t="s">
        <v>77</v>
      </c>
      <c r="D485" s="3">
        <v>800000.0</v>
      </c>
      <c r="E485" s="8">
        <v>283155.21</v>
      </c>
      <c r="F485" s="7">
        <v>42614.0</v>
      </c>
      <c r="G485" s="3" t="s">
        <v>4</v>
      </c>
      <c r="H485" s="7">
        <v>45257.0</v>
      </c>
      <c r="I485" s="3" t="s">
        <v>568</v>
      </c>
    </row>
    <row r="486" ht="15.75" customHeight="1">
      <c r="A486" s="6" t="s">
        <v>4459</v>
      </c>
      <c r="B486" s="6" t="s">
        <v>3115</v>
      </c>
      <c r="C486" s="3" t="s">
        <v>162</v>
      </c>
      <c r="D486" s="3">
        <v>500000.0</v>
      </c>
      <c r="E486" s="8">
        <v>153522.94</v>
      </c>
      <c r="F486" s="7">
        <v>42146.0</v>
      </c>
      <c r="G486" s="3" t="s">
        <v>4</v>
      </c>
      <c r="H486" s="3"/>
      <c r="I486" s="3" t="s">
        <v>806</v>
      </c>
    </row>
    <row r="487" ht="15.75" customHeight="1">
      <c r="A487" s="6" t="s">
        <v>4464</v>
      </c>
      <c r="B487" s="6" t="s">
        <v>2754</v>
      </c>
      <c r="C487" s="3" t="s">
        <v>77</v>
      </c>
      <c r="D487" s="3">
        <v>800000.0</v>
      </c>
      <c r="E487" s="8">
        <v>42327.93</v>
      </c>
      <c r="F487" s="7">
        <v>44817.0</v>
      </c>
      <c r="G487" s="3" t="s">
        <v>4</v>
      </c>
      <c r="H487" s="7">
        <v>46218.0</v>
      </c>
      <c r="I487" s="3" t="s">
        <v>568</v>
      </c>
    </row>
    <row r="488" ht="15.75" customHeight="1">
      <c r="A488" s="6" t="s">
        <v>4468</v>
      </c>
      <c r="B488" s="6" t="s">
        <v>281</v>
      </c>
      <c r="C488" s="3" t="s">
        <v>141</v>
      </c>
      <c r="D488" s="3">
        <v>300000.0</v>
      </c>
      <c r="E488" s="8">
        <v>42087.63</v>
      </c>
      <c r="F488" s="7">
        <v>45754.0</v>
      </c>
      <c r="G488" s="3" t="s">
        <v>4</v>
      </c>
      <c r="H488" s="7">
        <v>45157.0</v>
      </c>
      <c r="I488" s="3" t="s">
        <v>568</v>
      </c>
    </row>
    <row r="489" ht="15.75" customHeight="1">
      <c r="A489" s="6" t="s">
        <v>4474</v>
      </c>
      <c r="B489" s="6" t="s">
        <v>1264</v>
      </c>
      <c r="C489" s="3" t="s">
        <v>77</v>
      </c>
      <c r="D489" s="3">
        <v>800000.0</v>
      </c>
      <c r="E489" s="8">
        <v>744942.72</v>
      </c>
      <c r="F489" s="7">
        <v>43012.0</v>
      </c>
      <c r="G489" s="3" t="s">
        <v>4</v>
      </c>
      <c r="H489" s="7">
        <v>45146.0</v>
      </c>
      <c r="I489" s="3" t="s">
        <v>568</v>
      </c>
    </row>
    <row r="490" ht="15.75" customHeight="1">
      <c r="A490" s="6" t="s">
        <v>4479</v>
      </c>
      <c r="B490" s="6" t="s">
        <v>4480</v>
      </c>
      <c r="C490" s="3" t="s">
        <v>77</v>
      </c>
      <c r="D490" s="3">
        <v>800000.0</v>
      </c>
      <c r="E490" s="8">
        <v>563038.25</v>
      </c>
      <c r="F490" s="7">
        <v>43798.0</v>
      </c>
      <c r="G490" s="3" t="s">
        <v>4</v>
      </c>
      <c r="H490" s="7">
        <v>45019.0</v>
      </c>
      <c r="I490" s="3" t="s">
        <v>568</v>
      </c>
    </row>
    <row r="491" ht="15.75" customHeight="1">
      <c r="A491" s="6" t="s">
        <v>4483</v>
      </c>
      <c r="B491" s="6" t="s">
        <v>2236</v>
      </c>
      <c r="C491" s="3" t="s">
        <v>162</v>
      </c>
      <c r="D491" s="3">
        <v>500000.0</v>
      </c>
      <c r="E491" s="8">
        <v>245270.09</v>
      </c>
      <c r="F491" s="7">
        <v>44551.0</v>
      </c>
      <c r="G491" s="3" t="s">
        <v>194</v>
      </c>
      <c r="H491" s="7">
        <v>45602.0</v>
      </c>
      <c r="I491" s="3" t="s">
        <v>568</v>
      </c>
    </row>
    <row r="492" ht="15.75" customHeight="1">
      <c r="A492" s="6" t="s">
        <v>4494</v>
      </c>
      <c r="B492" s="6" t="s">
        <v>1098</v>
      </c>
      <c r="C492" s="3" t="s">
        <v>124</v>
      </c>
      <c r="D492" s="3">
        <v>150000.0</v>
      </c>
      <c r="E492" s="8">
        <v>73626.88</v>
      </c>
      <c r="F492" s="7">
        <v>44460.0</v>
      </c>
      <c r="G492" s="3" t="s">
        <v>4</v>
      </c>
      <c r="H492" s="7">
        <v>46162.0</v>
      </c>
      <c r="I492" s="3" t="s">
        <v>568</v>
      </c>
    </row>
    <row r="493" ht="15.75" customHeight="1">
      <c r="A493" s="6" t="s">
        <v>4497</v>
      </c>
      <c r="B493" s="6" t="s">
        <v>4302</v>
      </c>
      <c r="C493" s="3" t="s">
        <v>77</v>
      </c>
      <c r="D493" s="3">
        <v>800000.0</v>
      </c>
      <c r="E493" s="8">
        <v>677337.05</v>
      </c>
      <c r="F493" s="7">
        <v>45013.0</v>
      </c>
      <c r="G493" s="3" t="s">
        <v>4</v>
      </c>
      <c r="H493" s="7">
        <v>45458.0</v>
      </c>
      <c r="I493" s="3" t="s">
        <v>568</v>
      </c>
    </row>
    <row r="494" ht="15.75" customHeight="1">
      <c r="A494" s="6" t="s">
        <v>4502</v>
      </c>
      <c r="B494" s="6" t="s">
        <v>4503</v>
      </c>
      <c r="C494" s="3" t="s">
        <v>162</v>
      </c>
      <c r="D494" s="3">
        <v>500000.0</v>
      </c>
      <c r="E494" s="8">
        <v>131670.69</v>
      </c>
      <c r="F494" s="7">
        <v>43565.0</v>
      </c>
      <c r="G494" s="3" t="s">
        <v>4</v>
      </c>
      <c r="H494" s="3"/>
      <c r="I494" s="3" t="s">
        <v>806</v>
      </c>
    </row>
    <row r="495" ht="15.75" customHeight="1">
      <c r="A495" s="6" t="s">
        <v>4506</v>
      </c>
      <c r="B495" s="6" t="s">
        <v>178</v>
      </c>
      <c r="C495" s="3" t="s">
        <v>141</v>
      </c>
      <c r="D495" s="3">
        <v>300000.0</v>
      </c>
      <c r="E495" s="8">
        <v>226191.24</v>
      </c>
      <c r="F495" s="7">
        <v>44417.0</v>
      </c>
      <c r="G495" s="3" t="s">
        <v>4</v>
      </c>
      <c r="H495" s="7">
        <v>45119.0</v>
      </c>
      <c r="I495" s="3" t="s">
        <v>568</v>
      </c>
    </row>
    <row r="496" ht="15.75" customHeight="1">
      <c r="A496" s="6" t="s">
        <v>4513</v>
      </c>
      <c r="B496" s="6" t="s">
        <v>4515</v>
      </c>
      <c r="C496" s="3" t="s">
        <v>162</v>
      </c>
      <c r="D496" s="3">
        <v>500000.0</v>
      </c>
      <c r="E496" s="8">
        <v>65257.47</v>
      </c>
      <c r="F496" s="7">
        <v>44204.0</v>
      </c>
      <c r="G496" s="3" t="s">
        <v>5</v>
      </c>
      <c r="H496" s="3"/>
      <c r="I496" s="3" t="s">
        <v>806</v>
      </c>
    </row>
    <row r="497" ht="15.75" customHeight="1">
      <c r="A497" s="6" t="s">
        <v>4523</v>
      </c>
      <c r="B497" s="6" t="s">
        <v>4524</v>
      </c>
      <c r="C497" s="3" t="s">
        <v>162</v>
      </c>
      <c r="D497" s="3">
        <v>500000.0</v>
      </c>
      <c r="E497" s="8">
        <v>217738.15</v>
      </c>
      <c r="F497" s="7">
        <v>45986.0</v>
      </c>
      <c r="G497" s="3" t="s">
        <v>4</v>
      </c>
      <c r="H497" s="7">
        <v>44982.0</v>
      </c>
      <c r="I497" s="3" t="s">
        <v>568</v>
      </c>
    </row>
    <row r="498" ht="15.75" customHeight="1">
      <c r="A498" s="6" t="s">
        <v>4527</v>
      </c>
      <c r="B498" s="6" t="s">
        <v>4528</v>
      </c>
      <c r="C498" s="3" t="s">
        <v>124</v>
      </c>
      <c r="D498" s="3">
        <v>150000.0</v>
      </c>
      <c r="E498" s="8">
        <v>51946.44</v>
      </c>
      <c r="F498" s="7">
        <v>42201.0</v>
      </c>
      <c r="G498" s="3" t="s">
        <v>4</v>
      </c>
      <c r="H498" s="7">
        <v>46146.0</v>
      </c>
      <c r="I498" s="3" t="s">
        <v>568</v>
      </c>
    </row>
    <row r="499" ht="15.75" customHeight="1">
      <c r="A499" s="6" t="s">
        <v>4534</v>
      </c>
      <c r="B499" s="6" t="s">
        <v>4536</v>
      </c>
      <c r="C499" s="3" t="s">
        <v>141</v>
      </c>
      <c r="D499" s="3">
        <v>300000.0</v>
      </c>
      <c r="E499" s="8">
        <v>18711.03</v>
      </c>
      <c r="F499" s="7">
        <v>43935.0</v>
      </c>
      <c r="G499" s="3" t="s">
        <v>194</v>
      </c>
      <c r="H499" s="7">
        <v>45709.0</v>
      </c>
      <c r="I499" s="3" t="s">
        <v>568</v>
      </c>
    </row>
    <row r="500" ht="15.75" customHeight="1">
      <c r="A500" s="6" t="s">
        <v>4539</v>
      </c>
      <c r="B500" s="6" t="s">
        <v>4540</v>
      </c>
      <c r="C500" s="3" t="s">
        <v>141</v>
      </c>
      <c r="D500" s="3">
        <v>300000.0</v>
      </c>
      <c r="E500" s="8">
        <v>263558.66</v>
      </c>
      <c r="F500" s="7">
        <v>42627.0</v>
      </c>
      <c r="G500" s="3" t="s">
        <v>4</v>
      </c>
      <c r="H500" s="7">
        <v>46107.0</v>
      </c>
      <c r="I500" s="3" t="s">
        <v>568</v>
      </c>
    </row>
    <row r="501" ht="15.75" customHeight="1">
      <c r="A501" s="6" t="s">
        <v>4542</v>
      </c>
      <c r="B501" s="6" t="s">
        <v>116</v>
      </c>
      <c r="C501" s="3" t="s">
        <v>124</v>
      </c>
      <c r="D501" s="3">
        <v>150000.0</v>
      </c>
      <c r="E501" s="8">
        <v>39906.84</v>
      </c>
      <c r="F501" s="7">
        <v>43565.0</v>
      </c>
      <c r="G501" s="3" t="s">
        <v>194</v>
      </c>
      <c r="H501" s="7">
        <v>45759.0</v>
      </c>
      <c r="I501" s="3" t="s">
        <v>568</v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1.0"/>
    <col customWidth="1" min="3" max="3" width="55.0"/>
    <col customWidth="1" min="4" max="4" width="11.0"/>
    <col customWidth="1" min="5" max="5" width="97.0"/>
    <col customWidth="1" min="6" max="26" width="8.71"/>
  </cols>
  <sheetData>
    <row r="1">
      <c r="A1" s="5" t="s">
        <v>4583</v>
      </c>
      <c r="B1" s="5" t="s">
        <v>4584</v>
      </c>
      <c r="C1" s="5" t="s">
        <v>4586</v>
      </c>
      <c r="D1" s="5" t="s">
        <v>4587</v>
      </c>
      <c r="E1" s="5" t="s">
        <v>4588</v>
      </c>
    </row>
    <row r="2">
      <c r="A2" s="3" t="s">
        <v>4590</v>
      </c>
      <c r="B2" s="3" t="s">
        <v>23</v>
      </c>
      <c r="C2" s="3" t="s">
        <v>4591</v>
      </c>
      <c r="D2" s="3">
        <v>818.0</v>
      </c>
      <c r="E2" s="3" t="s">
        <v>4592</v>
      </c>
    </row>
    <row r="3">
      <c r="A3" s="3" t="s">
        <v>4590</v>
      </c>
      <c r="B3" s="3" t="s">
        <v>25</v>
      </c>
      <c r="C3" s="3" t="s">
        <v>4595</v>
      </c>
      <c r="D3" s="3">
        <v>30.0</v>
      </c>
      <c r="E3" s="3" t="s">
        <v>4598</v>
      </c>
    </row>
    <row r="4">
      <c r="A4" s="3" t="s">
        <v>4590</v>
      </c>
      <c r="B4" s="3" t="s">
        <v>26</v>
      </c>
      <c r="C4" s="3" t="s">
        <v>4600</v>
      </c>
      <c r="D4" s="3">
        <v>57.0</v>
      </c>
      <c r="E4" s="3" t="s">
        <v>4601</v>
      </c>
    </row>
    <row r="5">
      <c r="A5" s="3" t="s">
        <v>4590</v>
      </c>
      <c r="B5" s="3" t="s">
        <v>35</v>
      </c>
      <c r="C5" s="3" t="s">
        <v>4607</v>
      </c>
      <c r="D5" s="3">
        <v>116.0</v>
      </c>
      <c r="E5" s="3" t="s">
        <v>4608</v>
      </c>
    </row>
    <row r="6">
      <c r="A6" s="3" t="s">
        <v>4590</v>
      </c>
      <c r="B6" s="3" t="s">
        <v>39</v>
      </c>
      <c r="C6" s="3" t="s">
        <v>4609</v>
      </c>
      <c r="D6" s="3">
        <v>118.0</v>
      </c>
      <c r="E6" s="3" t="s">
        <v>4611</v>
      </c>
    </row>
    <row r="7">
      <c r="A7" s="3" t="s">
        <v>4590</v>
      </c>
      <c r="B7" s="3" t="s">
        <v>44</v>
      </c>
      <c r="C7" s="3" t="s">
        <v>4613</v>
      </c>
      <c r="D7" s="3">
        <v>511.0</v>
      </c>
      <c r="E7" s="3" t="s">
        <v>4614</v>
      </c>
    </row>
    <row r="8">
      <c r="A8" s="3" t="s">
        <v>4590</v>
      </c>
      <c r="B8" s="3" t="s">
        <v>4617</v>
      </c>
      <c r="C8" s="3" t="s">
        <v>4620</v>
      </c>
      <c r="D8" s="3">
        <v>1050.0</v>
      </c>
      <c r="E8" s="3" t="s">
        <v>4621</v>
      </c>
    </row>
    <row r="9">
      <c r="A9" s="3" t="s">
        <v>4590</v>
      </c>
      <c r="B9" s="3" t="s">
        <v>17</v>
      </c>
      <c r="C9" s="3" t="s">
        <v>4623</v>
      </c>
      <c r="D9" s="3">
        <v>41.0</v>
      </c>
      <c r="E9" s="3" t="s">
        <v>4627</v>
      </c>
    </row>
    <row r="10">
      <c r="A10" s="3" t="s">
        <v>4590</v>
      </c>
      <c r="B10" s="3" t="s">
        <v>48</v>
      </c>
      <c r="C10" s="3" t="s">
        <v>4630</v>
      </c>
      <c r="D10" s="3">
        <v>43.0</v>
      </c>
      <c r="E10" s="3" t="s">
        <v>4632</v>
      </c>
    </row>
    <row r="11">
      <c r="A11" s="3" t="s">
        <v>4590</v>
      </c>
      <c r="B11" s="3" t="s">
        <v>4633</v>
      </c>
      <c r="C11" s="3" t="s">
        <v>4635</v>
      </c>
      <c r="D11" s="3">
        <v>100.0</v>
      </c>
      <c r="E11" s="3" t="s">
        <v>4636</v>
      </c>
    </row>
    <row r="12">
      <c r="A12" s="3" t="s">
        <v>4590</v>
      </c>
      <c r="B12" s="3" t="s">
        <v>4638</v>
      </c>
      <c r="C12" s="3" t="s">
        <v>4640</v>
      </c>
      <c r="D12" s="3">
        <v>0.0</v>
      </c>
      <c r="E12" s="3" t="s">
        <v>4642</v>
      </c>
    </row>
    <row r="13">
      <c r="A13" s="3" t="s">
        <v>4644</v>
      </c>
      <c r="B13" s="3" t="s">
        <v>34</v>
      </c>
      <c r="C13" s="3" t="s">
        <v>4647</v>
      </c>
      <c r="D13" s="3">
        <v>30.0</v>
      </c>
      <c r="E13" s="3" t="s">
        <v>4649</v>
      </c>
    </row>
    <row r="14">
      <c r="A14" s="3" t="s">
        <v>4653</v>
      </c>
      <c r="B14" s="3" t="s">
        <v>4655</v>
      </c>
      <c r="C14" s="3" t="s">
        <v>4657</v>
      </c>
      <c r="D14" s="3">
        <v>176.0</v>
      </c>
      <c r="E14" s="3" t="s">
        <v>4658</v>
      </c>
    </row>
    <row r="15">
      <c r="A15" s="3" t="s">
        <v>4653</v>
      </c>
      <c r="B15" s="3" t="s">
        <v>51</v>
      </c>
      <c r="C15" s="3" t="s">
        <v>4661</v>
      </c>
      <c r="D15" s="3">
        <v>139.0</v>
      </c>
      <c r="E15" s="3" t="s">
        <v>4662</v>
      </c>
    </row>
    <row r="16">
      <c r="A16" s="3" t="s">
        <v>4664</v>
      </c>
      <c r="B16" s="3" t="s">
        <v>550</v>
      </c>
      <c r="C16" s="3" t="s">
        <v>4665</v>
      </c>
      <c r="D16" s="3">
        <v>11.0</v>
      </c>
      <c r="E16" s="3" t="s">
        <v>4666</v>
      </c>
    </row>
    <row r="17">
      <c r="A17" s="3" t="s">
        <v>4664</v>
      </c>
      <c r="B17" s="3" t="s">
        <v>548</v>
      </c>
      <c r="C17" s="3" t="s">
        <v>4669</v>
      </c>
      <c r="D17" s="3">
        <v>600.0</v>
      </c>
      <c r="E17" s="3" t="s">
        <v>4672</v>
      </c>
    </row>
    <row r="18">
      <c r="A18" s="3" t="s">
        <v>4674</v>
      </c>
      <c r="B18" s="3" t="s">
        <v>742</v>
      </c>
      <c r="C18" s="3" t="s">
        <v>4676</v>
      </c>
      <c r="D18" s="3">
        <v>68.0</v>
      </c>
      <c r="E18" s="3" t="s">
        <v>4677</v>
      </c>
    </row>
    <row r="19">
      <c r="A19" s="3" t="s">
        <v>4674</v>
      </c>
      <c r="B19" s="3" t="s">
        <v>737</v>
      </c>
      <c r="C19" s="3" t="s">
        <v>4669</v>
      </c>
      <c r="D19" s="3">
        <v>500.0</v>
      </c>
      <c r="E19" s="3" t="s">
        <v>4672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2026-08-07T04:05:09Z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